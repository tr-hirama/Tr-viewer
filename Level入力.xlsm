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sources\Tr-CAD\tr-cad\vbSurvey\"/>
    </mc:Choice>
  </mc:AlternateContent>
  <xr:revisionPtr revIDLastSave="0" documentId="13_ncr:1_{F969C1C5-F7F0-49BC-A25A-70EA80A5F34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ベル計算" sheetId="4" r:id="rId1"/>
    <sheet name="説明" sheetId="3" r:id="rId2"/>
  </sheets>
  <calcPr calcId="191029"/>
</workbook>
</file>

<file path=xl/calcChain.xml><?xml version="1.0" encoding="utf-8"?>
<calcChain xmlns="http://schemas.openxmlformats.org/spreadsheetml/2006/main">
  <c r="BH6" i="4" l="1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G6" i="4"/>
  <c r="BF6" i="4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BF103" i="4" s="1"/>
  <c r="BF104" i="4" s="1"/>
  <c r="BF105" i="4" s="1"/>
  <c r="BG105" i="4" s="1"/>
  <c r="BC6" i="4"/>
  <c r="BC7" i="4"/>
  <c r="BC8" i="4"/>
  <c r="BC9" i="4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BC103" i="4" s="1"/>
  <c r="BC104" i="4" s="1"/>
  <c r="BC105" i="4" s="1"/>
  <c r="BB6" i="4"/>
  <c r="BB7" i="4"/>
  <c r="BB8" i="4"/>
  <c r="BB9" i="4"/>
  <c r="BB10" i="4"/>
  <c r="BB11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BB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B59" i="4"/>
  <c r="BB60" i="4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A6" i="4"/>
  <c r="AZ6" i="4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AZ103" i="4" s="1"/>
  <c r="AZ104" i="4" s="1"/>
  <c r="AZ105" i="4" s="1"/>
  <c r="BA105" i="4" s="1"/>
  <c r="AW6" i="4"/>
  <c r="AW7" i="4"/>
  <c r="AW8" i="4"/>
  <c r="AW9" i="4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AW103" i="4" s="1"/>
  <c r="AW104" i="4" s="1"/>
  <c r="AW105" i="4" s="1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U6" i="4"/>
  <c r="AT6" i="4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T103" i="4" s="1"/>
  <c r="AT104" i="4" s="1"/>
  <c r="AT105" i="4" s="1"/>
  <c r="AU105" i="4" s="1"/>
  <c r="AQ6" i="4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Q103" i="4" s="1"/>
  <c r="AQ104" i="4" s="1"/>
  <c r="AQ105" i="4" s="1"/>
  <c r="AP6" i="4"/>
  <c r="AP7" i="4"/>
  <c r="AP8" i="4"/>
  <c r="AP9" i="4"/>
  <c r="AP10" i="4"/>
  <c r="AP11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O6" i="4"/>
  <c r="AN6" i="4"/>
  <c r="AN7" i="4"/>
  <c r="AO7" i="4" s="1"/>
  <c r="AK6" i="4"/>
  <c r="AK7" i="4"/>
  <c r="AK8" i="4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AK103" i="4" s="1"/>
  <c r="AK104" i="4" s="1"/>
  <c r="AK105" i="4" s="1"/>
  <c r="AJ6" i="4"/>
  <c r="AJ7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I6" i="4"/>
  <c r="AH6" i="4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03" i="4" s="1"/>
  <c r="AH104" i="4" s="1"/>
  <c r="AH105" i="4" s="1"/>
  <c r="AI105" i="4" s="1"/>
  <c r="AE6" i="4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AE103" i="4" s="1"/>
  <c r="AE104" i="4" s="1"/>
  <c r="AE105" i="4" s="1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C6" i="4"/>
  <c r="AB6" i="4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AB103" i="4" s="1"/>
  <c r="AB104" i="4" s="1"/>
  <c r="AB105" i="4" s="1"/>
  <c r="AC105" i="4" s="1"/>
  <c r="Y6" i="4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W6" i="4"/>
  <c r="V6" i="4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V103" i="4" s="1"/>
  <c r="V104" i="4" s="1"/>
  <c r="V105" i="4" s="1"/>
  <c r="W105" i="4" s="1"/>
  <c r="S6" i="4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S103" i="4" s="1"/>
  <c r="S104" i="4" s="1"/>
  <c r="S105" i="4" s="1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Q6" i="4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Q105" i="4" s="1"/>
  <c r="M6" i="4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M103" i="4" s="1"/>
  <c r="M104" i="4" s="1"/>
  <c r="M105" i="4" s="1"/>
  <c r="K6" i="4"/>
  <c r="E7" i="4"/>
  <c r="F9" i="4"/>
  <c r="F8" i="4"/>
  <c r="A8" i="4"/>
  <c r="D6" i="4"/>
  <c r="D7" i="4" s="1"/>
  <c r="BG85" i="4" l="1"/>
  <c r="BG65" i="4"/>
  <c r="BG45" i="4"/>
  <c r="BG25" i="4"/>
  <c r="BG104" i="4"/>
  <c r="BG84" i="4"/>
  <c r="BG64" i="4"/>
  <c r="BG44" i="4"/>
  <c r="BG24" i="4"/>
  <c r="BG103" i="4"/>
  <c r="BG83" i="4"/>
  <c r="BG63" i="4"/>
  <c r="BG43" i="4"/>
  <c r="BG23" i="4"/>
  <c r="BG102" i="4"/>
  <c r="BG82" i="4"/>
  <c r="BG62" i="4"/>
  <c r="BG42" i="4"/>
  <c r="BG22" i="4"/>
  <c r="BG101" i="4"/>
  <c r="BG81" i="4"/>
  <c r="BG61" i="4"/>
  <c r="BG41" i="4"/>
  <c r="BG21" i="4"/>
  <c r="BG100" i="4"/>
  <c r="BG80" i="4"/>
  <c r="BG60" i="4"/>
  <c r="BG40" i="4"/>
  <c r="BG20" i="4"/>
  <c r="BG99" i="4"/>
  <c r="BG79" i="4"/>
  <c r="BG59" i="4"/>
  <c r="BG39" i="4"/>
  <c r="BG19" i="4"/>
  <c r="BG98" i="4"/>
  <c r="BG78" i="4"/>
  <c r="BG58" i="4"/>
  <c r="BG38" i="4"/>
  <c r="BG18" i="4"/>
  <c r="BG97" i="4"/>
  <c r="BG77" i="4"/>
  <c r="BG57" i="4"/>
  <c r="BG37" i="4"/>
  <c r="BG17" i="4"/>
  <c r="BG96" i="4"/>
  <c r="BG76" i="4"/>
  <c r="BG56" i="4"/>
  <c r="BG36" i="4"/>
  <c r="BG16" i="4"/>
  <c r="BG95" i="4"/>
  <c r="BG75" i="4"/>
  <c r="BG55" i="4"/>
  <c r="BG35" i="4"/>
  <c r="BG15" i="4"/>
  <c r="BG94" i="4"/>
  <c r="BG74" i="4"/>
  <c r="BG54" i="4"/>
  <c r="BG34" i="4"/>
  <c r="BG14" i="4"/>
  <c r="BG93" i="4"/>
  <c r="BG73" i="4"/>
  <c r="BG53" i="4"/>
  <c r="BG33" i="4"/>
  <c r="BG13" i="4"/>
  <c r="BG92" i="4"/>
  <c r="BG72" i="4"/>
  <c r="BG52" i="4"/>
  <c r="BG32" i="4"/>
  <c r="BG12" i="4"/>
  <c r="BG91" i="4"/>
  <c r="BG71" i="4"/>
  <c r="BG51" i="4"/>
  <c r="BG31" i="4"/>
  <c r="BG11" i="4"/>
  <c r="BG90" i="4"/>
  <c r="BG70" i="4"/>
  <c r="BG50" i="4"/>
  <c r="BG30" i="4"/>
  <c r="BG10" i="4"/>
  <c r="BG89" i="4"/>
  <c r="BG69" i="4"/>
  <c r="BG49" i="4"/>
  <c r="BG29" i="4"/>
  <c r="BG9" i="4"/>
  <c r="BG88" i="4"/>
  <c r="BG68" i="4"/>
  <c r="BG48" i="4"/>
  <c r="BG28" i="4"/>
  <c r="BG8" i="4"/>
  <c r="BG87" i="4"/>
  <c r="BG67" i="4"/>
  <c r="BG47" i="4"/>
  <c r="BG27" i="4"/>
  <c r="BG7" i="4"/>
  <c r="BG86" i="4"/>
  <c r="BG66" i="4"/>
  <c r="BG46" i="4"/>
  <c r="BG26" i="4"/>
  <c r="BA85" i="4"/>
  <c r="BA65" i="4"/>
  <c r="BA45" i="4"/>
  <c r="BA25" i="4"/>
  <c r="BA104" i="4"/>
  <c r="BA84" i="4"/>
  <c r="BA64" i="4"/>
  <c r="BA44" i="4"/>
  <c r="BA24" i="4"/>
  <c r="BA103" i="4"/>
  <c r="BA83" i="4"/>
  <c r="BA63" i="4"/>
  <c r="BA43" i="4"/>
  <c r="BA23" i="4"/>
  <c r="BA102" i="4"/>
  <c r="BA82" i="4"/>
  <c r="BA62" i="4"/>
  <c r="BA42" i="4"/>
  <c r="BA22" i="4"/>
  <c r="BA101" i="4"/>
  <c r="BA81" i="4"/>
  <c r="BA61" i="4"/>
  <c r="BA41" i="4"/>
  <c r="BA21" i="4"/>
  <c r="BA100" i="4"/>
  <c r="BA80" i="4"/>
  <c r="BA60" i="4"/>
  <c r="BA40" i="4"/>
  <c r="BA20" i="4"/>
  <c r="BA99" i="4"/>
  <c r="BA79" i="4"/>
  <c r="BA59" i="4"/>
  <c r="BA39" i="4"/>
  <c r="BA19" i="4"/>
  <c r="BA98" i="4"/>
  <c r="BA78" i="4"/>
  <c r="BA58" i="4"/>
  <c r="BA38" i="4"/>
  <c r="BA18" i="4"/>
  <c r="BA97" i="4"/>
  <c r="BA77" i="4"/>
  <c r="BA57" i="4"/>
  <c r="BA37" i="4"/>
  <c r="BA17" i="4"/>
  <c r="BA96" i="4"/>
  <c r="BA76" i="4"/>
  <c r="BA56" i="4"/>
  <c r="BA36" i="4"/>
  <c r="BA16" i="4"/>
  <c r="BA75" i="4"/>
  <c r="BA55" i="4"/>
  <c r="BA35" i="4"/>
  <c r="BA15" i="4"/>
  <c r="BA94" i="4"/>
  <c r="BA74" i="4"/>
  <c r="BA54" i="4"/>
  <c r="BA34" i="4"/>
  <c r="BA14" i="4"/>
  <c r="BA93" i="4"/>
  <c r="BA73" i="4"/>
  <c r="BA53" i="4"/>
  <c r="BA33" i="4"/>
  <c r="BA13" i="4"/>
  <c r="BA92" i="4"/>
  <c r="BA72" i="4"/>
  <c r="BA52" i="4"/>
  <c r="BA32" i="4"/>
  <c r="BA12" i="4"/>
  <c r="BA91" i="4"/>
  <c r="BA71" i="4"/>
  <c r="BA51" i="4"/>
  <c r="BA31" i="4"/>
  <c r="BA11" i="4"/>
  <c r="BA95" i="4"/>
  <c r="BA90" i="4"/>
  <c r="BA70" i="4"/>
  <c r="BA50" i="4"/>
  <c r="BA30" i="4"/>
  <c r="BA10" i="4"/>
  <c r="BA89" i="4"/>
  <c r="BA69" i="4"/>
  <c r="BA49" i="4"/>
  <c r="BA29" i="4"/>
  <c r="BA9" i="4"/>
  <c r="BA88" i="4"/>
  <c r="BA68" i="4"/>
  <c r="BA48" i="4"/>
  <c r="BA28" i="4"/>
  <c r="BA8" i="4"/>
  <c r="BA87" i="4"/>
  <c r="BA67" i="4"/>
  <c r="BA47" i="4"/>
  <c r="BA27" i="4"/>
  <c r="BA7" i="4"/>
  <c r="BA86" i="4"/>
  <c r="BA66" i="4"/>
  <c r="BA46" i="4"/>
  <c r="BA26" i="4"/>
  <c r="AU104" i="4"/>
  <c r="AU84" i="4"/>
  <c r="AU64" i="4"/>
  <c r="AU44" i="4"/>
  <c r="AU24" i="4"/>
  <c r="AU103" i="4"/>
  <c r="AU83" i="4"/>
  <c r="AU63" i="4"/>
  <c r="AU43" i="4"/>
  <c r="AU23" i="4"/>
  <c r="AU102" i="4"/>
  <c r="AU82" i="4"/>
  <c r="AU62" i="4"/>
  <c r="AU42" i="4"/>
  <c r="AU22" i="4"/>
  <c r="AU101" i="4"/>
  <c r="AU81" i="4"/>
  <c r="AU61" i="4"/>
  <c r="AU41" i="4"/>
  <c r="AU21" i="4"/>
  <c r="AU100" i="4"/>
  <c r="AU80" i="4"/>
  <c r="AU60" i="4"/>
  <c r="AU40" i="4"/>
  <c r="AU20" i="4"/>
  <c r="AU99" i="4"/>
  <c r="AU79" i="4"/>
  <c r="AU59" i="4"/>
  <c r="AU39" i="4"/>
  <c r="AU19" i="4"/>
  <c r="AU98" i="4"/>
  <c r="AU78" i="4"/>
  <c r="AU58" i="4"/>
  <c r="AU38" i="4"/>
  <c r="AU18" i="4"/>
  <c r="AU97" i="4"/>
  <c r="AU77" i="4"/>
  <c r="AU57" i="4"/>
  <c r="AU37" i="4"/>
  <c r="AU17" i="4"/>
  <c r="AU96" i="4"/>
  <c r="AU76" i="4"/>
  <c r="AU56" i="4"/>
  <c r="AU36" i="4"/>
  <c r="AU16" i="4"/>
  <c r="AU85" i="4"/>
  <c r="AU95" i="4"/>
  <c r="AU75" i="4"/>
  <c r="AU55" i="4"/>
  <c r="AU35" i="4"/>
  <c r="AU15" i="4"/>
  <c r="AU45" i="4"/>
  <c r="AU94" i="4"/>
  <c r="AU74" i="4"/>
  <c r="AU54" i="4"/>
  <c r="AU34" i="4"/>
  <c r="AU14" i="4"/>
  <c r="AU25" i="4"/>
  <c r="AU93" i="4"/>
  <c r="AU73" i="4"/>
  <c r="AU53" i="4"/>
  <c r="AU33" i="4"/>
  <c r="AU13" i="4"/>
  <c r="AU92" i="4"/>
  <c r="AU72" i="4"/>
  <c r="AU52" i="4"/>
  <c r="AU32" i="4"/>
  <c r="AU12" i="4"/>
  <c r="AU65" i="4"/>
  <c r="AU91" i="4"/>
  <c r="AU71" i="4"/>
  <c r="AU51" i="4"/>
  <c r="AU31" i="4"/>
  <c r="AU11" i="4"/>
  <c r="AU90" i="4"/>
  <c r="AU70" i="4"/>
  <c r="AU50" i="4"/>
  <c r="AU30" i="4"/>
  <c r="AU10" i="4"/>
  <c r="AU89" i="4"/>
  <c r="AU69" i="4"/>
  <c r="AU49" i="4"/>
  <c r="AU29" i="4"/>
  <c r="AU9" i="4"/>
  <c r="AU88" i="4"/>
  <c r="AU68" i="4"/>
  <c r="AU48" i="4"/>
  <c r="AU28" i="4"/>
  <c r="AU8" i="4"/>
  <c r="AU87" i="4"/>
  <c r="AU67" i="4"/>
  <c r="AU47" i="4"/>
  <c r="AU27" i="4"/>
  <c r="AU7" i="4"/>
  <c r="AU86" i="4"/>
  <c r="AU66" i="4"/>
  <c r="AU46" i="4"/>
  <c r="AU26" i="4"/>
  <c r="AN8" i="4"/>
  <c r="AI85" i="4"/>
  <c r="AI65" i="4"/>
  <c r="AI45" i="4"/>
  <c r="AI25" i="4"/>
  <c r="AI64" i="4"/>
  <c r="AI44" i="4"/>
  <c r="AI24" i="4"/>
  <c r="AI63" i="4"/>
  <c r="AI43" i="4"/>
  <c r="AI23" i="4"/>
  <c r="AI102" i="4"/>
  <c r="AI82" i="4"/>
  <c r="AI62" i="4"/>
  <c r="AI42" i="4"/>
  <c r="AI22" i="4"/>
  <c r="AI101" i="4"/>
  <c r="AI81" i="4"/>
  <c r="AI61" i="4"/>
  <c r="AI41" i="4"/>
  <c r="AI21" i="4"/>
  <c r="AI100" i="4"/>
  <c r="AI80" i="4"/>
  <c r="AI60" i="4"/>
  <c r="AI40" i="4"/>
  <c r="AI20" i="4"/>
  <c r="AI99" i="4"/>
  <c r="AI79" i="4"/>
  <c r="AI59" i="4"/>
  <c r="AI39" i="4"/>
  <c r="AI19" i="4"/>
  <c r="AI98" i="4"/>
  <c r="AI78" i="4"/>
  <c r="AI58" i="4"/>
  <c r="AI38" i="4"/>
  <c r="AI18" i="4"/>
  <c r="AI97" i="4"/>
  <c r="AI77" i="4"/>
  <c r="AI57" i="4"/>
  <c r="AI37" i="4"/>
  <c r="AI17" i="4"/>
  <c r="AI83" i="4"/>
  <c r="AI96" i="4"/>
  <c r="AI76" i="4"/>
  <c r="AI56" i="4"/>
  <c r="AI36" i="4"/>
  <c r="AI16" i="4"/>
  <c r="AI95" i="4"/>
  <c r="AI75" i="4"/>
  <c r="AI55" i="4"/>
  <c r="AI35" i="4"/>
  <c r="AI15" i="4"/>
  <c r="AI74" i="4"/>
  <c r="AI54" i="4"/>
  <c r="AI34" i="4"/>
  <c r="AI14" i="4"/>
  <c r="AI93" i="4"/>
  <c r="AI73" i="4"/>
  <c r="AI53" i="4"/>
  <c r="AI33" i="4"/>
  <c r="AI13" i="4"/>
  <c r="AI84" i="4"/>
  <c r="AI92" i="4"/>
  <c r="AI72" i="4"/>
  <c r="AI52" i="4"/>
  <c r="AI32" i="4"/>
  <c r="AI12" i="4"/>
  <c r="AI91" i="4"/>
  <c r="AI71" i="4"/>
  <c r="AI51" i="4"/>
  <c r="AI31" i="4"/>
  <c r="AI11" i="4"/>
  <c r="AI104" i="4"/>
  <c r="AI90" i="4"/>
  <c r="AI70" i="4"/>
  <c r="AI50" i="4"/>
  <c r="AI30" i="4"/>
  <c r="AI10" i="4"/>
  <c r="AI103" i="4"/>
  <c r="AI89" i="4"/>
  <c r="AI69" i="4"/>
  <c r="AI49" i="4"/>
  <c r="AI29" i="4"/>
  <c r="AI9" i="4"/>
  <c r="AI94" i="4"/>
  <c r="AI88" i="4"/>
  <c r="AI68" i="4"/>
  <c r="AI48" i="4"/>
  <c r="AI28" i="4"/>
  <c r="AI8" i="4"/>
  <c r="AI87" i="4"/>
  <c r="AI67" i="4"/>
  <c r="AI47" i="4"/>
  <c r="AI27" i="4"/>
  <c r="AI7" i="4"/>
  <c r="AI86" i="4"/>
  <c r="AI66" i="4"/>
  <c r="AI46" i="4"/>
  <c r="AI26" i="4"/>
  <c r="AC64" i="4"/>
  <c r="AC44" i="4"/>
  <c r="AC24" i="4"/>
  <c r="AC23" i="4"/>
  <c r="AC25" i="4"/>
  <c r="AC82" i="4"/>
  <c r="AC62" i="4"/>
  <c r="AC42" i="4"/>
  <c r="AC22" i="4"/>
  <c r="AC81" i="4"/>
  <c r="AC61" i="4"/>
  <c r="AC41" i="4"/>
  <c r="AC21" i="4"/>
  <c r="AC80" i="4"/>
  <c r="AC60" i="4"/>
  <c r="AC40" i="4"/>
  <c r="AC20" i="4"/>
  <c r="AC65" i="4"/>
  <c r="AC79" i="4"/>
  <c r="AC59" i="4"/>
  <c r="AC39" i="4"/>
  <c r="AC19" i="4"/>
  <c r="AC63" i="4"/>
  <c r="AC78" i="4"/>
  <c r="AC58" i="4"/>
  <c r="AC38" i="4"/>
  <c r="AC18" i="4"/>
  <c r="AC45" i="4"/>
  <c r="AC77" i="4"/>
  <c r="AC57" i="4"/>
  <c r="AC37" i="4"/>
  <c r="AC17" i="4"/>
  <c r="AC84" i="4"/>
  <c r="AC96" i="4"/>
  <c r="AC76" i="4"/>
  <c r="AC56" i="4"/>
  <c r="AC36" i="4"/>
  <c r="AC16" i="4"/>
  <c r="AC83" i="4"/>
  <c r="AC97" i="4"/>
  <c r="AC95" i="4"/>
  <c r="AC75" i="4"/>
  <c r="AC55" i="4"/>
  <c r="AC35" i="4"/>
  <c r="AC15" i="4"/>
  <c r="AC104" i="4"/>
  <c r="AC99" i="4"/>
  <c r="AC34" i="4"/>
  <c r="AC14" i="4"/>
  <c r="AC102" i="4"/>
  <c r="AC93" i="4"/>
  <c r="AC73" i="4"/>
  <c r="AC53" i="4"/>
  <c r="AC33" i="4"/>
  <c r="AC13" i="4"/>
  <c r="AC43" i="4"/>
  <c r="AC92" i="4"/>
  <c r="AC72" i="4"/>
  <c r="AC52" i="4"/>
  <c r="AC32" i="4"/>
  <c r="AC12" i="4"/>
  <c r="AC85" i="4"/>
  <c r="AC101" i="4"/>
  <c r="AC54" i="4"/>
  <c r="AC91" i="4"/>
  <c r="AC71" i="4"/>
  <c r="AC51" i="4"/>
  <c r="AC31" i="4"/>
  <c r="AC11" i="4"/>
  <c r="AC100" i="4"/>
  <c r="AC90" i="4"/>
  <c r="AC70" i="4"/>
  <c r="AC50" i="4"/>
  <c r="AC30" i="4"/>
  <c r="AC10" i="4"/>
  <c r="AC98" i="4"/>
  <c r="AC94" i="4"/>
  <c r="AC89" i="4"/>
  <c r="AC69" i="4"/>
  <c r="AC49" i="4"/>
  <c r="AC29" i="4"/>
  <c r="AC9" i="4"/>
  <c r="AC103" i="4"/>
  <c r="AC74" i="4"/>
  <c r="AC88" i="4"/>
  <c r="AC68" i="4"/>
  <c r="AC48" i="4"/>
  <c r="AC28" i="4"/>
  <c r="AC8" i="4"/>
  <c r="AC87" i="4"/>
  <c r="AC67" i="4"/>
  <c r="AC47" i="4"/>
  <c r="AC27" i="4"/>
  <c r="AC7" i="4"/>
  <c r="AC86" i="4"/>
  <c r="AC66" i="4"/>
  <c r="AC46" i="4"/>
  <c r="AC26" i="4"/>
  <c r="W44" i="4"/>
  <c r="W24" i="4"/>
  <c r="W23" i="4"/>
  <c r="W42" i="4"/>
  <c r="W22" i="4"/>
  <c r="W25" i="4"/>
  <c r="W61" i="4"/>
  <c r="W41" i="4"/>
  <c r="W21" i="4"/>
  <c r="W84" i="4"/>
  <c r="W60" i="4"/>
  <c r="W40" i="4"/>
  <c r="W20" i="4"/>
  <c r="W65" i="4"/>
  <c r="W81" i="4"/>
  <c r="W59" i="4"/>
  <c r="W39" i="4"/>
  <c r="W19" i="4"/>
  <c r="W62" i="4"/>
  <c r="W78" i="4"/>
  <c r="W58" i="4"/>
  <c r="W38" i="4"/>
  <c r="W18" i="4"/>
  <c r="W103" i="4"/>
  <c r="W77" i="4"/>
  <c r="W57" i="4"/>
  <c r="W37" i="4"/>
  <c r="W17" i="4"/>
  <c r="W63" i="4"/>
  <c r="W96" i="4"/>
  <c r="W76" i="4"/>
  <c r="W56" i="4"/>
  <c r="W36" i="4"/>
  <c r="W16" i="4"/>
  <c r="W83" i="4"/>
  <c r="W95" i="4"/>
  <c r="W75" i="4"/>
  <c r="W55" i="4"/>
  <c r="W35" i="4"/>
  <c r="W15" i="4"/>
  <c r="W82" i="4"/>
  <c r="W94" i="4"/>
  <c r="W34" i="4"/>
  <c r="W14" i="4"/>
  <c r="W45" i="4"/>
  <c r="W101" i="4"/>
  <c r="W73" i="4"/>
  <c r="W53" i="4"/>
  <c r="W33" i="4"/>
  <c r="W13" i="4"/>
  <c r="W85" i="4"/>
  <c r="W80" i="4"/>
  <c r="W92" i="4"/>
  <c r="W72" i="4"/>
  <c r="W52" i="4"/>
  <c r="W32" i="4"/>
  <c r="W12" i="4"/>
  <c r="W102" i="4"/>
  <c r="W97" i="4"/>
  <c r="W71" i="4"/>
  <c r="W51" i="4"/>
  <c r="W31" i="4"/>
  <c r="W11" i="4"/>
  <c r="W104" i="4"/>
  <c r="W79" i="4"/>
  <c r="W93" i="4"/>
  <c r="W90" i="4"/>
  <c r="W70" i="4"/>
  <c r="W50" i="4"/>
  <c r="W30" i="4"/>
  <c r="W10" i="4"/>
  <c r="W99" i="4"/>
  <c r="W74" i="4"/>
  <c r="W89" i="4"/>
  <c r="W69" i="4"/>
  <c r="W49" i="4"/>
  <c r="W29" i="4"/>
  <c r="W9" i="4"/>
  <c r="W43" i="4"/>
  <c r="W98" i="4"/>
  <c r="W91" i="4"/>
  <c r="W88" i="4"/>
  <c r="W68" i="4"/>
  <c r="W48" i="4"/>
  <c r="W28" i="4"/>
  <c r="W8" i="4"/>
  <c r="W64" i="4"/>
  <c r="W100" i="4"/>
  <c r="W54" i="4"/>
  <c r="W87" i="4"/>
  <c r="W67" i="4"/>
  <c r="W47" i="4"/>
  <c r="W27" i="4"/>
  <c r="W7" i="4"/>
  <c r="W86" i="4"/>
  <c r="W66" i="4"/>
  <c r="W46" i="4"/>
  <c r="W26" i="4"/>
  <c r="Q25" i="4"/>
  <c r="Q24" i="4"/>
  <c r="Q84" i="4"/>
  <c r="Q22" i="4"/>
  <c r="Q81" i="4"/>
  <c r="Q21" i="4"/>
  <c r="Q45" i="4"/>
  <c r="Q20" i="4"/>
  <c r="Q42" i="4"/>
  <c r="Q39" i="4"/>
  <c r="Q19" i="4"/>
  <c r="Q63" i="4"/>
  <c r="Q60" i="4"/>
  <c r="Q38" i="4"/>
  <c r="Q18" i="4"/>
  <c r="Q23" i="4"/>
  <c r="Q59" i="4"/>
  <c r="Q37" i="4"/>
  <c r="Q17" i="4"/>
  <c r="Q102" i="4"/>
  <c r="Q58" i="4"/>
  <c r="Q36" i="4"/>
  <c r="Q16" i="4"/>
  <c r="Q83" i="4"/>
  <c r="Q98" i="4"/>
  <c r="Q15" i="4"/>
  <c r="Q65" i="4"/>
  <c r="Q41" i="4"/>
  <c r="Q57" i="4"/>
  <c r="Q34" i="4"/>
  <c r="Q14" i="4"/>
  <c r="Q44" i="4"/>
  <c r="Q100" i="4"/>
  <c r="Q95" i="4"/>
  <c r="Q13" i="4"/>
  <c r="Q62" i="4"/>
  <c r="Q79" i="4"/>
  <c r="Q56" i="4"/>
  <c r="Q74" i="4"/>
  <c r="Q72" i="4"/>
  <c r="Q52" i="4"/>
  <c r="Q32" i="4"/>
  <c r="Q12" i="4"/>
  <c r="Q85" i="4"/>
  <c r="Q82" i="4"/>
  <c r="Q99" i="4"/>
  <c r="Q76" i="4"/>
  <c r="Q94" i="4"/>
  <c r="Q73" i="4"/>
  <c r="Q71" i="4"/>
  <c r="Q51" i="4"/>
  <c r="Q31" i="4"/>
  <c r="Q11" i="4"/>
  <c r="Q43" i="4"/>
  <c r="Q80" i="4"/>
  <c r="Q77" i="4"/>
  <c r="Q35" i="4"/>
  <c r="Q33" i="4"/>
  <c r="Q50" i="4"/>
  <c r="Q30" i="4"/>
  <c r="Q10" i="4"/>
  <c r="Q104" i="4"/>
  <c r="Q61" i="4"/>
  <c r="Q97" i="4"/>
  <c r="Q55" i="4"/>
  <c r="Q53" i="4"/>
  <c r="Q90" i="4"/>
  <c r="Q89" i="4"/>
  <c r="Q69" i="4"/>
  <c r="Q49" i="4"/>
  <c r="Q29" i="4"/>
  <c r="Q9" i="4"/>
  <c r="Q64" i="4"/>
  <c r="Q101" i="4"/>
  <c r="Q78" i="4"/>
  <c r="Q75" i="4"/>
  <c r="Q93" i="4"/>
  <c r="Q91" i="4"/>
  <c r="Q70" i="4"/>
  <c r="Q88" i="4"/>
  <c r="Q68" i="4"/>
  <c r="Q48" i="4"/>
  <c r="Q28" i="4"/>
  <c r="Q8" i="4"/>
  <c r="Q103" i="4"/>
  <c r="Q40" i="4"/>
  <c r="Q96" i="4"/>
  <c r="Q54" i="4"/>
  <c r="Q92" i="4"/>
  <c r="Q87" i="4"/>
  <c r="Q67" i="4"/>
  <c r="Q47" i="4"/>
  <c r="Q27" i="4"/>
  <c r="Q7" i="4"/>
  <c r="Q86" i="4"/>
  <c r="Q66" i="4"/>
  <c r="Q46" i="4"/>
  <c r="Q26" i="4"/>
  <c r="D8" i="4"/>
  <c r="E8" i="4" s="1"/>
  <c r="A9" i="4"/>
  <c r="AO8" i="4" l="1"/>
  <c r="AN9" i="4"/>
  <c r="A10" i="4"/>
  <c r="D9" i="4"/>
  <c r="E9" i="4" s="1"/>
  <c r="AN10" i="4" l="1"/>
  <c r="AO9" i="4"/>
  <c r="A11" i="4"/>
  <c r="F10" i="4"/>
  <c r="D10" i="4"/>
  <c r="E10" i="4" s="1"/>
  <c r="AN11" i="4" l="1"/>
  <c r="AO10" i="4"/>
  <c r="A12" i="4"/>
  <c r="F11" i="4"/>
  <c r="D11" i="4"/>
  <c r="E11" i="4" s="1"/>
  <c r="AN12" i="4" l="1"/>
  <c r="AO11" i="4"/>
  <c r="A13" i="4"/>
  <c r="F12" i="4"/>
  <c r="D12" i="4"/>
  <c r="E12" i="4" s="1"/>
  <c r="AN13" i="4" l="1"/>
  <c r="AO12" i="4"/>
  <c r="A14" i="4"/>
  <c r="F13" i="4"/>
  <c r="D13" i="4"/>
  <c r="E13" i="4" s="1"/>
  <c r="AN14" i="4" l="1"/>
  <c r="AO13" i="4"/>
  <c r="A15" i="4"/>
  <c r="F14" i="4"/>
  <c r="D14" i="4"/>
  <c r="E14" i="4" s="1"/>
  <c r="AN15" i="4" l="1"/>
  <c r="AO14" i="4"/>
  <c r="A16" i="4"/>
  <c r="F15" i="4"/>
  <c r="D15" i="4"/>
  <c r="E15" i="4" s="1"/>
  <c r="AN16" i="4" l="1"/>
  <c r="AO15" i="4"/>
  <c r="A17" i="4"/>
  <c r="F16" i="4"/>
  <c r="D16" i="4"/>
  <c r="E16" i="4" s="1"/>
  <c r="AN17" i="4" l="1"/>
  <c r="AO16" i="4"/>
  <c r="A18" i="4"/>
  <c r="F17" i="4"/>
  <c r="D17" i="4"/>
  <c r="E17" i="4" s="1"/>
  <c r="AN18" i="4" l="1"/>
  <c r="AO17" i="4"/>
  <c r="A19" i="4"/>
  <c r="F18" i="4"/>
  <c r="D18" i="4"/>
  <c r="E18" i="4" s="1"/>
  <c r="AN19" i="4" l="1"/>
  <c r="AO18" i="4"/>
  <c r="A20" i="4"/>
  <c r="F19" i="4"/>
  <c r="D19" i="4"/>
  <c r="E19" i="4" s="1"/>
  <c r="AN20" i="4" l="1"/>
  <c r="AO19" i="4"/>
  <c r="A21" i="4"/>
  <c r="F20" i="4"/>
  <c r="D20" i="4"/>
  <c r="E20" i="4" s="1"/>
  <c r="AN21" i="4" l="1"/>
  <c r="AO20" i="4"/>
  <c r="A22" i="4"/>
  <c r="F21" i="4"/>
  <c r="D21" i="4"/>
  <c r="E21" i="4" s="1"/>
  <c r="AN22" i="4" l="1"/>
  <c r="AO21" i="4"/>
  <c r="D22" i="4"/>
  <c r="E22" i="4" s="1"/>
  <c r="A23" i="4"/>
  <c r="F22" i="4"/>
  <c r="AN23" i="4" l="1"/>
  <c r="AO22" i="4"/>
  <c r="A24" i="4"/>
  <c r="F23" i="4"/>
  <c r="D23" i="4"/>
  <c r="E23" i="4" s="1"/>
  <c r="AN24" i="4" l="1"/>
  <c r="AO23" i="4"/>
  <c r="D24" i="4"/>
  <c r="E24" i="4" s="1"/>
  <c r="A25" i="4"/>
  <c r="F24" i="4"/>
  <c r="AN25" i="4" l="1"/>
  <c r="AO24" i="4"/>
  <c r="A26" i="4"/>
  <c r="F25" i="4"/>
  <c r="D25" i="4"/>
  <c r="E25" i="4" s="1"/>
  <c r="AN26" i="4" l="1"/>
  <c r="AO25" i="4"/>
  <c r="D26" i="4"/>
  <c r="E26" i="4" s="1"/>
  <c r="A27" i="4"/>
  <c r="F26" i="4"/>
  <c r="AN27" i="4" l="1"/>
  <c r="AO26" i="4"/>
  <c r="A28" i="4"/>
  <c r="F27" i="4"/>
  <c r="D27" i="4"/>
  <c r="E27" i="4" s="1"/>
  <c r="AN28" i="4" l="1"/>
  <c r="AO27" i="4"/>
  <c r="D28" i="4"/>
  <c r="E28" i="4" s="1"/>
  <c r="A29" i="4"/>
  <c r="F28" i="4"/>
  <c r="AN29" i="4" l="1"/>
  <c r="AO28" i="4"/>
  <c r="A30" i="4"/>
  <c r="F29" i="4"/>
  <c r="D29" i="4"/>
  <c r="E29" i="4" s="1"/>
  <c r="AN30" i="4" l="1"/>
  <c r="AO29" i="4"/>
  <c r="D30" i="4"/>
  <c r="E30" i="4" s="1"/>
  <c r="A31" i="4"/>
  <c r="F30" i="4"/>
  <c r="AN31" i="4" l="1"/>
  <c r="AO30" i="4"/>
  <c r="A32" i="4"/>
  <c r="F31" i="4"/>
  <c r="D31" i="4"/>
  <c r="E31" i="4" s="1"/>
  <c r="AN32" i="4" l="1"/>
  <c r="AO31" i="4"/>
  <c r="D32" i="4"/>
  <c r="E32" i="4" s="1"/>
  <c r="A33" i="4"/>
  <c r="F32" i="4"/>
  <c r="AN33" i="4" l="1"/>
  <c r="AO32" i="4"/>
  <c r="A34" i="4"/>
  <c r="F33" i="4"/>
  <c r="D33" i="4"/>
  <c r="E33" i="4" s="1"/>
  <c r="AN34" i="4" l="1"/>
  <c r="AO33" i="4"/>
  <c r="D34" i="4"/>
  <c r="E34" i="4" s="1"/>
  <c r="A35" i="4"/>
  <c r="F34" i="4"/>
  <c r="AN35" i="4" l="1"/>
  <c r="AO34" i="4"/>
  <c r="A36" i="4"/>
  <c r="F35" i="4"/>
  <c r="D35" i="4"/>
  <c r="E35" i="4" s="1"/>
  <c r="AN36" i="4" l="1"/>
  <c r="AO35" i="4"/>
  <c r="D36" i="4"/>
  <c r="E36" i="4" s="1"/>
  <c r="A37" i="4"/>
  <c r="F36" i="4"/>
  <c r="AN37" i="4" l="1"/>
  <c r="AO36" i="4"/>
  <c r="A38" i="4"/>
  <c r="F37" i="4"/>
  <c r="D37" i="4"/>
  <c r="E37" i="4" s="1"/>
  <c r="AN38" i="4" l="1"/>
  <c r="AO37" i="4"/>
  <c r="D38" i="4"/>
  <c r="E38" i="4" s="1"/>
  <c r="A39" i="4"/>
  <c r="F38" i="4"/>
  <c r="AN39" i="4" l="1"/>
  <c r="AO38" i="4"/>
  <c r="A40" i="4"/>
  <c r="F39" i="4"/>
  <c r="D39" i="4"/>
  <c r="E39" i="4" s="1"/>
  <c r="AN40" i="4" l="1"/>
  <c r="AO39" i="4"/>
  <c r="D40" i="4"/>
  <c r="E40" i="4" s="1"/>
  <c r="A41" i="4"/>
  <c r="F40" i="4"/>
  <c r="AN41" i="4" l="1"/>
  <c r="AO40" i="4"/>
  <c r="A42" i="4"/>
  <c r="F41" i="4"/>
  <c r="D41" i="4"/>
  <c r="E41" i="4" s="1"/>
  <c r="AN42" i="4" l="1"/>
  <c r="AO41" i="4"/>
  <c r="D42" i="4"/>
  <c r="E42" i="4" s="1"/>
  <c r="A43" i="4"/>
  <c r="F42" i="4"/>
  <c r="AN43" i="4" l="1"/>
  <c r="AO42" i="4"/>
  <c r="A44" i="4"/>
  <c r="F43" i="4"/>
  <c r="D43" i="4"/>
  <c r="E43" i="4" s="1"/>
  <c r="AN44" i="4" l="1"/>
  <c r="AO43" i="4"/>
  <c r="D44" i="4"/>
  <c r="E44" i="4" s="1"/>
  <c r="A45" i="4"/>
  <c r="F44" i="4"/>
  <c r="AN45" i="4" l="1"/>
  <c r="AO44" i="4"/>
  <c r="A46" i="4"/>
  <c r="F45" i="4"/>
  <c r="D45" i="4"/>
  <c r="E45" i="4" s="1"/>
  <c r="AN46" i="4" l="1"/>
  <c r="AO45" i="4"/>
  <c r="D46" i="4"/>
  <c r="E46" i="4" s="1"/>
  <c r="A47" i="4"/>
  <c r="F46" i="4"/>
  <c r="AN47" i="4" l="1"/>
  <c r="AO46" i="4"/>
  <c r="A48" i="4"/>
  <c r="F47" i="4"/>
  <c r="D47" i="4"/>
  <c r="E47" i="4" s="1"/>
  <c r="AN48" i="4" l="1"/>
  <c r="AO47" i="4"/>
  <c r="D48" i="4"/>
  <c r="E48" i="4" s="1"/>
  <c r="A49" i="4"/>
  <c r="F48" i="4"/>
  <c r="AN49" i="4" l="1"/>
  <c r="AO48" i="4"/>
  <c r="A50" i="4"/>
  <c r="F49" i="4"/>
  <c r="D49" i="4"/>
  <c r="E49" i="4" s="1"/>
  <c r="AN50" i="4" l="1"/>
  <c r="AO49" i="4"/>
  <c r="A51" i="4"/>
  <c r="F50" i="4"/>
  <c r="D50" i="4"/>
  <c r="E50" i="4" s="1"/>
  <c r="AN51" i="4" l="1"/>
  <c r="AO50" i="4"/>
  <c r="A52" i="4"/>
  <c r="F51" i="4"/>
  <c r="D51" i="4"/>
  <c r="E51" i="4" s="1"/>
  <c r="AN52" i="4" l="1"/>
  <c r="AO51" i="4"/>
  <c r="A53" i="4"/>
  <c r="F52" i="4"/>
  <c r="D52" i="4"/>
  <c r="E52" i="4" s="1"/>
  <c r="AN53" i="4" l="1"/>
  <c r="AO52" i="4"/>
  <c r="F53" i="4"/>
  <c r="A54" i="4"/>
  <c r="D53" i="4"/>
  <c r="E53" i="4" s="1"/>
  <c r="AN54" i="4" l="1"/>
  <c r="AO53" i="4"/>
  <c r="A55" i="4"/>
  <c r="F54" i="4"/>
  <c r="D54" i="4"/>
  <c r="E54" i="4" s="1"/>
  <c r="AN55" i="4" l="1"/>
  <c r="AO54" i="4"/>
  <c r="F55" i="4"/>
  <c r="A56" i="4"/>
  <c r="D55" i="4"/>
  <c r="E55" i="4" s="1"/>
  <c r="AN56" i="4" l="1"/>
  <c r="AO55" i="4"/>
  <c r="A57" i="4"/>
  <c r="F56" i="4"/>
  <c r="D56" i="4"/>
  <c r="E56" i="4" s="1"/>
  <c r="AN57" i="4" l="1"/>
  <c r="AO56" i="4"/>
  <c r="F57" i="4"/>
  <c r="A58" i="4"/>
  <c r="D57" i="4"/>
  <c r="E57" i="4" s="1"/>
  <c r="AN58" i="4" l="1"/>
  <c r="AO57" i="4"/>
  <c r="A59" i="4"/>
  <c r="F58" i="4"/>
  <c r="D58" i="4"/>
  <c r="E58" i="4" s="1"/>
  <c r="AN59" i="4" l="1"/>
  <c r="AO58" i="4"/>
  <c r="F59" i="4"/>
  <c r="A60" i="4"/>
  <c r="D59" i="4"/>
  <c r="E59" i="4" s="1"/>
  <c r="AN60" i="4" l="1"/>
  <c r="AO59" i="4"/>
  <c r="A61" i="4"/>
  <c r="F60" i="4"/>
  <c r="D60" i="4"/>
  <c r="E60" i="4" s="1"/>
  <c r="AN61" i="4" l="1"/>
  <c r="AO60" i="4"/>
  <c r="F61" i="4"/>
  <c r="A62" i="4"/>
  <c r="D61" i="4"/>
  <c r="E61" i="4" s="1"/>
  <c r="AN62" i="4" l="1"/>
  <c r="AO61" i="4"/>
  <c r="A63" i="4"/>
  <c r="F62" i="4"/>
  <c r="D62" i="4"/>
  <c r="E62" i="4" s="1"/>
  <c r="AN63" i="4" l="1"/>
  <c r="AO62" i="4"/>
  <c r="F63" i="4"/>
  <c r="A64" i="4"/>
  <c r="D63" i="4"/>
  <c r="E63" i="4" s="1"/>
  <c r="AN64" i="4" l="1"/>
  <c r="AO63" i="4"/>
  <c r="A65" i="4"/>
  <c r="F64" i="4"/>
  <c r="D64" i="4"/>
  <c r="E64" i="4" s="1"/>
  <c r="AN65" i="4" l="1"/>
  <c r="AO64" i="4"/>
  <c r="F65" i="4"/>
  <c r="A66" i="4"/>
  <c r="D65" i="4"/>
  <c r="E65" i="4" s="1"/>
  <c r="AN66" i="4" l="1"/>
  <c r="AO65" i="4"/>
  <c r="A67" i="4"/>
  <c r="F66" i="4"/>
  <c r="D66" i="4"/>
  <c r="E66" i="4" s="1"/>
  <c r="AN67" i="4" l="1"/>
  <c r="AO66" i="4"/>
  <c r="F67" i="4"/>
  <c r="A68" i="4"/>
  <c r="D67" i="4"/>
  <c r="E67" i="4" s="1"/>
  <c r="AN68" i="4" l="1"/>
  <c r="AO67" i="4"/>
  <c r="A69" i="4"/>
  <c r="F68" i="4"/>
  <c r="D68" i="4"/>
  <c r="E68" i="4" s="1"/>
  <c r="AN69" i="4" l="1"/>
  <c r="AO68" i="4"/>
  <c r="F69" i="4"/>
  <c r="A70" i="4"/>
  <c r="D69" i="4"/>
  <c r="E69" i="4" s="1"/>
  <c r="AN70" i="4" l="1"/>
  <c r="AO69" i="4"/>
  <c r="A71" i="4"/>
  <c r="F70" i="4"/>
  <c r="D70" i="4"/>
  <c r="E70" i="4" s="1"/>
  <c r="AN71" i="4" l="1"/>
  <c r="AO70" i="4"/>
  <c r="F71" i="4"/>
  <c r="A72" i="4"/>
  <c r="D71" i="4"/>
  <c r="E71" i="4" s="1"/>
  <c r="AN72" i="4" l="1"/>
  <c r="AO71" i="4"/>
  <c r="A73" i="4"/>
  <c r="F72" i="4"/>
  <c r="D72" i="4"/>
  <c r="E72" i="4" s="1"/>
  <c r="AN73" i="4" l="1"/>
  <c r="AO72" i="4"/>
  <c r="F73" i="4"/>
  <c r="D73" i="4"/>
  <c r="E73" i="4" s="1"/>
  <c r="A74" i="4"/>
  <c r="AN74" i="4" l="1"/>
  <c r="AO73" i="4"/>
  <c r="A75" i="4"/>
  <c r="F74" i="4"/>
  <c r="D74" i="4"/>
  <c r="E74" i="4" s="1"/>
  <c r="AN75" i="4" l="1"/>
  <c r="AO74" i="4"/>
  <c r="F75" i="4"/>
  <c r="D75" i="4"/>
  <c r="E75" i="4" s="1"/>
  <c r="A76" i="4"/>
  <c r="AN76" i="4" l="1"/>
  <c r="AO75" i="4"/>
  <c r="A77" i="4"/>
  <c r="F76" i="4"/>
  <c r="D76" i="4"/>
  <c r="E76" i="4" s="1"/>
  <c r="AN77" i="4" l="1"/>
  <c r="AO76" i="4"/>
  <c r="F77" i="4"/>
  <c r="D77" i="4"/>
  <c r="E77" i="4" s="1"/>
  <c r="A78" i="4"/>
  <c r="AN78" i="4" l="1"/>
  <c r="AO77" i="4"/>
  <c r="A79" i="4"/>
  <c r="F78" i="4"/>
  <c r="D78" i="4"/>
  <c r="E78" i="4" s="1"/>
  <c r="AN79" i="4" l="1"/>
  <c r="AO78" i="4"/>
  <c r="F79" i="4"/>
  <c r="D79" i="4"/>
  <c r="E79" i="4" s="1"/>
  <c r="A80" i="4"/>
  <c r="AN80" i="4" l="1"/>
  <c r="AO79" i="4"/>
  <c r="A81" i="4"/>
  <c r="F80" i="4"/>
  <c r="D80" i="4"/>
  <c r="E80" i="4" s="1"/>
  <c r="AN81" i="4" l="1"/>
  <c r="AO80" i="4"/>
  <c r="F81" i="4"/>
  <c r="D81" i="4"/>
  <c r="E81" i="4" s="1"/>
  <c r="A82" i="4"/>
  <c r="AN82" i="4" l="1"/>
  <c r="AO81" i="4"/>
  <c r="A83" i="4"/>
  <c r="F82" i="4"/>
  <c r="D82" i="4"/>
  <c r="E82" i="4" s="1"/>
  <c r="AN83" i="4" l="1"/>
  <c r="AO82" i="4"/>
  <c r="F83" i="4"/>
  <c r="D83" i="4"/>
  <c r="E83" i="4" s="1"/>
  <c r="A84" i="4"/>
  <c r="AN84" i="4" l="1"/>
  <c r="AO83" i="4"/>
  <c r="A85" i="4"/>
  <c r="F84" i="4"/>
  <c r="D84" i="4"/>
  <c r="E84" i="4" s="1"/>
  <c r="AN85" i="4" l="1"/>
  <c r="AO84" i="4"/>
  <c r="F85" i="4"/>
  <c r="D85" i="4"/>
  <c r="E85" i="4" s="1"/>
  <c r="A86" i="4"/>
  <c r="AN86" i="4" l="1"/>
  <c r="AO85" i="4"/>
  <c r="A87" i="4"/>
  <c r="F86" i="4"/>
  <c r="D86" i="4"/>
  <c r="E86" i="4" s="1"/>
  <c r="AN87" i="4" l="1"/>
  <c r="AO86" i="4"/>
  <c r="F87" i="4"/>
  <c r="D87" i="4"/>
  <c r="E87" i="4" s="1"/>
  <c r="A88" i="4"/>
  <c r="AN88" i="4" l="1"/>
  <c r="AO87" i="4"/>
  <c r="A89" i="4"/>
  <c r="F88" i="4"/>
  <c r="D88" i="4"/>
  <c r="E88" i="4" s="1"/>
  <c r="AN89" i="4" l="1"/>
  <c r="AO88" i="4"/>
  <c r="F89" i="4"/>
  <c r="D89" i="4"/>
  <c r="E89" i="4" s="1"/>
  <c r="A90" i="4"/>
  <c r="AN90" i="4" l="1"/>
  <c r="AO89" i="4"/>
  <c r="A91" i="4"/>
  <c r="F90" i="4"/>
  <c r="D90" i="4"/>
  <c r="E90" i="4" s="1"/>
  <c r="AN91" i="4" l="1"/>
  <c r="AO90" i="4"/>
  <c r="F91" i="4"/>
  <c r="D91" i="4"/>
  <c r="E91" i="4" s="1"/>
  <c r="A92" i="4"/>
  <c r="AN92" i="4" l="1"/>
  <c r="AO91" i="4"/>
  <c r="A93" i="4"/>
  <c r="F92" i="4"/>
  <c r="D92" i="4"/>
  <c r="E92" i="4" s="1"/>
  <c r="AN93" i="4" l="1"/>
  <c r="AO92" i="4"/>
  <c r="F93" i="4"/>
  <c r="D93" i="4"/>
  <c r="E93" i="4" s="1"/>
  <c r="A94" i="4"/>
  <c r="AN94" i="4" l="1"/>
  <c r="AO93" i="4"/>
  <c r="A95" i="4"/>
  <c r="F94" i="4"/>
  <c r="D94" i="4"/>
  <c r="E94" i="4" s="1"/>
  <c r="AN95" i="4" l="1"/>
  <c r="AO94" i="4"/>
  <c r="F95" i="4"/>
  <c r="D95" i="4"/>
  <c r="E95" i="4" s="1"/>
  <c r="A96" i="4"/>
  <c r="AN96" i="4" l="1"/>
  <c r="AO95" i="4"/>
  <c r="A97" i="4"/>
  <c r="F96" i="4"/>
  <c r="D96" i="4"/>
  <c r="E96" i="4" s="1"/>
  <c r="AN97" i="4" l="1"/>
  <c r="AO96" i="4"/>
  <c r="F97" i="4"/>
  <c r="D97" i="4"/>
  <c r="E97" i="4" s="1"/>
  <c r="A98" i="4"/>
  <c r="AN98" i="4" l="1"/>
  <c r="AO97" i="4"/>
  <c r="A99" i="4"/>
  <c r="F98" i="4"/>
  <c r="D98" i="4"/>
  <c r="E98" i="4" s="1"/>
  <c r="AN99" i="4" l="1"/>
  <c r="AO98" i="4"/>
  <c r="F99" i="4"/>
  <c r="D99" i="4"/>
  <c r="E99" i="4" s="1"/>
  <c r="A100" i="4"/>
  <c r="AN100" i="4" l="1"/>
  <c r="AO99" i="4"/>
  <c r="A101" i="4"/>
  <c r="F100" i="4"/>
  <c r="D100" i="4"/>
  <c r="E100" i="4" s="1"/>
  <c r="AN101" i="4" l="1"/>
  <c r="AO100" i="4"/>
  <c r="F101" i="4"/>
  <c r="D101" i="4"/>
  <c r="E101" i="4" s="1"/>
  <c r="A102" i="4"/>
  <c r="AN102" i="4" l="1"/>
  <c r="AO101" i="4"/>
  <c r="A103" i="4"/>
  <c r="F102" i="4"/>
  <c r="D102" i="4"/>
  <c r="E102" i="4" s="1"/>
  <c r="AN103" i="4" l="1"/>
  <c r="AO102" i="4"/>
  <c r="F103" i="4"/>
  <c r="D103" i="4"/>
  <c r="E103" i="4" s="1"/>
  <c r="A104" i="4"/>
  <c r="AN104" i="4" l="1"/>
  <c r="AO103" i="4"/>
  <c r="A105" i="4"/>
  <c r="F104" i="4"/>
  <c r="D104" i="4"/>
  <c r="E104" i="4" s="1"/>
  <c r="AN105" i="4" l="1"/>
  <c r="AO105" i="4" s="1"/>
  <c r="AO104" i="4"/>
  <c r="F105" i="4"/>
  <c r="D105" i="4"/>
  <c r="E105" i="4" s="1"/>
  <c r="G6" i="4"/>
  <c r="G7" i="4" l="1"/>
  <c r="J6" i="4"/>
  <c r="L6" i="4"/>
  <c r="G8" i="4" l="1"/>
  <c r="L7" i="4"/>
  <c r="J7" i="4"/>
  <c r="K7" i="4" s="1"/>
  <c r="G9" i="4" l="1"/>
  <c r="L8" i="4"/>
  <c r="J8" i="4"/>
  <c r="K8" i="4" s="1"/>
  <c r="G10" i="4" l="1"/>
  <c r="L9" i="4"/>
  <c r="J9" i="4"/>
  <c r="K9" i="4" s="1"/>
  <c r="G11" i="4" l="1"/>
  <c r="L10" i="4"/>
  <c r="J10" i="4"/>
  <c r="K10" i="4" s="1"/>
  <c r="G12" i="4" l="1"/>
  <c r="L11" i="4"/>
  <c r="J11" i="4"/>
  <c r="K11" i="4" s="1"/>
  <c r="G13" i="4" l="1"/>
  <c r="L12" i="4"/>
  <c r="J12" i="4"/>
  <c r="K12" i="4" s="1"/>
  <c r="G14" i="4" l="1"/>
  <c r="L13" i="4"/>
  <c r="J13" i="4"/>
  <c r="K13" i="4" s="1"/>
  <c r="G15" i="4" l="1"/>
  <c r="L14" i="4"/>
  <c r="J14" i="4"/>
  <c r="K14" i="4" s="1"/>
  <c r="G16" i="4" l="1"/>
  <c r="L15" i="4"/>
  <c r="J15" i="4"/>
  <c r="K15" i="4" s="1"/>
  <c r="G17" i="4" l="1"/>
  <c r="L16" i="4"/>
  <c r="J16" i="4"/>
  <c r="K16" i="4" s="1"/>
  <c r="G18" i="4" l="1"/>
  <c r="L17" i="4"/>
  <c r="J17" i="4"/>
  <c r="K17" i="4" s="1"/>
  <c r="G19" i="4" l="1"/>
  <c r="L18" i="4"/>
  <c r="J18" i="4"/>
  <c r="K18" i="4" s="1"/>
  <c r="G20" i="4" l="1"/>
  <c r="L19" i="4"/>
  <c r="J19" i="4"/>
  <c r="K19" i="4" s="1"/>
  <c r="G21" i="4" l="1"/>
  <c r="L20" i="4"/>
  <c r="J20" i="4"/>
  <c r="K20" i="4" s="1"/>
  <c r="J21" i="4" l="1"/>
  <c r="K21" i="4" s="1"/>
  <c r="G22" i="4"/>
  <c r="L21" i="4"/>
  <c r="G23" i="4" l="1"/>
  <c r="L22" i="4"/>
  <c r="J22" i="4"/>
  <c r="K22" i="4" s="1"/>
  <c r="J23" i="4" l="1"/>
  <c r="K23" i="4" s="1"/>
  <c r="G24" i="4"/>
  <c r="L23" i="4"/>
  <c r="G25" i="4" l="1"/>
  <c r="L24" i="4"/>
  <c r="J24" i="4"/>
  <c r="K24" i="4" s="1"/>
  <c r="J25" i="4" l="1"/>
  <c r="K25" i="4" s="1"/>
  <c r="G26" i="4"/>
  <c r="L25" i="4"/>
  <c r="G27" i="4" l="1"/>
  <c r="L26" i="4"/>
  <c r="J26" i="4"/>
  <c r="K26" i="4" s="1"/>
  <c r="J27" i="4" l="1"/>
  <c r="K27" i="4" s="1"/>
  <c r="G28" i="4"/>
  <c r="L27" i="4"/>
  <c r="G29" i="4" l="1"/>
  <c r="L28" i="4"/>
  <c r="J28" i="4"/>
  <c r="K28" i="4" s="1"/>
  <c r="J29" i="4" l="1"/>
  <c r="K29" i="4" s="1"/>
  <c r="G30" i="4"/>
  <c r="L29" i="4"/>
  <c r="G31" i="4" l="1"/>
  <c r="L30" i="4"/>
  <c r="J30" i="4"/>
  <c r="K30" i="4" s="1"/>
  <c r="J31" i="4" l="1"/>
  <c r="K31" i="4" s="1"/>
  <c r="G32" i="4"/>
  <c r="L31" i="4"/>
  <c r="G33" i="4" l="1"/>
  <c r="L32" i="4"/>
  <c r="J32" i="4"/>
  <c r="K32" i="4" s="1"/>
  <c r="J33" i="4" l="1"/>
  <c r="K33" i="4" s="1"/>
  <c r="G34" i="4"/>
  <c r="L33" i="4"/>
  <c r="G35" i="4" l="1"/>
  <c r="L34" i="4"/>
  <c r="J34" i="4"/>
  <c r="K34" i="4" s="1"/>
  <c r="J35" i="4" l="1"/>
  <c r="K35" i="4" s="1"/>
  <c r="G36" i="4"/>
  <c r="L35" i="4"/>
  <c r="G37" i="4" l="1"/>
  <c r="L36" i="4"/>
  <c r="J36" i="4"/>
  <c r="K36" i="4" s="1"/>
  <c r="J37" i="4" l="1"/>
  <c r="K37" i="4" s="1"/>
  <c r="G38" i="4"/>
  <c r="L37" i="4"/>
  <c r="G39" i="4" l="1"/>
  <c r="L38" i="4"/>
  <c r="J38" i="4"/>
  <c r="K38" i="4" s="1"/>
  <c r="J39" i="4" l="1"/>
  <c r="K39" i="4" s="1"/>
  <c r="G40" i="4"/>
  <c r="L39" i="4"/>
  <c r="G41" i="4" l="1"/>
  <c r="L40" i="4"/>
  <c r="J40" i="4"/>
  <c r="K40" i="4" s="1"/>
  <c r="J41" i="4" l="1"/>
  <c r="K41" i="4" s="1"/>
  <c r="G42" i="4"/>
  <c r="L41" i="4"/>
  <c r="G43" i="4" l="1"/>
  <c r="L42" i="4"/>
  <c r="J42" i="4"/>
  <c r="K42" i="4" s="1"/>
  <c r="J43" i="4" l="1"/>
  <c r="K43" i="4" s="1"/>
  <c r="G44" i="4"/>
  <c r="L43" i="4"/>
  <c r="G45" i="4" l="1"/>
  <c r="L44" i="4"/>
  <c r="J44" i="4"/>
  <c r="K44" i="4" s="1"/>
  <c r="J45" i="4" l="1"/>
  <c r="K45" i="4" s="1"/>
  <c r="G46" i="4"/>
  <c r="L45" i="4"/>
  <c r="G47" i="4" l="1"/>
  <c r="L46" i="4"/>
  <c r="J46" i="4"/>
  <c r="K46" i="4" s="1"/>
  <c r="J47" i="4" l="1"/>
  <c r="K47" i="4" s="1"/>
  <c r="G48" i="4"/>
  <c r="L47" i="4"/>
  <c r="G49" i="4" l="1"/>
  <c r="L48" i="4"/>
  <c r="J48" i="4"/>
  <c r="K48" i="4" s="1"/>
  <c r="G50" i="4" l="1"/>
  <c r="L49" i="4"/>
  <c r="J49" i="4"/>
  <c r="K49" i="4" s="1"/>
  <c r="G51" i="4" l="1"/>
  <c r="L50" i="4"/>
  <c r="J50" i="4"/>
  <c r="K50" i="4" s="1"/>
  <c r="G52" i="4" l="1"/>
  <c r="L51" i="4"/>
  <c r="J51" i="4"/>
  <c r="K51" i="4" s="1"/>
  <c r="L52" i="4" l="1"/>
  <c r="G53" i="4"/>
  <c r="J52" i="4"/>
  <c r="K52" i="4" s="1"/>
  <c r="G54" i="4" l="1"/>
  <c r="L53" i="4"/>
  <c r="J53" i="4"/>
  <c r="K53" i="4" s="1"/>
  <c r="L54" i="4" l="1"/>
  <c r="G55" i="4"/>
  <c r="J54" i="4"/>
  <c r="K54" i="4" s="1"/>
  <c r="G56" i="4" l="1"/>
  <c r="L55" i="4"/>
  <c r="J55" i="4"/>
  <c r="K55" i="4" s="1"/>
  <c r="L56" i="4" l="1"/>
  <c r="G57" i="4"/>
  <c r="J56" i="4"/>
  <c r="K56" i="4" s="1"/>
  <c r="G58" i="4" l="1"/>
  <c r="L57" i="4"/>
  <c r="J57" i="4"/>
  <c r="K57" i="4" s="1"/>
  <c r="L58" i="4" l="1"/>
  <c r="G59" i="4"/>
  <c r="J58" i="4"/>
  <c r="K58" i="4" s="1"/>
  <c r="G60" i="4" l="1"/>
  <c r="L59" i="4"/>
  <c r="J59" i="4"/>
  <c r="K59" i="4" s="1"/>
  <c r="L60" i="4" l="1"/>
  <c r="G61" i="4"/>
  <c r="J60" i="4"/>
  <c r="K60" i="4" s="1"/>
  <c r="G62" i="4" l="1"/>
  <c r="L61" i="4"/>
  <c r="J61" i="4"/>
  <c r="K61" i="4" s="1"/>
  <c r="L62" i="4" l="1"/>
  <c r="G63" i="4"/>
  <c r="J62" i="4"/>
  <c r="K62" i="4" s="1"/>
  <c r="G64" i="4" l="1"/>
  <c r="L63" i="4"/>
  <c r="J63" i="4"/>
  <c r="K63" i="4" s="1"/>
  <c r="L64" i="4" l="1"/>
  <c r="G65" i="4"/>
  <c r="J64" i="4"/>
  <c r="K64" i="4" s="1"/>
  <c r="G66" i="4" l="1"/>
  <c r="L65" i="4"/>
  <c r="J65" i="4"/>
  <c r="K65" i="4" s="1"/>
  <c r="L66" i="4" l="1"/>
  <c r="G67" i="4"/>
  <c r="J66" i="4"/>
  <c r="K66" i="4" s="1"/>
  <c r="G68" i="4" l="1"/>
  <c r="L67" i="4"/>
  <c r="J67" i="4"/>
  <c r="K67" i="4" s="1"/>
  <c r="L68" i="4" l="1"/>
  <c r="G69" i="4"/>
  <c r="J68" i="4"/>
  <c r="K68" i="4" s="1"/>
  <c r="G70" i="4" l="1"/>
  <c r="L69" i="4"/>
  <c r="J69" i="4"/>
  <c r="K69" i="4" s="1"/>
  <c r="L70" i="4" l="1"/>
  <c r="G71" i="4"/>
  <c r="J70" i="4"/>
  <c r="K70" i="4" s="1"/>
  <c r="G72" i="4" l="1"/>
  <c r="L71" i="4"/>
  <c r="J71" i="4"/>
  <c r="K71" i="4" s="1"/>
  <c r="L72" i="4" l="1"/>
  <c r="J72" i="4"/>
  <c r="K72" i="4" s="1"/>
  <c r="G73" i="4"/>
  <c r="G74" i="4" l="1"/>
  <c r="L73" i="4"/>
  <c r="J73" i="4"/>
  <c r="K73" i="4" s="1"/>
  <c r="L74" i="4" l="1"/>
  <c r="J74" i="4"/>
  <c r="K74" i="4" s="1"/>
  <c r="G75" i="4"/>
  <c r="G76" i="4" l="1"/>
  <c r="L75" i="4"/>
  <c r="J75" i="4"/>
  <c r="K75" i="4" s="1"/>
  <c r="L76" i="4" l="1"/>
  <c r="J76" i="4"/>
  <c r="K76" i="4" s="1"/>
  <c r="G77" i="4"/>
  <c r="G78" i="4" l="1"/>
  <c r="L77" i="4"/>
  <c r="J77" i="4"/>
  <c r="K77" i="4" s="1"/>
  <c r="L78" i="4" l="1"/>
  <c r="J78" i="4"/>
  <c r="K78" i="4" s="1"/>
  <c r="G79" i="4"/>
  <c r="G80" i="4" l="1"/>
  <c r="L79" i="4"/>
  <c r="J79" i="4"/>
  <c r="K79" i="4" s="1"/>
  <c r="L80" i="4" l="1"/>
  <c r="J80" i="4"/>
  <c r="K80" i="4" s="1"/>
  <c r="G81" i="4"/>
  <c r="G82" i="4" l="1"/>
  <c r="L81" i="4"/>
  <c r="J81" i="4"/>
  <c r="K81" i="4" s="1"/>
  <c r="L82" i="4" l="1"/>
  <c r="J82" i="4"/>
  <c r="K82" i="4" s="1"/>
  <c r="G83" i="4"/>
  <c r="G84" i="4" l="1"/>
  <c r="L83" i="4"/>
  <c r="J83" i="4"/>
  <c r="K83" i="4" s="1"/>
  <c r="L84" i="4" l="1"/>
  <c r="J84" i="4"/>
  <c r="K84" i="4" s="1"/>
  <c r="G85" i="4"/>
  <c r="G86" i="4" l="1"/>
  <c r="L85" i="4"/>
  <c r="J85" i="4"/>
  <c r="K85" i="4" s="1"/>
  <c r="L86" i="4" l="1"/>
  <c r="J86" i="4"/>
  <c r="K86" i="4" s="1"/>
  <c r="G87" i="4"/>
  <c r="G88" i="4" l="1"/>
  <c r="L87" i="4"/>
  <c r="J87" i="4"/>
  <c r="K87" i="4" s="1"/>
  <c r="L88" i="4" l="1"/>
  <c r="J88" i="4"/>
  <c r="K88" i="4" s="1"/>
  <c r="G89" i="4"/>
  <c r="G90" i="4" l="1"/>
  <c r="L89" i="4"/>
  <c r="J89" i="4"/>
  <c r="K89" i="4" s="1"/>
  <c r="L90" i="4" l="1"/>
  <c r="J90" i="4"/>
  <c r="K90" i="4" s="1"/>
  <c r="G91" i="4"/>
  <c r="G92" i="4" l="1"/>
  <c r="L91" i="4"/>
  <c r="J91" i="4"/>
  <c r="K91" i="4" s="1"/>
  <c r="L92" i="4" l="1"/>
  <c r="J92" i="4"/>
  <c r="K92" i="4" s="1"/>
  <c r="G93" i="4"/>
  <c r="G94" i="4" l="1"/>
  <c r="L93" i="4"/>
  <c r="J93" i="4"/>
  <c r="K93" i="4" s="1"/>
  <c r="L94" i="4" l="1"/>
  <c r="J94" i="4"/>
  <c r="K94" i="4" s="1"/>
  <c r="G95" i="4"/>
  <c r="G96" i="4" l="1"/>
  <c r="L95" i="4"/>
  <c r="J95" i="4"/>
  <c r="K95" i="4" s="1"/>
  <c r="L96" i="4" l="1"/>
  <c r="J96" i="4"/>
  <c r="K96" i="4" s="1"/>
  <c r="G97" i="4"/>
  <c r="G98" i="4" l="1"/>
  <c r="L97" i="4"/>
  <c r="J97" i="4"/>
  <c r="K97" i="4" s="1"/>
  <c r="L98" i="4" l="1"/>
  <c r="J98" i="4"/>
  <c r="K98" i="4" s="1"/>
  <c r="G99" i="4"/>
  <c r="G100" i="4" l="1"/>
  <c r="L99" i="4"/>
  <c r="J99" i="4"/>
  <c r="K99" i="4" s="1"/>
  <c r="L100" i="4" l="1"/>
  <c r="J100" i="4"/>
  <c r="K100" i="4" s="1"/>
  <c r="G101" i="4"/>
  <c r="G102" i="4" l="1"/>
  <c r="L101" i="4"/>
  <c r="J101" i="4"/>
  <c r="K101" i="4" s="1"/>
  <c r="L102" i="4" l="1"/>
  <c r="J102" i="4"/>
  <c r="K102" i="4" s="1"/>
  <c r="G103" i="4"/>
  <c r="G104" i="4" l="1"/>
  <c r="L103" i="4"/>
  <c r="J103" i="4"/>
  <c r="K103" i="4" s="1"/>
  <c r="L104" i="4" l="1"/>
  <c r="J104" i="4"/>
  <c r="K104" i="4" s="1"/>
  <c r="G105" i="4"/>
  <c r="L105" i="4" l="1"/>
  <c r="J105" i="4"/>
  <c r="K105" i="4" s="1"/>
</calcChain>
</file>

<file path=xl/sharedStrings.xml><?xml version="1.0" encoding="utf-8"?>
<sst xmlns="http://schemas.openxmlformats.org/spreadsheetml/2006/main" count="62" uniqueCount="20">
  <si>
    <t>BS</t>
    <phoneticPr fontId="1"/>
  </si>
  <si>
    <t>FS</t>
    <phoneticPr fontId="1"/>
  </si>
  <si>
    <t>TBM</t>
    <phoneticPr fontId="1"/>
  </si>
  <si>
    <t>TBM 1.750</t>
    <phoneticPr fontId="1"/>
  </si>
  <si>
    <r>
      <rPr>
        <sz val="11"/>
        <rFont val="ＭＳ Ｐ明朝"/>
        <family val="1"/>
        <charset val="128"/>
      </rPr>
      <t>④</t>
    </r>
    <r>
      <rPr>
        <sz val="11"/>
        <rFont val="Times New Roman"/>
        <family val="1"/>
      </rPr>
      <t xml:space="preserve"> 1.020</t>
    </r>
    <phoneticPr fontId="1"/>
  </si>
  <si>
    <r>
      <rPr>
        <sz val="11"/>
        <rFont val="ＭＳ Ｐ明朝"/>
        <family val="1"/>
        <charset val="128"/>
      </rPr>
      <t>⑤</t>
    </r>
    <r>
      <rPr>
        <sz val="11"/>
        <rFont val="Times New Roman"/>
        <family val="1"/>
      </rPr>
      <t xml:space="preserve"> 1.250</t>
    </r>
    <phoneticPr fontId="1"/>
  </si>
  <si>
    <r>
      <rPr>
        <sz val="11"/>
        <rFont val="ＭＳ Ｐ明朝"/>
        <family val="1"/>
        <charset val="128"/>
      </rPr>
      <t>⑥</t>
    </r>
    <r>
      <rPr>
        <sz val="11"/>
        <rFont val="Times New Roman"/>
        <family val="1"/>
      </rPr>
      <t xml:space="preserve"> 1.680</t>
    </r>
    <phoneticPr fontId="1"/>
  </si>
  <si>
    <t>レ　ベ　ル　計　算　書</t>
    <phoneticPr fontId="1"/>
  </si>
  <si>
    <t>実測値</t>
    <phoneticPr fontId="1"/>
  </si>
  <si>
    <t>説明</t>
    <phoneticPr fontId="1"/>
  </si>
  <si>
    <t>ポイント</t>
    <phoneticPr fontId="1"/>
  </si>
  <si>
    <r>
      <rPr>
        <b/>
        <sz val="11"/>
        <rFont val="ＭＳ Ｐ明朝"/>
        <family val="1"/>
        <charset val="128"/>
      </rPr>
      <t>日付</t>
    </r>
    <r>
      <rPr>
        <b/>
        <sz val="11"/>
        <rFont val="Times New Roman"/>
        <family val="1"/>
      </rPr>
      <t xml:space="preserve"> =</t>
    </r>
    <phoneticPr fontId="1"/>
  </si>
  <si>
    <r>
      <rPr>
        <b/>
        <sz val="11"/>
        <rFont val="ＭＳ Ｐ明朝"/>
        <family val="1"/>
        <charset val="128"/>
      </rPr>
      <t>邸名</t>
    </r>
    <r>
      <rPr>
        <b/>
        <sz val="11"/>
        <rFont val="Times New Roman"/>
        <family val="1"/>
      </rPr>
      <t xml:space="preserve"> =</t>
    </r>
    <phoneticPr fontId="1"/>
  </si>
  <si>
    <r>
      <rPr>
        <b/>
        <sz val="11"/>
        <rFont val="ＭＳ Ｐ明朝"/>
        <family val="1"/>
        <charset val="128"/>
      </rPr>
      <t>住所</t>
    </r>
    <r>
      <rPr>
        <b/>
        <sz val="11"/>
        <rFont val="Times New Roman"/>
        <family val="1"/>
      </rPr>
      <t xml:space="preserve"> =</t>
    </r>
    <phoneticPr fontId="1"/>
  </si>
  <si>
    <r>
      <rPr>
        <sz val="11"/>
        <rFont val="ＭＳ Ｐ明朝"/>
        <family val="1"/>
        <charset val="128"/>
      </rPr>
      <t>ポイント，</t>
    </r>
    <r>
      <rPr>
        <sz val="11"/>
        <rFont val="Times New Roman"/>
        <family val="1"/>
      </rPr>
      <t>BS</t>
    </r>
    <r>
      <rPr>
        <sz val="11"/>
        <rFont val="ＭＳ Ｐ明朝"/>
        <family val="1"/>
        <charset val="128"/>
      </rPr>
      <t>，</t>
    </r>
    <r>
      <rPr>
        <sz val="11"/>
        <rFont val="Times New Roman"/>
        <family val="1"/>
      </rPr>
      <t>FS</t>
    </r>
    <r>
      <rPr>
        <sz val="11"/>
        <rFont val="ＭＳ Ｐ明朝"/>
        <family val="1"/>
        <charset val="128"/>
      </rPr>
      <t>に値を入力してください．網がけのセルには入力しないでください．</t>
    </r>
    <phoneticPr fontId="1"/>
  </si>
  <si>
    <r>
      <rPr>
        <sz val="11"/>
        <rFont val="ＭＳ Ｐ明朝"/>
        <family val="1"/>
        <charset val="128"/>
      </rPr>
      <t>①</t>
    </r>
    <r>
      <rPr>
        <sz val="11"/>
        <rFont val="Times New Roman"/>
        <family val="1"/>
      </rPr>
      <t xml:space="preserve"> 1.835</t>
    </r>
    <phoneticPr fontId="1"/>
  </si>
  <si>
    <r>
      <rPr>
        <sz val="11"/>
        <rFont val="ＭＳ Ｐ明朝"/>
        <family val="1"/>
        <charset val="128"/>
      </rPr>
      <t>②</t>
    </r>
    <r>
      <rPr>
        <sz val="11"/>
        <rFont val="Times New Roman"/>
        <family val="1"/>
      </rPr>
      <t xml:space="preserve"> 2.025</t>
    </r>
    <phoneticPr fontId="1"/>
  </si>
  <si>
    <r>
      <rPr>
        <sz val="11"/>
        <rFont val="ＭＳ Ｐ明朝"/>
        <family val="1"/>
        <charset val="128"/>
      </rPr>
      <t>③</t>
    </r>
    <r>
      <rPr>
        <sz val="11"/>
        <rFont val="Times New Roman"/>
        <family val="1"/>
      </rPr>
      <t xml:space="preserve"> 1.625</t>
    </r>
    <phoneticPr fontId="1"/>
  </si>
  <si>
    <r>
      <rPr>
        <sz val="11"/>
        <rFont val="ＭＳ Ｐ明朝"/>
        <family val="1"/>
        <charset val="128"/>
      </rPr>
      <t>②</t>
    </r>
    <r>
      <rPr>
        <sz val="11"/>
        <rFont val="Times New Roman"/>
        <family val="1"/>
      </rPr>
      <t xml:space="preserve"> 1.345</t>
    </r>
    <phoneticPr fontId="1"/>
  </si>
  <si>
    <r>
      <t xml:space="preserve"> 2024/10/19</t>
    </r>
    <r>
      <rPr>
        <sz val="11"/>
        <rFont val="游ゴシック"/>
        <family val="1"/>
        <charset val="128"/>
      </rPr>
      <t>　株式会社トラバース　システム開発室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</si>
</sst>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\+#;\-#;&quot;±&quot;0"/>
    <numFmt numFmtId="177" formatCode="0.00_ "/>
    <numFmt numFmtId="178" formatCode="0.000_ "/>
  </numFmts>
  <fonts count="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imes New Roman"/>
      <family val="1"/>
    </font>
    <font>
      <b/>
      <sz val="11"/>
      <name val="Times New Roman"/>
      <family val="1"/>
    </font>
    <font>
      <sz val="11"/>
      <name val="ＭＳ Ｐ明朝"/>
      <family val="1"/>
      <charset val="128"/>
    </font>
    <font>
      <b/>
      <sz val="11"/>
      <name val="ＭＳ Ｐ明朝"/>
      <family val="1"/>
      <charset val="128"/>
    </font>
    <font>
      <sz val="11"/>
      <name val="游ゴシック"/>
      <family val="1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</fills>
  <borders count="7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/>
      <top style="thin">
        <color indexed="8"/>
      </top>
      <bottom style="thin">
        <color indexed="22"/>
      </bottom>
      <diagonal/>
    </border>
    <border>
      <left style="thin">
        <color indexed="22"/>
      </left>
      <right style="thin">
        <color indexed="8"/>
      </right>
      <top style="thin">
        <color indexed="8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8"/>
      </left>
      <right style="thin">
        <color indexed="8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8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22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thin">
        <color indexed="22"/>
      </top>
      <bottom style="thin">
        <color indexed="23"/>
      </bottom>
      <diagonal/>
    </border>
    <border>
      <left style="thin">
        <color indexed="22"/>
      </left>
      <right style="thin">
        <color indexed="8"/>
      </right>
      <top style="thin">
        <color indexed="22"/>
      </top>
      <bottom style="thin">
        <color indexed="23"/>
      </bottom>
      <diagonal/>
    </border>
    <border>
      <left style="thin">
        <color indexed="8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22"/>
      </right>
      <top/>
      <bottom/>
      <diagonal/>
    </border>
    <border>
      <left style="thin">
        <color indexed="22"/>
      </left>
      <right style="medium">
        <color indexed="8"/>
      </right>
      <top/>
      <bottom/>
      <diagonal/>
    </border>
    <border>
      <left style="thin">
        <color indexed="22"/>
      </left>
      <right style="medium">
        <color indexed="8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8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22"/>
      </top>
      <bottom style="thin">
        <color indexed="23"/>
      </bottom>
      <diagonal/>
    </border>
    <border>
      <left style="medium">
        <color indexed="8"/>
      </left>
      <right/>
      <top style="medium">
        <color indexed="64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22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22"/>
      </bottom>
      <diagonal/>
    </border>
    <border>
      <left style="thin">
        <color indexed="22"/>
      </left>
      <right style="medium">
        <color indexed="8"/>
      </right>
      <top/>
      <bottom style="thin">
        <color indexed="22"/>
      </bottom>
      <diagonal/>
    </border>
    <border>
      <left style="medium">
        <color indexed="8"/>
      </left>
      <right style="thin">
        <color indexed="8"/>
      </right>
      <top style="thin">
        <color indexed="22"/>
      </top>
      <bottom/>
      <diagonal/>
    </border>
    <border>
      <left style="medium">
        <color indexed="8"/>
      </left>
      <right style="thin">
        <color indexed="8"/>
      </right>
      <top style="thin">
        <color indexed="22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8"/>
      </bottom>
      <diagonal/>
    </border>
    <border>
      <left style="thin">
        <color indexed="22"/>
      </left>
      <right/>
      <top style="thin">
        <color indexed="22"/>
      </top>
      <bottom style="medium">
        <color indexed="8"/>
      </bottom>
      <diagonal/>
    </border>
    <border>
      <left style="thin">
        <color indexed="22"/>
      </left>
      <right style="medium">
        <color indexed="8"/>
      </right>
      <top style="thin">
        <color indexed="22"/>
      </top>
      <bottom style="medium">
        <color indexed="8"/>
      </bottom>
      <diagonal/>
    </border>
    <border>
      <left style="thin">
        <color indexed="22"/>
      </left>
      <right style="medium">
        <color indexed="8"/>
      </right>
      <top style="thin">
        <color indexed="8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22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8"/>
      </bottom>
      <diagonal/>
    </border>
    <border>
      <left style="thin">
        <color indexed="22"/>
      </left>
      <right style="medium">
        <color indexed="8"/>
      </right>
      <top style="thin">
        <color indexed="22"/>
      </top>
      <bottom style="thin">
        <color indexed="8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thin">
        <color indexed="8"/>
      </left>
      <right style="thin">
        <color indexed="22"/>
      </right>
      <top style="thin">
        <color indexed="22"/>
      </top>
      <bottom style="thin">
        <color indexed="8"/>
      </bottom>
      <diagonal/>
    </border>
    <border>
      <left style="thin">
        <color indexed="8"/>
      </left>
      <right style="thin">
        <color indexed="22"/>
      </right>
      <top/>
      <bottom style="thin">
        <color indexed="8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/>
      <diagonal/>
    </border>
    <border>
      <left style="thin">
        <color indexed="22"/>
      </left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auto="1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8"/>
      </top>
      <bottom style="thin">
        <color indexed="8"/>
      </bottom>
      <diagonal/>
    </border>
  </borders>
  <cellStyleXfs count="1">
    <xf numFmtId="0" fontId="0" fillId="2" borderId="0"/>
  </cellStyleXfs>
  <cellXfs count="105">
    <xf numFmtId="0" fontId="0" fillId="2" borderId="0" xfId="0"/>
    <xf numFmtId="0" fontId="2" fillId="2" borderId="2" xfId="0" applyFont="1" applyBorder="1" applyAlignment="1">
      <alignment horizontal="centerContinuous"/>
    </xf>
    <xf numFmtId="0" fontId="2" fillId="2" borderId="3" xfId="0" applyFont="1" applyBorder="1" applyAlignment="1">
      <alignment horizontal="centerContinuous"/>
    </xf>
    <xf numFmtId="0" fontId="2" fillId="2" borderId="4" xfId="0" applyFont="1" applyBorder="1" applyAlignment="1">
      <alignment horizontal="centerContinuous"/>
    </xf>
    <xf numFmtId="0" fontId="2" fillId="2" borderId="0" xfId="0" applyFont="1"/>
    <xf numFmtId="0" fontId="2" fillId="2" borderId="5" xfId="0" applyFont="1" applyBorder="1"/>
    <xf numFmtId="0" fontId="2" fillId="2" borderId="6" xfId="0" applyFont="1" applyBorder="1"/>
    <xf numFmtId="0" fontId="2" fillId="2" borderId="7" xfId="0" applyFont="1" applyBorder="1" applyProtection="1">
      <protection locked="0"/>
    </xf>
    <xf numFmtId="0" fontId="2" fillId="2" borderId="8" xfId="0" applyFont="1" applyBorder="1"/>
    <xf numFmtId="0" fontId="2" fillId="2" borderId="9" xfId="0" applyFont="1" applyBorder="1"/>
    <xf numFmtId="0" fontId="2" fillId="2" borderId="10" xfId="0" applyFont="1" applyBorder="1" applyProtection="1">
      <protection locked="0"/>
    </xf>
    <xf numFmtId="0" fontId="2" fillId="2" borderId="10" xfId="0" applyFont="1" applyBorder="1"/>
    <xf numFmtId="0" fontId="2" fillId="2" borderId="11" xfId="0" applyFont="1" applyBorder="1"/>
    <xf numFmtId="0" fontId="2" fillId="2" borderId="12" xfId="0" applyFont="1" applyBorder="1"/>
    <xf numFmtId="177" fontId="2" fillId="3" borderId="1" xfId="0" applyNumberFormat="1" applyFont="1" applyFill="1" applyBorder="1"/>
    <xf numFmtId="0" fontId="2" fillId="2" borderId="1" xfId="0" applyFont="1" applyBorder="1"/>
    <xf numFmtId="176" fontId="2" fillId="3" borderId="13" xfId="0" applyNumberFormat="1" applyFont="1" applyFill="1" applyBorder="1"/>
    <xf numFmtId="0" fontId="2" fillId="2" borderId="16" xfId="0" applyFont="1" applyBorder="1"/>
    <xf numFmtId="176" fontId="2" fillId="4" borderId="17" xfId="0" applyNumberFormat="1" applyFont="1" applyFill="1" applyBorder="1"/>
    <xf numFmtId="0" fontId="3" fillId="2" borderId="18" xfId="0" applyFont="1" applyBorder="1" applyAlignment="1" applyProtection="1">
      <alignment horizontal="right"/>
      <protection locked="0"/>
    </xf>
    <xf numFmtId="176" fontId="2" fillId="4" borderId="19" xfId="0" applyNumberFormat="1" applyFont="1" applyFill="1" applyBorder="1"/>
    <xf numFmtId="176" fontId="2" fillId="4" borderId="1" xfId="0" applyNumberFormat="1" applyFont="1" applyFill="1" applyBorder="1"/>
    <xf numFmtId="176" fontId="2" fillId="4" borderId="21" xfId="0" applyNumberFormat="1" applyFont="1" applyFill="1" applyBorder="1"/>
    <xf numFmtId="0" fontId="2" fillId="2" borderId="0" xfId="0" applyFont="1" applyAlignment="1">
      <alignment horizontal="right"/>
    </xf>
    <xf numFmtId="0" fontId="2" fillId="2" borderId="0" xfId="0" applyFont="1" applyAlignment="1">
      <alignment horizontal="left"/>
    </xf>
    <xf numFmtId="0" fontId="3" fillId="3" borderId="23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right"/>
    </xf>
    <xf numFmtId="0" fontId="2" fillId="3" borderId="27" xfId="0" applyFont="1" applyFill="1" applyBorder="1"/>
    <xf numFmtId="0" fontId="2" fillId="3" borderId="14" xfId="0" applyFont="1" applyFill="1" applyBorder="1"/>
    <xf numFmtId="0" fontId="2" fillId="3" borderId="28" xfId="0" applyFont="1" applyFill="1" applyBorder="1"/>
    <xf numFmtId="0" fontId="3" fillId="0" borderId="29" xfId="0" applyFont="1" applyFill="1" applyBorder="1" applyAlignment="1">
      <alignment horizontal="right"/>
    </xf>
    <xf numFmtId="176" fontId="2" fillId="4" borderId="30" xfId="0" applyNumberFormat="1" applyFont="1" applyFill="1" applyBorder="1"/>
    <xf numFmtId="0" fontId="2" fillId="3" borderId="15" xfId="0" applyFont="1" applyFill="1" applyBorder="1"/>
    <xf numFmtId="0" fontId="3" fillId="0" borderId="18" xfId="0" applyFont="1" applyFill="1" applyBorder="1" applyAlignment="1">
      <alignment horizontal="right"/>
    </xf>
    <xf numFmtId="176" fontId="2" fillId="4" borderId="20" xfId="0" applyNumberFormat="1" applyFont="1" applyFill="1" applyBorder="1"/>
    <xf numFmtId="0" fontId="3" fillId="0" borderId="31" xfId="0" applyFont="1" applyFill="1" applyBorder="1" applyAlignment="1">
      <alignment horizontal="right"/>
    </xf>
    <xf numFmtId="176" fontId="2" fillId="4" borderId="32" xfId="0" applyNumberFormat="1" applyFont="1" applyFill="1" applyBorder="1"/>
    <xf numFmtId="178" fontId="2" fillId="2" borderId="16" xfId="0" applyNumberFormat="1" applyFont="1" applyBorder="1" applyProtection="1">
      <protection locked="0"/>
    </xf>
    <xf numFmtId="178" fontId="2" fillId="2" borderId="1" xfId="0" applyNumberFormat="1" applyFont="1" applyBorder="1" applyProtection="1">
      <protection locked="0"/>
    </xf>
    <xf numFmtId="178" fontId="2" fillId="2" borderId="19" xfId="0" applyNumberFormat="1" applyFont="1" applyBorder="1" applyProtection="1">
      <protection locked="0"/>
    </xf>
    <xf numFmtId="178" fontId="2" fillId="2" borderId="33" xfId="0" applyNumberFormat="1" applyFont="1" applyBorder="1" applyProtection="1">
      <protection locked="0"/>
    </xf>
    <xf numFmtId="178" fontId="2" fillId="2" borderId="34" xfId="0" applyNumberFormat="1" applyFont="1" applyBorder="1" applyProtection="1">
      <protection locked="0"/>
    </xf>
    <xf numFmtId="178" fontId="2" fillId="2" borderId="21" xfId="0" applyNumberFormat="1" applyFont="1" applyBorder="1" applyProtection="1">
      <protection locked="0"/>
    </xf>
    <xf numFmtId="178" fontId="2" fillId="5" borderId="35" xfId="0" applyNumberFormat="1" applyFont="1" applyFill="1" applyBorder="1"/>
    <xf numFmtId="178" fontId="2" fillId="5" borderId="36" xfId="0" applyNumberFormat="1" applyFont="1" applyFill="1" applyBorder="1"/>
    <xf numFmtId="178" fontId="2" fillId="5" borderId="37" xfId="0" applyNumberFormat="1" applyFont="1" applyFill="1" applyBorder="1"/>
    <xf numFmtId="178" fontId="2" fillId="2" borderId="27" xfId="0" applyNumberFormat="1" applyFont="1" applyBorder="1"/>
    <xf numFmtId="178" fontId="2" fillId="2" borderId="21" xfId="0" applyNumberFormat="1" applyFont="1" applyBorder="1"/>
    <xf numFmtId="178" fontId="2" fillId="2" borderId="1" xfId="0" applyNumberFormat="1" applyFont="1" applyBorder="1"/>
    <xf numFmtId="178" fontId="2" fillId="2" borderId="22" xfId="0" applyNumberFormat="1" applyFont="1" applyBorder="1"/>
    <xf numFmtId="178" fontId="2" fillId="5" borderId="38" xfId="0" applyNumberFormat="1" applyFont="1" applyFill="1" applyBorder="1"/>
    <xf numFmtId="178" fontId="2" fillId="5" borderId="15" xfId="0" applyNumberFormat="1" applyFont="1" applyFill="1" applyBorder="1"/>
    <xf numFmtId="178" fontId="2" fillId="5" borderId="39" xfId="0" applyNumberFormat="1" applyFont="1" applyFill="1" applyBorder="1"/>
    <xf numFmtId="0" fontId="4" fillId="2" borderId="40" xfId="0" applyFont="1" applyBorder="1" applyAlignment="1" applyProtection="1">
      <alignment horizontal="centerContinuous"/>
      <protection locked="0"/>
    </xf>
    <xf numFmtId="0" fontId="5" fillId="2" borderId="0" xfId="0" applyFont="1"/>
    <xf numFmtId="0" fontId="5" fillId="3" borderId="41" xfId="0" applyFont="1" applyFill="1" applyBorder="1" applyAlignment="1">
      <alignment horizontal="center"/>
    </xf>
    <xf numFmtId="0" fontId="5" fillId="3" borderId="24" xfId="0" applyFont="1" applyFill="1" applyBorder="1" applyAlignment="1">
      <alignment horizontal="center"/>
    </xf>
    <xf numFmtId="0" fontId="3" fillId="3" borderId="42" xfId="0" applyFont="1" applyFill="1" applyBorder="1" applyAlignment="1">
      <alignment horizontal="right"/>
    </xf>
    <xf numFmtId="0" fontId="3" fillId="3" borderId="43" xfId="0" applyFont="1" applyFill="1" applyBorder="1" applyAlignment="1">
      <alignment horizontal="right"/>
    </xf>
    <xf numFmtId="0" fontId="3" fillId="3" borderId="44" xfId="0" applyFont="1" applyFill="1" applyBorder="1" applyAlignment="1">
      <alignment horizontal="right"/>
    </xf>
    <xf numFmtId="0" fontId="3" fillId="3" borderId="29" xfId="0" applyFont="1" applyFill="1" applyBorder="1" applyAlignment="1">
      <alignment horizontal="right"/>
    </xf>
    <xf numFmtId="0" fontId="2" fillId="2" borderId="19" xfId="0" applyFont="1" applyBorder="1"/>
    <xf numFmtId="176" fontId="2" fillId="4" borderId="45" xfId="0" applyNumberFormat="1" applyFont="1" applyFill="1" applyBorder="1"/>
    <xf numFmtId="0" fontId="3" fillId="2" borderId="46" xfId="0" applyFont="1" applyBorder="1" applyAlignment="1" applyProtection="1">
      <alignment horizontal="right"/>
      <protection locked="0"/>
    </xf>
    <xf numFmtId="176" fontId="2" fillId="4" borderId="16" xfId="0" applyNumberFormat="1" applyFont="1" applyFill="1" applyBorder="1"/>
    <xf numFmtId="178" fontId="2" fillId="5" borderId="47" xfId="0" applyNumberFormat="1" applyFont="1" applyFill="1" applyBorder="1"/>
    <xf numFmtId="0" fontId="3" fillId="2" borderId="48" xfId="0" applyFont="1" applyBorder="1" applyAlignment="1" applyProtection="1">
      <alignment horizontal="right"/>
      <protection locked="0"/>
    </xf>
    <xf numFmtId="0" fontId="3" fillId="2" borderId="49" xfId="0" applyFont="1" applyBorder="1" applyAlignment="1" applyProtection="1">
      <alignment horizontal="right"/>
      <protection locked="0"/>
    </xf>
    <xf numFmtId="178" fontId="2" fillId="2" borderId="50" xfId="0" applyNumberFormat="1" applyFont="1" applyBorder="1" applyProtection="1">
      <protection locked="0"/>
    </xf>
    <xf numFmtId="0" fontId="2" fillId="2" borderId="50" xfId="0" applyFont="1" applyBorder="1"/>
    <xf numFmtId="176" fontId="2" fillId="4" borderId="50" xfId="0" applyNumberFormat="1" applyFont="1" applyFill="1" applyBorder="1"/>
    <xf numFmtId="176" fontId="2" fillId="4" borderId="51" xfId="0" applyNumberFormat="1" applyFont="1" applyFill="1" applyBorder="1"/>
    <xf numFmtId="178" fontId="2" fillId="5" borderId="52" xfId="0" applyNumberFormat="1" applyFont="1" applyFill="1" applyBorder="1"/>
    <xf numFmtId="0" fontId="3" fillId="2" borderId="26" xfId="0" applyFont="1" applyBorder="1" applyAlignment="1" applyProtection="1">
      <alignment horizontal="right"/>
      <protection locked="0"/>
    </xf>
    <xf numFmtId="176" fontId="2" fillId="3" borderId="53" xfId="0" applyNumberFormat="1" applyFont="1" applyFill="1" applyBorder="1"/>
    <xf numFmtId="177" fontId="2" fillId="3" borderId="36" xfId="0" applyNumberFormat="1" applyFont="1" applyFill="1" applyBorder="1"/>
    <xf numFmtId="178" fontId="2" fillId="2" borderId="27" xfId="0" applyNumberFormat="1" applyFont="1" applyBorder="1" applyProtection="1">
      <protection locked="0"/>
    </xf>
    <xf numFmtId="0" fontId="2" fillId="2" borderId="27" xfId="0" applyFont="1" applyBorder="1"/>
    <xf numFmtId="176" fontId="2" fillId="4" borderId="54" xfId="0" applyNumberFormat="1" applyFont="1" applyFill="1" applyBorder="1"/>
    <xf numFmtId="178" fontId="2" fillId="5" borderId="55" xfId="0" applyNumberFormat="1" applyFont="1" applyFill="1" applyBorder="1"/>
    <xf numFmtId="0" fontId="3" fillId="2" borderId="56" xfId="0" applyFont="1" applyBorder="1" applyAlignment="1" applyProtection="1">
      <alignment horizontal="right"/>
      <protection locked="0"/>
    </xf>
    <xf numFmtId="178" fontId="2" fillId="2" borderId="57" xfId="0" applyNumberFormat="1" applyFont="1" applyBorder="1" applyProtection="1">
      <protection locked="0"/>
    </xf>
    <xf numFmtId="0" fontId="2" fillId="2" borderId="57" xfId="0" applyFont="1" applyBorder="1"/>
    <xf numFmtId="176" fontId="2" fillId="4" borderId="58" xfId="0" applyNumberFormat="1" applyFont="1" applyFill="1" applyBorder="1"/>
    <xf numFmtId="178" fontId="2" fillId="5" borderId="59" xfId="0" applyNumberFormat="1" applyFont="1" applyFill="1" applyBorder="1"/>
    <xf numFmtId="178" fontId="2" fillId="2" borderId="54" xfId="0" applyNumberFormat="1" applyFont="1" applyBorder="1" applyProtection="1">
      <protection locked="0"/>
    </xf>
    <xf numFmtId="176" fontId="2" fillId="4" borderId="13" xfId="0" applyNumberFormat="1" applyFont="1" applyFill="1" applyBorder="1"/>
    <xf numFmtId="176" fontId="2" fillId="4" borderId="57" xfId="0" applyNumberFormat="1" applyFont="1" applyFill="1" applyBorder="1"/>
    <xf numFmtId="178" fontId="2" fillId="5" borderId="53" xfId="0" applyNumberFormat="1" applyFont="1" applyFill="1" applyBorder="1"/>
    <xf numFmtId="178" fontId="2" fillId="2" borderId="60" xfId="0" applyNumberFormat="1" applyFont="1" applyBorder="1" applyProtection="1">
      <protection locked="0"/>
    </xf>
    <xf numFmtId="178" fontId="2" fillId="2" borderId="61" xfId="0" applyNumberFormat="1" applyFont="1" applyBorder="1" applyProtection="1">
      <protection locked="0"/>
    </xf>
    <xf numFmtId="178" fontId="2" fillId="2" borderId="62" xfId="0" applyNumberFormat="1" applyFont="1" applyBorder="1" applyProtection="1">
      <protection locked="0"/>
    </xf>
    <xf numFmtId="178" fontId="2" fillId="2" borderId="58" xfId="0" applyNumberFormat="1" applyFont="1" applyBorder="1" applyProtection="1">
      <protection locked="0"/>
    </xf>
    <xf numFmtId="178" fontId="2" fillId="2" borderId="63" xfId="0" applyNumberFormat="1" applyFont="1" applyBorder="1" applyProtection="1">
      <protection locked="0"/>
    </xf>
    <xf numFmtId="176" fontId="2" fillId="4" borderId="64" xfId="0" applyNumberFormat="1" applyFont="1" applyFill="1" applyBorder="1"/>
    <xf numFmtId="176" fontId="2" fillId="4" borderId="27" xfId="0" applyNumberFormat="1" applyFont="1" applyFill="1" applyBorder="1"/>
    <xf numFmtId="0" fontId="5" fillId="3" borderId="65" xfId="0" applyFont="1" applyFill="1" applyBorder="1" applyAlignment="1">
      <alignment horizontal="center"/>
    </xf>
    <xf numFmtId="0" fontId="5" fillId="3" borderId="66" xfId="0" applyFont="1" applyFill="1" applyBorder="1" applyAlignment="1">
      <alignment horizontal="center"/>
    </xf>
    <xf numFmtId="0" fontId="2" fillId="3" borderId="67" xfId="0" applyFont="1" applyFill="1" applyBorder="1" applyAlignment="1">
      <alignment horizontal="center"/>
    </xf>
    <xf numFmtId="0" fontId="2" fillId="3" borderId="68" xfId="0" applyFont="1" applyFill="1" applyBorder="1" applyAlignment="1">
      <alignment horizontal="center"/>
    </xf>
    <xf numFmtId="0" fontId="2" fillId="3" borderId="66" xfId="0" applyFont="1" applyFill="1" applyBorder="1" applyAlignment="1">
      <alignment horizontal="center"/>
    </xf>
    <xf numFmtId="0" fontId="3" fillId="3" borderId="69" xfId="0" applyFont="1" applyFill="1" applyBorder="1" applyAlignment="1">
      <alignment horizontal="center"/>
    </xf>
    <xf numFmtId="0" fontId="5" fillId="3" borderId="69" xfId="0" applyFont="1" applyFill="1" applyBorder="1" applyAlignment="1">
      <alignment horizontal="center"/>
    </xf>
    <xf numFmtId="56" fontId="2" fillId="2" borderId="0" xfId="0" applyNumberFormat="1" applyFont="1" applyProtection="1">
      <protection locked="0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0</xdr:row>
          <xdr:rowOff>57150</xdr:rowOff>
        </xdr:from>
        <xdr:to>
          <xdr:col>12</xdr:col>
          <xdr:colOff>638175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ﾎﾟｲﾝﾄ欄 追加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2</xdr:row>
          <xdr:rowOff>28575</xdr:rowOff>
        </xdr:from>
        <xdr:to>
          <xdr:col>12</xdr:col>
          <xdr:colOff>638175</xdr:colOff>
          <xdr:row>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&lt;&lt; ﾎﾟｲﾝﾄ欄 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8544-A52E-4D95-90E0-2F335C7F8B1C}">
  <sheetPr codeName="Sheet1"/>
  <dimension ref="A1:BH106"/>
  <sheetViews>
    <sheetView tabSelected="1" zoomScaleNormal="100" workbookViewId="0">
      <pane ySplit="5" topLeftCell="A6" activePane="bottomLeft" state="frozen"/>
      <selection pane="bottomLeft" activeCell="B6" sqref="B6"/>
    </sheetView>
  </sheetViews>
  <sheetFormatPr defaultRowHeight="15" x14ac:dyDescent="0.25"/>
  <cols>
    <col min="1" max="3" width="8.875" style="4" customWidth="1"/>
    <col min="4" max="4" width="8.875" style="4" hidden="1" customWidth="1"/>
    <col min="5" max="5" width="8.875" style="4" customWidth="1"/>
    <col min="6" max="6" width="9" style="4" bestFit="1"/>
    <col min="7" max="9" width="8.875" style="4" customWidth="1"/>
    <col min="10" max="10" width="9" style="4" hidden="1" customWidth="1"/>
    <col min="11" max="12" width="8.875" style="4" customWidth="1"/>
    <col min="16" max="16" width="0" hidden="1" customWidth="1"/>
    <col min="22" max="22" width="0" hidden="1" customWidth="1"/>
    <col min="28" max="28" width="0" hidden="1" customWidth="1"/>
    <col min="34" max="34" width="0" hidden="1" customWidth="1"/>
    <col min="40" max="40" width="0" hidden="1" customWidth="1"/>
    <col min="46" max="46" width="0" hidden="1" customWidth="1"/>
    <col min="52" max="52" width="0" hidden="1" customWidth="1"/>
    <col min="58" max="58" width="0" hidden="1" customWidth="1"/>
  </cols>
  <sheetData>
    <row r="1" spans="1:60" x14ac:dyDescent="0.25">
      <c r="A1" s="54" t="s">
        <v>7</v>
      </c>
      <c r="B1" s="1"/>
      <c r="C1" s="1"/>
      <c r="D1" s="2"/>
      <c r="E1" s="1"/>
      <c r="F1" s="2"/>
      <c r="G1" s="2"/>
      <c r="H1" s="2"/>
      <c r="I1" s="2"/>
      <c r="J1" s="2"/>
      <c r="K1" s="3"/>
    </row>
    <row r="2" spans="1:60" x14ac:dyDescent="0.25">
      <c r="A2" s="58" t="s">
        <v>11</v>
      </c>
      <c r="B2" s="104"/>
      <c r="D2" s="5"/>
      <c r="E2" s="6"/>
      <c r="F2" s="59" t="s">
        <v>12</v>
      </c>
      <c r="G2" s="7"/>
      <c r="H2" s="8"/>
      <c r="I2" s="8"/>
      <c r="J2" s="5"/>
      <c r="K2" s="9"/>
    </row>
    <row r="3" spans="1:60" ht="15.75" thickBot="1" x14ac:dyDescent="0.3">
      <c r="A3" s="60" t="s">
        <v>13</v>
      </c>
      <c r="B3" s="10"/>
      <c r="C3" s="11"/>
      <c r="D3" s="12"/>
      <c r="E3" s="12"/>
      <c r="F3" s="12"/>
      <c r="G3" s="12"/>
      <c r="H3" s="12"/>
      <c r="I3" s="12"/>
      <c r="J3" s="12"/>
      <c r="K3" s="13"/>
    </row>
    <row r="4" spans="1:60" ht="15.75" thickBot="1" x14ac:dyDescent="0.3"/>
    <row r="5" spans="1:60" x14ac:dyDescent="0.25">
      <c r="A5" s="97" t="s">
        <v>10</v>
      </c>
      <c r="B5" s="102" t="s">
        <v>0</v>
      </c>
      <c r="C5" s="102" t="s">
        <v>1</v>
      </c>
      <c r="D5" s="101"/>
      <c r="E5" s="103" t="s">
        <v>8</v>
      </c>
      <c r="F5" s="99"/>
      <c r="G5" s="98" t="s">
        <v>10</v>
      </c>
      <c r="H5" s="102" t="s">
        <v>0</v>
      </c>
      <c r="I5" s="102" t="s">
        <v>1</v>
      </c>
      <c r="J5" s="101"/>
      <c r="K5" s="103" t="s">
        <v>8</v>
      </c>
      <c r="L5" s="100"/>
      <c r="M5" s="98" t="s">
        <v>10</v>
      </c>
      <c r="N5" s="102" t="s">
        <v>0</v>
      </c>
      <c r="O5" s="102" t="s">
        <v>1</v>
      </c>
      <c r="P5" s="101"/>
      <c r="Q5" s="103" t="s">
        <v>8</v>
      </c>
      <c r="R5" s="100"/>
      <c r="S5" s="98" t="s">
        <v>10</v>
      </c>
      <c r="T5" s="102" t="s">
        <v>0</v>
      </c>
      <c r="U5" s="102" t="s">
        <v>1</v>
      </c>
      <c r="V5" s="101"/>
      <c r="W5" s="103" t="s">
        <v>8</v>
      </c>
      <c r="X5" s="100"/>
      <c r="Y5" s="98" t="s">
        <v>10</v>
      </c>
      <c r="Z5" s="102" t="s">
        <v>0</v>
      </c>
      <c r="AA5" s="102" t="s">
        <v>1</v>
      </c>
      <c r="AB5" s="101"/>
      <c r="AC5" s="103" t="s">
        <v>8</v>
      </c>
      <c r="AD5" s="100"/>
      <c r="AE5" s="98" t="s">
        <v>10</v>
      </c>
      <c r="AF5" s="102" t="s">
        <v>0</v>
      </c>
      <c r="AG5" s="102" t="s">
        <v>1</v>
      </c>
      <c r="AH5" s="101"/>
      <c r="AI5" s="103" t="s">
        <v>8</v>
      </c>
      <c r="AJ5" s="100"/>
      <c r="AK5" s="98" t="s">
        <v>10</v>
      </c>
      <c r="AL5" s="102" t="s">
        <v>0</v>
      </c>
      <c r="AM5" s="102" t="s">
        <v>1</v>
      </c>
      <c r="AN5" s="101"/>
      <c r="AO5" s="103" t="s">
        <v>8</v>
      </c>
      <c r="AP5" s="100"/>
      <c r="AQ5" s="98" t="s">
        <v>10</v>
      </c>
      <c r="AR5" s="102" t="s">
        <v>0</v>
      </c>
      <c r="AS5" s="102" t="s">
        <v>1</v>
      </c>
      <c r="AT5" s="101"/>
      <c r="AU5" s="103" t="s">
        <v>8</v>
      </c>
      <c r="AV5" s="100"/>
      <c r="AW5" s="98" t="s">
        <v>10</v>
      </c>
      <c r="AX5" s="102" t="s">
        <v>0</v>
      </c>
      <c r="AY5" s="102" t="s">
        <v>1</v>
      </c>
      <c r="AZ5" s="101"/>
      <c r="BA5" s="103" t="s">
        <v>8</v>
      </c>
      <c r="BB5" s="100"/>
      <c r="BC5" s="98" t="s">
        <v>10</v>
      </c>
      <c r="BD5" s="102" t="s">
        <v>0</v>
      </c>
      <c r="BE5" s="102" t="s">
        <v>1</v>
      </c>
      <c r="BF5" s="101"/>
      <c r="BG5" s="103" t="s">
        <v>8</v>
      </c>
      <c r="BH5" s="100"/>
    </row>
    <row r="6" spans="1:60" x14ac:dyDescent="0.25">
      <c r="A6" s="61" t="s">
        <v>2</v>
      </c>
      <c r="B6" s="38"/>
      <c r="C6" s="14"/>
      <c r="D6" s="15" t="str">
        <f>IF(B6="","",ROUND(B6,3))</f>
        <v/>
      </c>
      <c r="E6" s="16"/>
      <c r="F6" s="75"/>
      <c r="G6" s="74">
        <f>IF(A105="","",A105+1)</f>
        <v>100</v>
      </c>
      <c r="H6" s="38"/>
      <c r="I6" s="38"/>
      <c r="J6" s="17" t="str">
        <f>IF(AND(H6&lt;&gt;"",I6&lt;&gt;""),ROUND(H6,3)+ROUND(D105,3)-ROUND(I6,3),IF(AND(EXACT(UPPER(G6),"TBM"),H6&lt;&gt;""),ROUND(H6,3),IF(H6="",D105,IF(ISNA(VLOOKUP(G6,A6:E105,5,FALSE)),"",ROUND(VLOOKUP(G6,A6:E105,5,FALSE),0)/1000+ROUND(H6,3)))))</f>
        <v/>
      </c>
      <c r="K6" s="18" t="str">
        <f>IF(OR(NOT(EXACT(UPPER(G6),"TBM")),H6=""),IF(AND(H6&lt;&gt;"",I6="",J6&lt;&gt;""),"",IF(AND(H6="",I6&lt;&gt;"",J6&lt;&gt;""),ROUND(ROUND(J6,3)-ROUND(I6,3),3)*1000,IF(AND(H6&lt;&gt;"",I6&lt;&gt;"",J6&lt;&gt;""),ROUND(ROUND(D105,3)-ROUND(I6,3),3)*1000,""))),"")</f>
        <v/>
      </c>
      <c r="L6" s="44" t="str">
        <f>IF(AND(NOT(ISNA(VLOOKUP(G6,A6:E105,5,FALSE))),H6="",I6&lt;&gt;""),ROUND((VLOOKUP(G6,A6:E105,5,FALSE)-K6)/1000,3),"")</f>
        <v/>
      </c>
      <c r="M6" s="74">
        <f>IF(G105="","",G105+1)</f>
        <v>200</v>
      </c>
      <c r="N6" s="38"/>
      <c r="O6" s="38"/>
      <c r="P6" s="17" t="str">
        <f>IF(AND(N6&lt;&gt;"",O6&lt;&gt;""),ROUND(N6,3)+ROUND(J105,3)-ROUND(O6,3),IF(AND(EXACT(UPPER(M6),"TBM"),N6&lt;&gt;""),ROUND(N6,3),IF(N6="",J105,IF(ISNA(VLOOKUP(M6,A6:E105,5,FALSE)),IF(ISNA(VLOOKUP(M6,G6:K105,5,FALSE)),"",ROUND(VLOOKUP(M6,G6:K105,5,FALSE),0)/1000+ROUND(N6,3)),ROUND(VLOOKUP(M6,A6:E105,5,FALSE),0)/1000+ROUND(N6,3)))))</f>
        <v/>
      </c>
      <c r="Q6" s="18" t="str">
        <f>IF(OR(NOT(EXACT(UPPER(M6),"TBM")),N6=""),IF(AND(N6&lt;&gt;"",O6="",P6&lt;&gt;""),"",IF(AND(N6="",O6&lt;&gt;"",P6&lt;&gt;""),ROUND(ROUND(P6,3)-ROUND(O6,3),3)*1000,IF(AND(N6&lt;&gt;"",O6&lt;&gt;"",P6&lt;&gt;""),ROUND(ROUND(J105,3)-ROUND(O6,3),3)*1000,""))),"")</f>
        <v/>
      </c>
      <c r="R6" s="44" t="str">
        <f>IF(AND(NOT(ISNA(VLOOKUP(M6,A6:E105,5,FALSE))),N6="",O6&lt;&gt;""),ROUND((VLOOKUP(M6,A6:E105,5,FALSE)-Q6)/1000,3),IF(AND(NOT(ISNA(VLOOKUP(M6,G6:K105,5,FALSE))),N6="",O6&lt;&gt;""),ROUND((VLOOKUP(M6,G6:K105,5,FALSE)-Q6)/1000,3),""))</f>
        <v/>
      </c>
      <c r="S6" s="74">
        <f>IF(M105="","",M105+1)</f>
        <v>300</v>
      </c>
      <c r="T6" s="38"/>
      <c r="U6" s="38"/>
      <c r="V6" s="17" t="str">
        <f>IF(AND(T6&lt;&gt;"",U6&lt;&gt;""),ROUND(T6,3)+ROUND(P105,3)-ROUND(U6,3),IF(AND(EXACT(UPPER(S6),"TBM"),T6&lt;&gt;""),ROUND(T6,3),IF(T6="",P105,IF(ISNA(VLOOKUP(S6,A6:E105,5,FALSE)),IF(ISNA(VLOOKUP(S6,G6:K105,5,FALSE)),IF(ISNA(VLOOKUP(S6,M6:Q105,5,FALSE)),"",ROUND(VLOOKUP(S6,M6:Q105,5,FALSE),0)/1000+ROUND(T6,3)),ROUND(VLOOKUP(S6,G6:K105,5,FALSE),0)/1000+ROUND(T6,3)),ROUND(VLOOKUP(S6,A6:E105,5,FALSE),0)/1000+ROUND(T6,3)))))</f>
        <v/>
      </c>
      <c r="W6" s="18" t="str">
        <f>IF(OR(NOT(EXACT(UPPER(S6),"TBM")),T6=""),IF(AND(T6&lt;&gt;"",U6="",V6&lt;&gt;""),"",IF(AND(T6="",U6&lt;&gt;"",V6&lt;&gt;""),ROUND(ROUND(V6,3)-ROUND(U6,3),3)*1000,IF(AND(T6&lt;&gt;"",U6&lt;&gt;"",V6&lt;&gt;""),ROUND(ROUND(P105,3)-ROUND(U6,3),3)*1000,""))),"")</f>
        <v/>
      </c>
      <c r="X6" s="44" t="str">
        <f>IF(AND(NOT(ISNA(VLOOKUP(S6,A6:E105,5,FALSE))),T6="",U6&lt;&gt;""),ROUND((VLOOKUP(S6,A6:E105,5,FALSE)-W6)/1000,3),IF(AND(NOT(ISNA(VLOOKUP(S6,G6:K105,5,FALSE))),T6="",U6&lt;&gt;""),ROUND((VLOOKUP(S6,G6:K105,5,FALSE)-W6)/1000,3),IF(AND(NOT(ISNA(VLOOKUP(S6,M6:Q105,5,FALSE))),T6="",U6&lt;&gt;""),ROUND((VLOOKUP(S6,M6:Q105,5,FALSE)-W6)/1000,3),"")))</f>
        <v/>
      </c>
      <c r="Y6" s="74">
        <f>IF(S105="","",S105+1)</f>
        <v>400</v>
      </c>
      <c r="Z6" s="38"/>
      <c r="AA6" s="38"/>
      <c r="AB6" s="17" t="str">
        <f>IF(AND(Z6&lt;&gt;"",AA6&lt;&gt;""),ROUND(Z6,3)+ROUND(V105,3)-ROUND(AA6,3),IF(AND(EXACT(UPPER(Y6),"TBM"),Z6&lt;&gt;""),ROUND(Z6,3),IF(Z6="",V105,IF(ISNA(VLOOKUP(Y6,A6:E105,5,FALSE)),IF(ISNA(VLOOKUP(Y6,G6:K105,5,FALSE)),IF(ISNA(VLOOKUP(Y6,M6:Q105,5,FALSE)),IF(ISNA(VLOOKUP(Y6,S6:W105,5,FALSE)),"",ROUND(VLOOKUP(Y6,S6:W105,5,FALSE),0)/1000+ROUND(Z6,3)),ROUND(VLOOKUP(Y6,M6:Q105,5,FALSE),0)/1000+ROUND(Z6,3)),ROUND(VLOOKUP(Y6,G6:K105,5,FALSE),0)/1000+ROUND(Z6,3)),ROUND(VLOOKUP(Y6,A6:E105,5,FALSE),0)/1000+ROUND(Z6,3)))))</f>
        <v/>
      </c>
      <c r="AC6" s="18" t="str">
        <f>IF(OR(NOT(EXACT(UPPER(Y6),"TBM")),Z6=""),IF(AND(Z6&lt;&gt;"",AA6="",AB6&lt;&gt;""),"",IF(AND(Z6="",AA6&lt;&gt;"",AB6&lt;&gt;""),ROUND(ROUND(AB6,3)-ROUND(AA6,3),3)*1000,IF(AND(Z6&lt;&gt;"",AA6&lt;&gt;"",AB6&lt;&gt;""),ROUND(ROUND(V105,3)-ROUND(AA6,3),3)*1000,""))),"")</f>
        <v/>
      </c>
      <c r="AD6" s="44" t="str">
        <f>IF(AND(NOT(ISNA(VLOOKUP(Y6,A6:E105,5,FALSE))),Z6="",AA6&lt;&gt;""),ROUND((VLOOKUP(Y6,A6:E105,5,FALSE)-AC6)/1000,3),IF(AND(NOT(ISNA(VLOOKUP(Y6,G6:K105,5,FALSE))),Z6="",AA6&lt;&gt;""),ROUND((VLOOKUP(Y6,G6:K105,5,FALSE)-AC6)/1000,3),IF(AND(NOT(ISNA(VLOOKUP(Y6,M6:Q105,5,FALSE))),Z6="",AA6&lt;&gt;""),ROUND((VLOOKUP(Y6,M6:Q105,5,FALSE)-AC6)/1000,3),IF(AND(NOT(ISNA(VLOOKUP(Y6,S6:W105,5,FALSE))),Z6="",AA6&lt;&gt;""),ROUND((VLOOKUP(Y6,S6:W105,5,FALSE)-AC6)/1000,3),""))))</f>
        <v/>
      </c>
      <c r="AE6" s="74">
        <f>IF(Y105="","",Y105+1)</f>
        <v>500</v>
      </c>
      <c r="AF6" s="38"/>
      <c r="AG6" s="38"/>
      <c r="AH6" s="17" t="str">
        <f>IF(AND(AF6&lt;&gt;"",AG6&lt;&gt;""),ROUND(AF6,3)+ROUND(AB105,3)-ROUND(AG6,3),IF(AND(EXACT(UPPER(AE6),"TBM"),AF6&lt;&gt;""),ROUND(AF6,3),IF(AF6="",AB105,IF(ISNA(VLOOKUP(AE6,A6:E105,5,FALSE)),IF(ISNA(VLOOKUP(AE6,G6:K105,5,FALSE)),IF(ISNA(VLOOKUP(AE6,M6:Q105,5,FALSE)),IF(ISNA(VLOOKUP(AE6,S6:W105,5,FALSE)),IF(ISNA(VLOOKUP(AE6,Y6:AC105,5,FALSE)),"",ROUND(VLOOKUP(AE6,Y6:AC105,5,FALSE),0)/1000+ROUND(AF6,3)),ROUND(VLOOKUP(AE6,S6:W105,5,FALSE),0)/1000+ROUND(AF6,3)),ROUND(VLOOKUP(AE6,M6:Q105,5,FALSE),0)/1000+ROUND(AF6,3)),ROUND(VLOOKUP(AE6,G6:K105,5,FALSE),0)/1000+ROUND(AF6,3)),ROUND(VLOOKUP(AE6,A6:E105,5,FALSE),0)/1000+ROUND(AF6,3)))))</f>
        <v/>
      </c>
      <c r="AI6" s="18" t="str">
        <f>IF(OR(NOT(EXACT(UPPER(AE6),"TBM")),AF6=""),IF(AND(AF6&lt;&gt;"",AG6="",AH6&lt;&gt;""),"",IF(AND(AF6="",AG6&lt;&gt;"",AH6&lt;&gt;""),ROUND(ROUND(AH6,3)-ROUND(AG6,3),3)*1000,IF(AND(AF6&lt;&gt;"",AG6&lt;&gt;"",AH6&lt;&gt;""),ROUND(ROUND(AB105,3)-ROUND(AG6,3),3)*1000,""))),"")</f>
        <v/>
      </c>
      <c r="AJ6" s="44" t="str">
        <f>IF(AND(NOT(ISNA(VLOOKUP(AE6,A6:E105,5,FALSE))),AF6="",AG6&lt;&gt;""),ROUND((VLOOKUP(AE6,A6:E105,5,FALSE)-AI6)/1000,3),IF(AND(NOT(ISNA(VLOOKUP(AE6,G6:K105,5,FALSE))),AF6="",AG6&lt;&gt;""),ROUND((VLOOKUP(AE6,G6:K105,5,FALSE)-AI6)/1000,3),IF(AND(NOT(ISNA(VLOOKUP(AE6,M6:Q105,5,FALSE))),AF6="",AG6&lt;&gt;""),ROUND((VLOOKUP(AE6,M6:Q105,5,FALSE)-AI6)/1000,3),IF(AND(NOT(ISNA(VLOOKUP(AE6,S6:W105,5,FALSE))),AF6="",AG6&lt;&gt;""),ROUND((VLOOKUP(AE6,S6:W105,5,FALSE)-AI6)/1000,3),IF(AND(NOT(ISNA(VLOOKUP(AE6,Y6:AC105,5,FALSE))),AF6="",AG6&lt;&gt;""),ROUND((VLOOKUP(AE6,Y6:AC105,5,FALSE)-AI6)/1000,3),"")))))</f>
        <v/>
      </c>
      <c r="AK6" s="74">
        <f>IF(AE105="","",AE105+1)</f>
        <v>600</v>
      </c>
      <c r="AL6" s="38"/>
      <c r="AM6" s="38"/>
      <c r="AN6" s="17" t="str">
        <f>IF(AND(AL6&lt;&gt;"",AM6&lt;&gt;""),ROUND(AL6,3)+ROUND(AH105,3)-ROUND(AM6,3),IF(AND(EXACT(UPPER(AK6),"TBM"),AL6&lt;&gt;""),ROUND(AL6,3),IF(AL6="",AH105,IF(ISNA(VLOOKUP(AK6,A6:E105,5,FALSE)),IF(ISNA(VLOOKUP(AK6,G6:K105,5,FALSE)),IF(ISNA(VLOOKUP(AK6,M6:Q105,5,FALSE)),IF(ISNA(VLOOKUP(AK6,S6:W105,5,FALSE)),IF(ISNA(VLOOKUP(AK6,Y6:AC105,5,FALSE)),IF(ISNA(VLOOKUP(AK6,AE6:AI105,5,FALSE)),"",ROUND(VLOOKUP(AK6,AE6:AI105,5,FALSE),0)/1000+ROUND(AL6,3)),ROUND(VLOOKUP(AK6,Y6:AC105,5,FALSE),0)/1000+ROUND(AL6,3)),ROUND(VLOOKUP(AK6,S6:W105,5,FALSE),0)/1000+ROUND(AL6,3)),ROUND(VLOOKUP(AK6,M6:Q105,5,FALSE),0)/1000+ROUND(AL6,3)),ROUND(VLOOKUP(AK6,G6:K105,5,FALSE),0)/1000+ROUND(AL6,3)),ROUND(VLOOKUP(AK6,A6:E105,5,FALSE),0)/1000+ROUND(AL6,3)))))</f>
        <v/>
      </c>
      <c r="AO6" s="18" t="str">
        <f>IF(OR(NOT(EXACT(UPPER(AK6),"TBM")),AL6=""),IF(AND(AL6&lt;&gt;"",AM6="",AN6&lt;&gt;""),"",IF(AND(AL6="",AM6&lt;&gt;"",AN6&lt;&gt;""),ROUND(ROUND(AN6,3)-ROUND(AM6,3),3)*1000,IF(AND(AL6&lt;&gt;"",AM6&lt;&gt;"",AN6&lt;&gt;""),ROUND(ROUND(AH105,3)-ROUND(AM6,3),3)*1000,""))),"")</f>
        <v/>
      </c>
      <c r="AP6" s="44" t="str">
        <f>IF(AND(NOT(ISNA(VLOOKUP(AK6,A6:E105,5,FALSE))),AL6="",AM6&lt;&gt;""),ROUND((VLOOKUP(AK6,A6:E105,5,FALSE)-AO6)/1000,3),IF(AND(NOT(ISNA(VLOOKUP(AK6,G6:K105,5,FALSE))),AL6="",AM6&lt;&gt;""),ROUND((VLOOKUP(AK6,G6:K105,5,FALSE)-AO6)/1000,3),IF(AND(NOT(ISNA(VLOOKUP(AK6,M6:Q105,5,FALSE))),AL6="",AM6&lt;&gt;""),ROUND((VLOOKUP(AK6,M6:Q105,5,FALSE)-AO6)/1000,3),IF(AND(NOT(ISNA(VLOOKUP(AK6,S6:W105,5,FALSE))),AL6="",AM6&lt;&gt;""),ROUND((VLOOKUP(AK6,S6:W105,5,FALSE)-AO6)/1000,3),IF(AND(NOT(ISNA(VLOOKUP(AK6,Y6:AC105,5,FALSE))),AL6="",AM6&lt;&gt;""),ROUND((VLOOKUP(AK6,Y6:AC105,5,FALSE)-AO6)/1000,3),IF(AND(NOT(ISNA(VLOOKUP(AK6,AE6:AI105,5,FALSE))),AL6="",AM6&lt;&gt;""),ROUND((VLOOKUP(AK6,AE6:AI105,5,FALSE)-AO6)/1000,3),""))))))</f>
        <v/>
      </c>
      <c r="AQ6" s="74">
        <f>IF(AK105="","",AK105+1)</f>
        <v>700</v>
      </c>
      <c r="AR6" s="38"/>
      <c r="AS6" s="38"/>
      <c r="AT6" s="17" t="str">
        <f>IF(AND(AR6&lt;&gt;"",AS6&lt;&gt;""),ROUND(AR6,3)+ROUND(AN105,3)-ROUND(AS6,3),IF(AND(EXACT(UPPER(AQ6),"TBM"),AR6&lt;&gt;""),ROUND(AR6,3),IF(AR6="",AN105,IF(ISNA(VLOOKUP(AQ6,A6:E105,5,FALSE)),IF(ISNA(VLOOKUP(AQ6,G6:K105,5,FALSE)),IF(ISNA(VLOOKUP(AQ6,M6:Q105,5,FALSE)),IF(ISNA(VLOOKUP(AQ6,S6:W105,5,FALSE)),IF(ISNA(VLOOKUP(AQ6,Y6:AC105,5,FALSE)),IF(ISNA(VLOOKUP(AQ6,AE6:AI105,5,FALSE)),IF(ISNA(VLOOKUP(AQ6,AK6:AO105,5,FALSE)),"",ROUND(VLOOKUP(AQ6,AK6:AO105,5,FALSE),0)/1000+ROUND(AR6,3)),ROUND(VLOOKUP(AQ6,AE6:AI105,5,FALSE),0)/1000+ROUND(AR6,3)),ROUND(VLOOKUP(AQ6,Y6:AC105,5,FALSE),0)/1000+ROUND(AR6,3)),ROUND(VLOOKUP(AQ6,S6:W105,5,FALSE),0)/1000+ROUND(AR6,3)),ROUND(VLOOKUP(AQ6,M6:Q105,5,FALSE),0)/1000+ROUND(AR6,3)),ROUND(VLOOKUP(AQ6,G6:K105,5,FALSE),0)/1000+ROUND(AR6,3)),ROUND(VLOOKUP(AQ6,A6:E105,5,FALSE),0)/1000+ROUND(AR6,3)))))</f>
        <v/>
      </c>
      <c r="AU6" s="18" t="str">
        <f>IF(OR(NOT(EXACT(UPPER(AQ6),"TBM")),AR6=""),IF(AND(AR6&lt;&gt;"",AS6="",AT6&lt;&gt;""),"",IF(AND(AR6="",AS6&lt;&gt;"",AT6&lt;&gt;""),ROUND(ROUND(AT6,3)-ROUND(AS6,3),3)*1000,IF(AND(AR6&lt;&gt;"",AS6&lt;&gt;"",AT6&lt;&gt;""),ROUND(ROUND(AN105,3)-ROUND(AS6,3),3)*1000,""))),"")</f>
        <v/>
      </c>
      <c r="AV6" s="44" t="str">
        <f>IF(AND(NOT(ISNA(VLOOKUP(AQ6,A6:E105,5,FALSE))),AR6="",AS6&lt;&gt;""),ROUND((VLOOKUP(AQ6,A6:E105,5,FALSE)-AU6)/1000,3),IF(AND(NOT(ISNA(VLOOKUP(AQ6,G6:K105,5,FALSE))),AR6="",AS6&lt;&gt;""),ROUND((VLOOKUP(AQ6,G6:K105,5,FALSE)-AU6)/1000,3),IF(AND(NOT(ISNA(VLOOKUP(AQ6,M6:Q105,5,FALSE))),AR6="",AS6&lt;&gt;""),ROUND((VLOOKUP(AQ6,M6:Q105,5,FALSE)-AU6)/1000,3),IF(AND(NOT(ISNA(VLOOKUP(AQ6,S6:W105,5,FALSE))),AR6="",AS6&lt;&gt;""),ROUND((VLOOKUP(AQ6,S6:W105,5,FALSE)-AU6)/1000,3),IF(AND(NOT(ISNA(VLOOKUP(AQ6,Y6:AC105,5,FALSE))),AR6="",AS6&lt;&gt;""),ROUND((VLOOKUP(AQ6,Y6:AC105,5,FALSE)-AU6)/1000,3),IF(AND(NOT(ISNA(VLOOKUP(AQ6,AE6:AI105,5,FALSE))),AR6="",AS6&lt;&gt;""),ROUND((VLOOKUP(AQ6,AE6:AI105,5,FALSE)-AU6)/1000,3),IF(AND(NOT(ISNA(VLOOKUP(AQ6,AK6:AO105,5,FALSE))),AR6="",AS6&lt;&gt;""),ROUND((VLOOKUP(AQ6,AK6:AO105,5,FALSE)-AU6)/1000,3),"")))))))</f>
        <v/>
      </c>
      <c r="AW6" s="74">
        <f>IF(AQ105="","",AQ105+1)</f>
        <v>800</v>
      </c>
      <c r="AX6" s="38"/>
      <c r="AY6" s="38"/>
      <c r="AZ6" s="17" t="str">
        <f>IF(AND(AX6&lt;&gt;"",AY6&lt;&gt;""),ROUND(AX6,3)+ROUND(AT105,3)-ROUND(AY6,3),IF(AND(EXACT(UPPER(AW6),"TBM"),AX6&lt;&gt;""),ROUND(AX6,3),IF(AX6="",AT105,IF(ISNA(VLOOKUP(AW6,A6:E105,5,FALSE)),IF(ISNA(VLOOKUP(AW6,G6:K105,5,FALSE)),IF(ISNA(VLOOKUP(AW6,M6:Q105,5,FALSE)),IF(ISNA(VLOOKUP(AW6,S6:W105,5,FALSE)),IF(ISNA(VLOOKUP(AW6,Y6:AC105,5,FALSE)),IF(ISNA(VLOOKUP(AW6,AE6:AI105,5,FALSE)),IF(ISNA(VLOOKUP(AW6,AK6:AO105,5,FALSE)),IF(ISNA(VLOOKUP(AW6,AQ6:AU105,5,FALSE)),"",ROUND(VLOOKUP(AW6,AQ6:AU105,5,FALSE),0)/1000+ROUND(AX6,3)),ROUND(VLOOKUP(AW6,AK6:AO105,5,FALSE),0)/1000+ROUND(AX6,3)),ROUND(VLOOKUP(AW6,AE6:AI105,5,FALSE),0)/1000+ROUND(AX6,3)),ROUND(VLOOKUP(AW6,Y6:AC105,5,FALSE),0)/1000+ROUND(AX6,3)),ROUND(VLOOKUP(AW6,S6:W105,5,FALSE),0)/1000+ROUND(AX6,3)),ROUND(VLOOKUP(AW6,M6:Q105,5,FALSE),0)/1000+ROUND(AX6,3)),ROUND(VLOOKUP(AW6,G6:K105,5,FALSE),0)/1000+ROUND(AX6,3)),ROUND(VLOOKUP(AW6,A6:E105,5,FALSE),0)/1000+ROUND(AX6,3)))))</f>
        <v/>
      </c>
      <c r="BA6" s="18" t="str">
        <f>IF(OR(NOT(EXACT(UPPER(AW6),"TBM")),AX6=""),IF(AND(AX6&lt;&gt;"",AY6="",AZ6&lt;&gt;""),"",IF(AND(AX6="",AY6&lt;&gt;"",AZ6&lt;&gt;""),ROUND(ROUND(AZ6,3)-ROUND(AY6,3),3)*1000,IF(AND(AX6&lt;&gt;"",AY6&lt;&gt;"",AZ6&lt;&gt;""),ROUND(ROUND(AT105,3)-ROUND(AY6,3),3)*1000,""))),"")</f>
        <v/>
      </c>
      <c r="BB6" s="44" t="str">
        <f>IF(AND(NOT(ISNA(VLOOKUP(AW6,A6:E105,5,FALSE))),AX6="",AY6&lt;&gt;""),ROUND((VLOOKUP(AW6,A6:E105,5,FALSE)-BA6)/1000,3),IF(AND(NOT(ISNA(VLOOKUP(AW6,G6:K105,5,FALSE))),AX6="",AY6&lt;&gt;""),ROUND((VLOOKUP(AW6,G6:K105,5,FALSE)-BA6)/1000,3),IF(AND(NOT(ISNA(VLOOKUP(AW6,M6:Q105,5,FALSE))),AX6="",AY6&lt;&gt;""),ROUND((VLOOKUP(AW6,M6:Q105,5,FALSE)-BA6)/1000,3),IF(AND(NOT(ISNA(VLOOKUP(AW6,S6:W105,5,FALSE))),AX6="",AY6&lt;&gt;""),ROUND((VLOOKUP(AW6,S6:W105,5,FALSE)-BA6)/1000,3),IF(AND(NOT(ISNA(VLOOKUP(AW6,Y6:AC105,5,FALSE))),AX6="",AY6&lt;&gt;""),ROUND((VLOOKUP(AW6,Y6:AC105,5,FALSE)-BA6)/1000,3),IF(AND(NOT(ISNA(VLOOKUP(AW6,AE6:AI105,5,FALSE))),AX6="",AY6&lt;&gt;""),ROUND((VLOOKUP(AW6,AE6:AI105,5,FALSE)-BA6)/1000,3),IF(AND(NOT(ISNA(VLOOKUP(AW6,AK6:AO105,5,FALSE))),AX6="",AY6&lt;&gt;""),ROUND((VLOOKUP(AW6,AK6:AO105,5,FALSE)-BA6)/1000,3),IF(AND(NOT(ISNA(VLOOKUP(AW6,AQ6:AU105,5,FALSE))),AX6="",AY6&lt;&gt;""),ROUND((VLOOKUP(AW6,AQ6:AU105,5,FALSE)-BA6)/1000,3),""))))))))</f>
        <v/>
      </c>
      <c r="BC6" s="74">
        <f>IF(AW105="","",AW105+1)</f>
        <v>900</v>
      </c>
      <c r="BD6" s="38"/>
      <c r="BE6" s="38"/>
      <c r="BF6" s="17" t="str">
        <f>IF(AND(BD6&lt;&gt;"",BE6&lt;&gt;""),ROUND(BD6,3)+ROUND(AZ105,3)-ROUND(BE6,3),IF(AND(EXACT(UPPER(BC6),"TBM"),BD6&lt;&gt;""),ROUND(BD6,3),IF(BD6="",AZ105,IF(ISNA(VLOOKUP(BC6,A6:E105,5,FALSE)),IF(ISNA(VLOOKUP(BC6,G6:K105,5,FALSE)),IF(ISNA(VLOOKUP(BC6,M6:Q105,5,FALSE)),IF(ISNA(VLOOKUP(BC6,S6:W105,5,FALSE)),IF(ISNA(VLOOKUP(BC6,Y6:AC105,5,FALSE)),IF(ISNA(VLOOKUP(BC6,AE6:AI105,5,FALSE)),IF(ISNA(VLOOKUP(BC6,AK6:AO105,5,FALSE)),IF(ISNA(VLOOKUP(BC6,AQ6:AU105,5,FALSE)),IF(ISNA(VLOOKUP(BC6,AW6:BA105,5,FALSE)),"",ROUND(VLOOKUP(BC6,AW6:BA105,5,FALSE),0)/1000+ROUND(BD6,3)),ROUND(VLOOKUP(BC6,AQ6:AU105,5,FALSE),0)/1000+ROUND(BD6,3)),ROUND(VLOOKUP(BC6,AK6:AO105,5,FALSE),0)/1000+ROUND(BD6,3)),ROUND(VLOOKUP(BC6,AE6:AI105,5,FALSE),0)/1000+ROUND(BD6,3)),ROUND(VLOOKUP(BC6,Y6:AC105,5,FALSE),0)/1000+ROUND(BD6,3)),ROUND(VLOOKUP(BC6,S6:W105,5,FALSE),0)/1000+ROUND(BD6,3)),ROUND(VLOOKUP(BC6,M6:Q105,5,FALSE),0)/1000+ROUND(BD6,3)),ROUND(VLOOKUP(BC6,G6:K105,5,FALSE),0)/1000+ROUND(BD6,3)),ROUND(VLOOKUP(BC6,A6:E105,5,FALSE),0)/1000+ROUND(BD6,3)))))</f>
        <v/>
      </c>
      <c r="BG6" s="18" t="str">
        <f>IF(OR(NOT(EXACT(UPPER(BC6),"TBM")),BD6=""),IF(AND(BD6&lt;&gt;"",BE6="",BF6&lt;&gt;""),"",IF(AND(BD6="",BE6&lt;&gt;"",BF6&lt;&gt;""),ROUND(ROUND(BF6,3)-ROUND(BE6,3),3)*1000,IF(AND(BD6&lt;&gt;"",BE6&lt;&gt;"",BF6&lt;&gt;""),ROUND(ROUND(AZ105,3)-ROUND(BE6,3),3)*1000,""))),"")</f>
        <v/>
      </c>
      <c r="BH6" s="44" t="str">
        <f>IF(AND(NOT(ISNA(VLOOKUP(BC6,A6:E105,5,FALSE))),BD6="",BE6&lt;&gt;""),ROUND((VLOOKUP(BC6,A6:E105,5,FALSE)-BG6)/1000,3),IF(AND(NOT(ISNA(VLOOKUP(BC6,G6:K105,5,FALSE))),BD6="",BE6&lt;&gt;""),ROUND((VLOOKUP(BC6,G6:K105,5,FALSE)-BG6)/1000,3),IF(AND(NOT(ISNA(VLOOKUP(BC6,M6:Q105,5,FALSE))),BD6="",BE6&lt;&gt;""),ROUND((VLOOKUP(BC6,M6:Q105,5,FALSE)-BG6)/1000,3),IF(AND(NOT(ISNA(VLOOKUP(BC6,S6:W105,5,FALSE))),BD6="",BE6&lt;&gt;""),ROUND((VLOOKUP(BC6,S6:W105,5,FALSE)-BG6)/1000,3),IF(AND(NOT(ISNA(VLOOKUP(BC6,Y6:AC105,5,FALSE))),BD6="",BE6&lt;&gt;""),ROUND((VLOOKUP(BC6,Y6:AC105,5,FALSE)-BG6)/1000,3),IF(AND(NOT(ISNA(VLOOKUP(BC6,AE6:AI105,5,FALSE))),BD6="",BE6&lt;&gt;""),ROUND((VLOOKUP(BC6,AE6:AI105,5,FALSE)-BG6)/1000,3),IF(AND(NOT(ISNA(VLOOKUP(BC6,AK6:AO105,5,FALSE))),BD6="",BE6&lt;&gt;""),ROUND((VLOOKUP(BC6,AK6:AO105,5,FALSE)-BG6)/1000,3),IF(AND(NOT(ISNA(VLOOKUP(BC6,AQ6:AU105,5,FALSE))),BD6="",BE6&lt;&gt;""),ROUND((VLOOKUP(BC6,AQ6:AU105,5,FALSE)-BG6)/1000,3),IF(AND(NOT(ISNA(VLOOKUP(BC6,AW6:BA105,5,FALSE))),BD6="",BE6&lt;&gt;""),ROUND((VLOOKUP(BC6,AW6:BA105,5,FALSE)-BG6)/1000,3),"")))))))))</f>
        <v/>
      </c>
    </row>
    <row r="7" spans="1:60" x14ac:dyDescent="0.25">
      <c r="A7" s="19">
        <v>1</v>
      </c>
      <c r="B7" s="39"/>
      <c r="C7" s="39"/>
      <c r="D7" s="15" t="str">
        <f>IF(AND(B7&lt;&gt;"",C7&lt;&gt;""),ROUND(B7,3)+ROUND(D6,3)-ROUND(C7,3),IF(AND(EXACT(UPPER(A7),"TBM"),B7&lt;&gt;""),ROUND(B7,3),IF(B7="",D6,IF(ISNA(VLOOKUP(A7,A6:E6,5,FALSE)),"",ROUND(VLOOKUP(A7,A6:E6,5,FALSE),0)/1000+ROUND(B7,3)))))</f>
        <v/>
      </c>
      <c r="E7" s="20" t="str">
        <f t="shared" ref="E7:E38" si="0">IF(OR(NOT(EXACT(UPPER(A7),"TBM")),B7=""),IF(AND(B7&lt;&gt;"",C7="",D7&lt;&gt;""),"",IF(AND(B7="",C7&lt;&gt;"",D7&lt;&gt;""),ROUND(ROUND(D7,3)-ROUND(C7,3),3)*1000,IF(AND(B7&lt;&gt;"",C7&lt;&gt;"",D7&lt;&gt;""),ROUND(ROUND(D6,3)-ROUND(C7,3),3)*1000,""))),"")</f>
        <v/>
      </c>
      <c r="F7" s="76"/>
      <c r="G7" s="19">
        <f t="shared" ref="G7:G70" si="1">IF(G6="","",G6+1)</f>
        <v>101</v>
      </c>
      <c r="H7" s="39"/>
      <c r="I7" s="39"/>
      <c r="J7" s="15" t="str">
        <f>IF(AND(H7&lt;&gt;"",I7&lt;&gt;""),ROUND(H7,3)+ROUND(J6,3)-ROUND(I7,3),IF(AND(EXACT(UPPER(G7),"TBM"),H7&lt;&gt;""),ROUND(H7,3),IF(H7="",J6,IF(ISNA(VLOOKUP(G7,A6:E105,5,FALSE)),IF(ISNA(VLOOKUP(G7,G6:K6,5,FALSE)),"",ROUND(VLOOKUP(G7,G6:K6,5,FALSE),0)/1000+ROUND(H7,3)),ROUND(VLOOKUP(G7,A6:E105,5,FALSE),0)/1000+ROUND(H7,3)))))</f>
        <v/>
      </c>
      <c r="K7" s="18" t="str">
        <f t="shared" ref="K7:K38" si="2">IF(OR(NOT(EXACT(UPPER(G7),"TBM")),H7=""),IF(AND(H7&lt;&gt;"",I7="",J7&lt;&gt;""),"",IF(AND(H7="",I7&lt;&gt;"",J7&lt;&gt;""),ROUND(ROUND(J7,3)-ROUND(I7,3),3)*1000,IF(AND(H7&lt;&gt;"",I7&lt;&gt;"",J7&lt;&gt;""),ROUND(ROUND(J6,3)-ROUND(I7,3),3)*1000,""))),"")</f>
        <v/>
      </c>
      <c r="L7" s="45" t="str">
        <f>IF(AND(NOT(ISNA(VLOOKUP(G7,A6:E105,5,FALSE))),H7="",I7&lt;&gt;""),ROUND((VLOOKUP(G7,A6:E105,5,FALSE)-K7)/1000,3),IF(AND(NOT(ISNA(VLOOKUP(G7,G6:K6,5,FALSE))),H7="",I7&lt;&gt;""),ROUND((VLOOKUP(G7,G6:K6,5,FALSE)-K7)/1000,3),""))</f>
        <v/>
      </c>
      <c r="M7" s="19">
        <f>IF(M6="","",M6+1)</f>
        <v>201</v>
      </c>
      <c r="N7" s="39"/>
      <c r="O7" s="39"/>
      <c r="P7" s="15" t="str">
        <f>IF(AND(N7&lt;&gt;"",O7&lt;&gt;""),ROUND(N7,3)+ROUND(P6,3)-ROUND(O7,3),IF(AND(EXACT(UPPER(M7),"TBM"),N7&lt;&gt;""),ROUND(N7,3),IF(N7="",P6,IF(ISNA(VLOOKUP(M7,A6:E105,5,FALSE)),IF(ISNA(VLOOKUP(M7,G6:K105,5,FALSE)),IF(ISNA(VLOOKUP(M7,M6:Q6,5,FALSE)),"",ROUND(VLOOKUP(M7,M6:Q6,5,FALSE),0)/1000+ROUND(N7,3)),ROUND(VLOOKUP(M7,G6:K105,5,FALSE),0)/1000+ROUND(N7,3)),ROUND(VLOOKUP(M7,A6:E105,5,FALSE),0)/1000+ROUND(N7,3)))))</f>
        <v/>
      </c>
      <c r="Q7" s="18" t="str">
        <f>IF(OR(NOT(EXACT(UPPER(M7),"TBM")),N7=""),IF(AND(N7&lt;&gt;"",O7="",P7&lt;&gt;""),"",IF(AND(N7="",O7&lt;&gt;"",P7&lt;&gt;""),ROUND(ROUND(P7,3)-ROUND(O7,3),3)*1000,IF(AND(N7&lt;&gt;"",O7&lt;&gt;"",P7&lt;&gt;""),ROUND(ROUND(P6,3)-ROUND(O7,3),3)*1000,""))),"")</f>
        <v/>
      </c>
      <c r="R7" s="45" t="str">
        <f>IF(AND(NOT(ISNA(VLOOKUP(M7,A6:E105,5,FALSE))),N7="",O7&lt;&gt;""),ROUND((VLOOKUP(M7,A6:E105,5,FALSE)-Q7)/1000,3),IF(AND(NOT(ISNA(VLOOKUP(M7,G6:K105,5,FALSE))),N7="",O7&lt;&gt;""),ROUND((VLOOKUP(M7,G6:K105,5,FALSE)-Q7)/1000,3),IF(AND(NOT(ISNA(VLOOKUP(M7,M6:Q6,5,FALSE))),N7="",O7&lt;&gt;""),ROUND((VLOOKUP(M7,M6:Q6,5,FALSE)-Q7)/1000,3),"")))</f>
        <v/>
      </c>
      <c r="S7" s="19">
        <f>IF(S6="","",S6+1)</f>
        <v>301</v>
      </c>
      <c r="T7" s="39"/>
      <c r="U7" s="39"/>
      <c r="V7" s="15" t="str">
        <f>IF(AND(T7&lt;&gt;"",U7&lt;&gt;""),ROUND(T7,3)+ROUND(V6,3)-ROUND(U7,3),IF(AND(EXACT(UPPER(S7),"TBM"),T7&lt;&gt;""),ROUND(T7,3),IF(T7="",V6,IF(ISNA(VLOOKUP(S7,A6:E105,5,FALSE)),IF(ISNA(VLOOKUP(S7,G6:K105,5,FALSE)),IF(ISNA(VLOOKUP(S7,M6:Q105,5,FALSE)),IF(ISNA(VLOOKUP(S7,S6:W6,5,FALSE)),"",ROUND(VLOOKUP(S7,S6:W6,5,FALSE),0)/1000+ROUND(T7,3)),ROUND(VLOOKUP(S7,M6:Q105,5,FALSE),0)/1000+ROUND(T7,3)),ROUND(VLOOKUP(S7,G6:K105,5,FALSE),0)/1000+ROUND(T7,3)),ROUND(VLOOKUP(S7,A6:E105,5,FALSE),0)/1000+ROUND(T7,3)))))</f>
        <v/>
      </c>
      <c r="W7" s="18" t="str">
        <f>IF(OR(NOT(EXACT(UPPER(S7),"TBM")),T7=""),IF(AND(T7&lt;&gt;"",U7="",V7&lt;&gt;""),"",IF(AND(T7="",U7&lt;&gt;"",V7&lt;&gt;""),ROUND(ROUND(V7,3)-ROUND(U7,3),3)*1000,IF(AND(T7&lt;&gt;"",U7&lt;&gt;"",V7&lt;&gt;""),ROUND(ROUND(V6,3)-ROUND(U7,3),3)*1000,""))),"")</f>
        <v/>
      </c>
      <c r="X7" s="45" t="str">
        <f>IF(AND(NOT(ISNA(VLOOKUP(S7,A6:E105,5,FALSE))),T7="",U7&lt;&gt;""),ROUND((VLOOKUP(S7,A6:E105,5,FALSE)-W7)/1000,3),IF(AND(NOT(ISNA(VLOOKUP(S7,G6:K105,5,FALSE))),T7="",U7&lt;&gt;""),ROUND((VLOOKUP(S7,G6:K105,5,FALSE)-W7)/1000,3),IF(AND(NOT(ISNA(VLOOKUP(S7,M6:Q105,5,FALSE))),T7="",U7&lt;&gt;""),ROUND((VLOOKUP(S7,M6:Q105,5,FALSE)-W7)/1000,3),IF(AND(NOT(ISNA(VLOOKUP(S7,S6:W6,5,FALSE))),T7="",U7&lt;&gt;""),ROUND((VLOOKUP(S7,S6:W6,5,FALSE)-W7)/1000,3),""))))</f>
        <v/>
      </c>
      <c r="Y7" s="19">
        <f>IF(Y6="","",Y6+1)</f>
        <v>401</v>
      </c>
      <c r="Z7" s="39"/>
      <c r="AA7" s="39"/>
      <c r="AB7" s="15" t="str">
        <f>IF(AND(Z7&lt;&gt;"",AA7&lt;&gt;""),ROUND(Z7,3)+ROUND(AB6,3)-ROUND(AA7,3),IF(AND(EXACT(UPPER(Y7),"TBM"),Z7&lt;&gt;""),ROUND(Z7,3),IF(Z7="",AB6,IF(ISNA(VLOOKUP(Y7,A6:E105,5,FALSE)),IF(ISNA(VLOOKUP(Y7,G6:K105,5,FALSE)),IF(ISNA(VLOOKUP(Y7,M6:Q105,5,FALSE)),IF(ISNA(VLOOKUP(Y7,S6:W105,5,FALSE)),IF(ISNA(VLOOKUP(Y7,Y6:AC6,5,FALSE)),"",ROUND(VLOOKUP(Y7,Y6:AC6,5,FALSE),0)/1000+ROUND(Z7,3)),ROUND(VLOOKUP(Y7,S6:W105,5,FALSE),0)/1000+ROUND(Z7,3)),ROUND(VLOOKUP(Y7,M6:Q105,5,FALSE),0)/1000+ROUND(Z7,3)),ROUND(VLOOKUP(Y7,G6:K105,5,FALSE),0)/1000+ROUND(Z7,3)),ROUND(VLOOKUP(Y7,A6:E105,5,FALSE),0)/1000+ROUND(Z7,3)))))</f>
        <v/>
      </c>
      <c r="AC7" s="18" t="str">
        <f>IF(OR(NOT(EXACT(UPPER(Y7),"TBM")),Z7=""),IF(AND(Z7&lt;&gt;"",AA7="",AB7&lt;&gt;""),"",IF(AND(Z7="",AA7&lt;&gt;"",AB7&lt;&gt;""),ROUND(ROUND(AB7,3)-ROUND(AA7,3),3)*1000,IF(AND(Z7&lt;&gt;"",AA7&lt;&gt;"",AB7&lt;&gt;""),ROUND(ROUND(AB6,3)-ROUND(AA7,3),3)*1000,""))),"")</f>
        <v/>
      </c>
      <c r="AD7" s="45" t="str">
        <f>IF(AND(NOT(ISNA(VLOOKUP(Y7,A6:E105,5,FALSE))),Z7="",AA7&lt;&gt;""),ROUND((VLOOKUP(Y7,A6:E105,5,FALSE)-AC7)/1000,3),IF(AND(NOT(ISNA(VLOOKUP(Y7,G6:K105,5,FALSE))),Z7="",AA7&lt;&gt;""),ROUND((VLOOKUP(Y7,G6:K105,5,FALSE)-AC7)/1000,3),IF(AND(NOT(ISNA(VLOOKUP(Y7,M6:Q105,5,FALSE))),Z7="",AA7&lt;&gt;""),ROUND((VLOOKUP(Y7,M6:Q105,5,FALSE)-AC7)/1000,3),IF(AND(NOT(ISNA(VLOOKUP(Y7,S6:W105,5,FALSE))),Z7="",AA7&lt;&gt;""),ROUND((VLOOKUP(Y7,S6:W105,5,FALSE)-AC7)/1000,3),IF(AND(NOT(ISNA(VLOOKUP(Y7,Y6:AC6,5,FALSE))),Z7="",AA7&lt;&gt;""),ROUND((VLOOKUP(Y7,Y6:AC6,5,FALSE)-AC7)/1000,3),"")))))</f>
        <v/>
      </c>
      <c r="AE7" s="19">
        <f>IF(AE6="","",AE6+1)</f>
        <v>501</v>
      </c>
      <c r="AF7" s="39"/>
      <c r="AG7" s="39"/>
      <c r="AH7" s="15" t="str">
        <f>IF(AND(AF7&lt;&gt;"",AG7&lt;&gt;""),ROUND(AF7,3)+ROUND(AH6,3)-ROUND(AG7,3),IF(AND(EXACT(UPPER(AE7),"TBM"),AF7&lt;&gt;""),ROUND(AF7,3),IF(AF7="",AH6,IF(ISNA(VLOOKUP(AE7,A6:E105,5,FALSE)),IF(ISNA(VLOOKUP(AE7,G6:K105,5,FALSE)),IF(ISNA(VLOOKUP(AE7,M6:Q105,5,FALSE)),IF(ISNA(VLOOKUP(AE7,S6:W105,5,FALSE)),IF(ISNA(VLOOKUP(AE7,Y6:AC105,5,FALSE)),IF(ISNA(VLOOKUP(AE7,AE6:AI6,5,FALSE)),"",ROUND(VLOOKUP(AE7,AE6:AI6,5,FALSE),0)/1000+ROUND(AF7,3)),ROUND(VLOOKUP(AE7,Y6:AC105,5,FALSE),0)/1000+ROUND(AF7,3)),ROUND(VLOOKUP(AE7,S6:W105,5,FALSE),0)/1000+ROUND(AF7,3)),ROUND(VLOOKUP(AE7,M6:Q105,5,FALSE),0)/1000+ROUND(AF7,3)),ROUND(VLOOKUP(AE7,G6:K105,5,FALSE),0)/1000+ROUND(AF7,3)),ROUND(VLOOKUP(AE7,A6:E105,5,FALSE),0)/1000+ROUND(AF7,3)))))</f>
        <v/>
      </c>
      <c r="AI7" s="18" t="str">
        <f>IF(OR(NOT(EXACT(UPPER(AE7),"TBM")),AF7=""),IF(AND(AF7&lt;&gt;"",AG7="",AH7&lt;&gt;""),"",IF(AND(AF7="",AG7&lt;&gt;"",AH7&lt;&gt;""),ROUND(ROUND(AH7,3)-ROUND(AG7,3),3)*1000,IF(AND(AF7&lt;&gt;"",AG7&lt;&gt;"",AH7&lt;&gt;""),ROUND(ROUND(AH6,3)-ROUND(AG7,3),3)*1000,""))),"")</f>
        <v/>
      </c>
      <c r="AJ7" s="45" t="str">
        <f>IF(AND(NOT(ISNA(VLOOKUP(AE7,A6:E105,5,FALSE))),AF7="",AG7&lt;&gt;""),ROUND((VLOOKUP(AE7,A6:E105,5,FALSE)-AI7)/1000,3),IF(AND(NOT(ISNA(VLOOKUP(AE7,G6:K105,5,FALSE))),AF7="",AG7&lt;&gt;""),ROUND((VLOOKUP(AE7,G6:K105,5,FALSE)-AI7)/1000,3),IF(AND(NOT(ISNA(VLOOKUP(AE7,M6:Q105,5,FALSE))),AF7="",AG7&lt;&gt;""),ROUND((VLOOKUP(AE7,M6:Q105,5,FALSE)-AI7)/1000,3),IF(AND(NOT(ISNA(VLOOKUP(AE7,S6:W105,5,FALSE))),AF7="",AG7&lt;&gt;""),ROUND((VLOOKUP(AE7,S6:W105,5,FALSE)-AI7)/1000,3),IF(AND(NOT(ISNA(VLOOKUP(AE7,Y6:AC105,5,FALSE))),AF7="",AG7&lt;&gt;""),ROUND((VLOOKUP(AE7,Y6:AC105,5,FALSE)-AI7)/1000,3),IF(AND(NOT(ISNA(VLOOKUP(AE7,AE6:AI6,5,FALSE))),AF7="",AG7&lt;&gt;""),ROUND((VLOOKUP(AE7,AE6:AI6,5,FALSE)-AI7)/1000,3),""))))))</f>
        <v/>
      </c>
      <c r="AK7" s="19">
        <f>IF(AK6="","",AK6+1)</f>
        <v>601</v>
      </c>
      <c r="AL7" s="39"/>
      <c r="AM7" s="39"/>
      <c r="AN7" s="15" t="str">
        <f>IF(AND(AL7&lt;&gt;"",AM7&lt;&gt;""),ROUND(AL7,3)+ROUND(AN6,3)-ROUND(AM7,3),IF(AND(EXACT(UPPER(AK7),"TBM"),AL7&lt;&gt;""),ROUND(AL7,3),IF(AL7="",AN6,IF(ISNA(VLOOKUP(AK7,A6:E105,5,FALSE)),IF(ISNA(VLOOKUP(AK7,G6:K105,5,FALSE)),IF(ISNA(VLOOKUP(AK7,M6:Q105,5,FALSE)),IF(ISNA(VLOOKUP(AK7,S6:W105,5,FALSE)),IF(ISNA(VLOOKUP(AK7,Y6:AC105,5,FALSE)),IF(ISNA(VLOOKUP(AK7,AE6:AI105,5,FALSE)),IF(ISNA(VLOOKUP(AK7,AK6:AO6,5,FALSE)),"",ROUND(VLOOKUP(AK7,AK6:AO6,5,FALSE),0)/1000+ROUND(AL7,3)),ROUND(VLOOKUP(AK7,AE6:AI105,5,FALSE),0)/1000+ROUND(AL7,3)),ROUND(VLOOKUP(AK7,Y6:AC105,5,FALSE),0)/1000+ROUND(AL7,3)),ROUND(VLOOKUP(AK7,S6:W105,5,FALSE),0)/1000+ROUND(AL7,3)),ROUND(VLOOKUP(AK7,M6:Q105,5,FALSE),0)/1000+ROUND(AL7,3)),ROUND(VLOOKUP(AK7,G6:K105,5,FALSE),0)/1000+ROUND(AL7,3)),ROUND(VLOOKUP(AK7,A6:E105,5,FALSE),0)/1000+ROUND(AL7,3)))))</f>
        <v/>
      </c>
      <c r="AO7" s="18" t="str">
        <f>IF(OR(NOT(EXACT(UPPER(AK7),"TBM")),AL7=""),IF(AND(AL7&lt;&gt;"",AM7="",AN7&lt;&gt;""),"",IF(AND(AL7="",AM7&lt;&gt;"",AN7&lt;&gt;""),ROUND(ROUND(AN7,3)-ROUND(AM7,3),3)*1000,IF(AND(AL7&lt;&gt;"",AM7&lt;&gt;"",AN7&lt;&gt;""),ROUND(ROUND(AN6,3)-ROUND(AM7,3),3)*1000,""))),"")</f>
        <v/>
      </c>
      <c r="AP7" s="45" t="str">
        <f>IF(AND(NOT(ISNA(VLOOKUP(AK7,A6:E105,5,FALSE))),AL7="",AM7&lt;&gt;""),ROUND((VLOOKUP(AK7,A6:E105,5,FALSE)-AO7)/1000,3),IF(AND(NOT(ISNA(VLOOKUP(AK7,G6:K105,5,FALSE))),AL7="",AM7&lt;&gt;""),ROUND((VLOOKUP(AK7,G6:K105,5,FALSE)-AO7)/1000,3),IF(AND(NOT(ISNA(VLOOKUP(AK7,M6:Q105,5,FALSE))),AL7="",AM7&lt;&gt;""),ROUND((VLOOKUP(AK7,M6:Q105,5,FALSE)-AO7)/1000,3),IF(AND(NOT(ISNA(VLOOKUP(AK7,S6:W105,5,FALSE))),AL7="",AM7&lt;&gt;""),ROUND((VLOOKUP(AK7,S6:W105,5,FALSE)-AO7)/1000,3),IF(AND(NOT(ISNA(VLOOKUP(AK7,Y6:AC105,5,FALSE))),AL7="",AM7&lt;&gt;""),ROUND((VLOOKUP(AK7,Y6:AC105,5,FALSE)-AO7)/1000,3),IF(AND(NOT(ISNA(VLOOKUP(AK7,AE6:AI105,5,FALSE))),AL7="",AM7&lt;&gt;""),ROUND((VLOOKUP(AK7,AE6:AI105,5,FALSE)-AO7)/1000,3),IF(AND(NOT(ISNA(VLOOKUP(AK7,AK6:AO6,5,FALSE))),AL7="",AM7&lt;&gt;""),ROUND((VLOOKUP(AK7,AK6:AO6,5,FALSE)-AO7)/1000,3),"")))))))</f>
        <v/>
      </c>
      <c r="AQ7" s="19">
        <f>IF(AQ6="","",AQ6+1)</f>
        <v>701</v>
      </c>
      <c r="AR7" s="39"/>
      <c r="AS7" s="39"/>
      <c r="AT7" s="15" t="str">
        <f>IF(AND(AR7&lt;&gt;"",AS7&lt;&gt;""),ROUND(AR7,3)+ROUND(AT6,3)-ROUND(AS7,3),IF(AND(EXACT(UPPER(AQ7),"TBM"),AR7&lt;&gt;""),ROUND(AR7,3),IF(AR7="",AT6,IF(ISNA(VLOOKUP(AQ7,A6:E105,5,FALSE)),IF(ISNA(VLOOKUP(AQ7,G6:K105,5,FALSE)),IF(ISNA(VLOOKUP(AQ7,M6:Q105,5,FALSE)),IF(ISNA(VLOOKUP(AQ7,S6:W105,5,FALSE)),IF(ISNA(VLOOKUP(AQ7,Y6:AC105,5,FALSE)),IF(ISNA(VLOOKUP(AQ7,AE6:AI105,5,FALSE)),IF(ISNA(VLOOKUP(AQ7,AK6:AO105,5,FALSE)),IF(ISNA(VLOOKUP(AQ7,AQ6:AU6,5,FALSE)),"",ROUND(VLOOKUP(AQ7,AQ6:AU6,5,FALSE),0)/1000+ROUND(AR7,3)),ROUND(VLOOKUP(AQ7,AK6:AO105,5,FALSE),0)/1000+ROUND(AR7,3)),ROUND(VLOOKUP(AQ7,AE6:AI105,5,FALSE),0)/1000+ROUND(AR7,3)),ROUND(VLOOKUP(AQ7,Y6:AC105,5,FALSE),0)/1000+ROUND(AR7,3)),ROUND(VLOOKUP(AQ7,S6:W105,5,FALSE),0)/1000+ROUND(AR7,3)),ROUND(VLOOKUP(AQ7,M6:Q105,5,FALSE),0)/1000+ROUND(AR7,3)),ROUND(VLOOKUP(AQ7,G6:K105,5,FALSE),0)/1000+ROUND(AR7,3)),ROUND(VLOOKUP(AQ7,A6:E105,5,FALSE),0)/1000+ROUND(AR7,3)))))</f>
        <v/>
      </c>
      <c r="AU7" s="18" t="str">
        <f>IF(OR(NOT(EXACT(UPPER(AQ7),"TBM")),AR7=""),IF(AND(AR7&lt;&gt;"",AS7="",AT7&lt;&gt;""),"",IF(AND(AR7="",AS7&lt;&gt;"",AT7&lt;&gt;""),ROUND(ROUND(AT7,3)-ROUND(AS7,3),3)*1000,IF(AND(AR7&lt;&gt;"",AS7&lt;&gt;"",AT7&lt;&gt;""),ROUND(ROUND(AT6,3)-ROUND(AS7,3),3)*1000,""))),"")</f>
        <v/>
      </c>
      <c r="AV7" s="45" t="str">
        <f>IF(AND(NOT(ISNA(VLOOKUP(AQ7,A6:E105,5,FALSE))),AR7="",AS7&lt;&gt;""),ROUND((VLOOKUP(AQ7,A6:E105,5,FALSE)-AU7)/1000,3),IF(AND(NOT(ISNA(VLOOKUP(AQ7,G6:K105,5,FALSE))),AR7="",AS7&lt;&gt;""),ROUND((VLOOKUP(AQ7,G6:K105,5,FALSE)-AU7)/1000,3),IF(AND(NOT(ISNA(VLOOKUP(AQ7,M6:Q105,5,FALSE))),AR7="",AS7&lt;&gt;""),ROUND((VLOOKUP(AQ7,M6:Q105,5,FALSE)-AU7)/1000,3),IF(AND(NOT(ISNA(VLOOKUP(AQ7,S6:W105,5,FALSE))),AR7="",AS7&lt;&gt;""),ROUND((VLOOKUP(AQ7,S6:W105,5,FALSE)-AU7)/1000,3),IF(AND(NOT(ISNA(VLOOKUP(AQ7,Y6:AC105,5,FALSE))),AR7="",AS7&lt;&gt;""),ROUND((VLOOKUP(AQ7,Y6:AC105,5,FALSE)-AU7)/1000,3),IF(AND(NOT(ISNA(VLOOKUP(AQ7,AE6:AI105,5,FALSE))),AR7="",AS7&lt;&gt;""),ROUND((VLOOKUP(AQ7,AE6:AI105,5,FALSE)-AU7)/1000,3),IF(AND(NOT(ISNA(VLOOKUP(AQ7,AK6:AO105,5,FALSE))),AR7="",AS7&lt;&gt;""),ROUND((VLOOKUP(AQ7,AK6:AO105,5,FALSE)-AU7)/1000,3),IF(AND(NOT(ISNA(VLOOKUP(AQ7,AQ6:AU6,5,FALSE))),AR7="",AS7&lt;&gt;""),ROUND((VLOOKUP(AQ7,AQ6:AU6,5,FALSE)-AU7)/1000,3),""))))))))</f>
        <v/>
      </c>
      <c r="AW7" s="19">
        <f>IF(AW6="","",AW6+1)</f>
        <v>801</v>
      </c>
      <c r="AX7" s="39"/>
      <c r="AY7" s="39"/>
      <c r="AZ7" s="15" t="str">
        <f>IF(AND(AX7&lt;&gt;"",AY7&lt;&gt;""),ROUND(AX7,3)+ROUND(AZ6,3)-ROUND(AY7,3),IF(AND(EXACT(UPPER(AW7),"TBM"),AX7&lt;&gt;""),ROUND(AX7,3),IF(AX7="",AZ6,IF(ISNA(VLOOKUP(AW7,A6:E105,5,FALSE)),IF(ISNA(VLOOKUP(AW7,G6:K105,5,FALSE)),IF(ISNA(VLOOKUP(AW7,M6:Q105,5,FALSE)),IF(ISNA(VLOOKUP(AW7,S6:W105,5,FALSE)),IF(ISNA(VLOOKUP(AW7,Y6:AC105,5,FALSE)),IF(ISNA(VLOOKUP(AW7,AE6:AI105,5,FALSE)),IF(ISNA(VLOOKUP(AW7,AK6:AO105,5,FALSE)),IF(ISNA(VLOOKUP(AW7,AQ6:AU105,5,FALSE)),IF(ISNA(VLOOKUP(AW7,AW6:BA6,5,FALSE)),"",ROUND(VLOOKUP(AW7,AW6:BA6,5,FALSE),0)/1000+ROUND(AX7,3)),ROUND(VLOOKUP(AW7,AQ6:AU105,5,FALSE),0)/1000+ROUND(AX7,3)),ROUND(VLOOKUP(AW7,AK6:AO105,5,FALSE),0)/1000+ROUND(AX7,3)),ROUND(VLOOKUP(AW7,AE6:AI105,5,FALSE),0)/1000+ROUND(AX7,3)),ROUND(VLOOKUP(AW7,Y6:AC105,5,FALSE),0)/1000+ROUND(AX7,3)),ROUND(VLOOKUP(AW7,S6:W105,5,FALSE),0)/1000+ROUND(AX7,3)),ROUND(VLOOKUP(AW7,M6:Q105,5,FALSE),0)/1000+ROUND(AX7,3)),ROUND(VLOOKUP(AW7,G6:K105,5,FALSE),0)/1000+ROUND(AX7,3)),ROUND(VLOOKUP(AW7,A6:E105,5,FALSE),0)/1000+ROUND(AX7,3)))))</f>
        <v/>
      </c>
      <c r="BA7" s="18" t="str">
        <f>IF(OR(NOT(EXACT(UPPER(AW7),"TBM")),AX7=""),IF(AND(AX7&lt;&gt;"",AY7="",AZ7&lt;&gt;""),"",IF(AND(AX7="",AY7&lt;&gt;"",AZ7&lt;&gt;""),ROUND(ROUND(AZ7,3)-ROUND(AY7,3),3)*1000,IF(AND(AX7&lt;&gt;"",AY7&lt;&gt;"",AZ7&lt;&gt;""),ROUND(ROUND(AZ6,3)-ROUND(AY7,3),3)*1000,""))),"")</f>
        <v/>
      </c>
      <c r="BB7" s="45" t="str">
        <f>IF(AND(NOT(ISNA(VLOOKUP(AW7,A6:E105,5,FALSE))),AX7="",AY7&lt;&gt;""),ROUND((VLOOKUP(AW7,A6:E105,5,FALSE)-BA7)/1000,3),IF(AND(NOT(ISNA(VLOOKUP(AW7,G6:K105,5,FALSE))),AX7="",AY7&lt;&gt;""),ROUND((VLOOKUP(AW7,G6:K105,5,FALSE)-BA7)/1000,3),IF(AND(NOT(ISNA(VLOOKUP(AW7,M6:Q105,5,FALSE))),AX7="",AY7&lt;&gt;""),ROUND((VLOOKUP(AW7,M6:Q105,5,FALSE)-BA7)/1000,3),IF(AND(NOT(ISNA(VLOOKUP(AW7,S6:W105,5,FALSE))),AX7="",AY7&lt;&gt;""),ROUND((VLOOKUP(AW7,S6:W105,5,FALSE)-BA7)/1000,3),IF(AND(NOT(ISNA(VLOOKUP(AW7,Y6:AC105,5,FALSE))),AX7="",AY7&lt;&gt;""),ROUND((VLOOKUP(AW7,Y6:AC105,5,FALSE)-BA7)/1000,3),IF(AND(NOT(ISNA(VLOOKUP(AW7,AE6:AI105,5,FALSE))),AX7="",AY7&lt;&gt;""),ROUND((VLOOKUP(AW7,AE6:AI105,5,FALSE)-BA7)/1000,3),IF(AND(NOT(ISNA(VLOOKUP(AW7,AK6:AO105,5,FALSE))),AX7="",AY7&lt;&gt;""),ROUND((VLOOKUP(AW7,AK6:AO105,5,FALSE)-BA7)/1000,3),IF(AND(NOT(ISNA(VLOOKUP(AW7,AQ6:AU105,5,FALSE))),AX7="",AY7&lt;&gt;""),ROUND((VLOOKUP(AW7,AQ6:AU105,5,FALSE)-BA7)/1000,3),IF(AND(NOT(ISNA(VLOOKUP(AW7,AW6:BA6,5,FALSE))),AX7="",AY7&lt;&gt;""),ROUND((VLOOKUP(AW7,AW6:BA6,5,FALSE)-BA7)/1000,3),"")))))))))</f>
        <v/>
      </c>
      <c r="BC7" s="19">
        <f>IF(BC6="","",BC6+1)</f>
        <v>901</v>
      </c>
      <c r="BD7" s="39"/>
      <c r="BE7" s="39"/>
      <c r="BF7" s="15" t="str">
        <f>IF(AND(BD7&lt;&gt;"",BE7&lt;&gt;""),ROUND(BD7,3)+ROUND(BF6,3)-ROUND(BE7,3),IF(AND(EXACT(UPPER(BC7),"TBM"),BD7&lt;&gt;""),ROUND(BD7,3),IF(BD7="",BF6,IF(ISNA(VLOOKUP(BC7,A6:E105,5,FALSE)),IF(ISNA(VLOOKUP(BC7,G6:K105,5,FALSE)),IF(ISNA(VLOOKUP(BC7,M6:Q105,5,FALSE)),IF(ISNA(VLOOKUP(BC7,S6:W105,5,FALSE)),IF(ISNA(VLOOKUP(BC7,Y6:AC105,5,FALSE)),IF(ISNA(VLOOKUP(BC7,AE6:AI105,5,FALSE)),IF(ISNA(VLOOKUP(BC7,AK6:AO105,5,FALSE)),IF(ISNA(VLOOKUP(BC7,AQ6:AU105,5,FALSE)),IF(ISNA(VLOOKUP(BC7,AW6:BA105,5,FALSE)),IF(ISNA(VLOOKUP(BC7,BC6:BG6,5,FALSE)),"",ROUND(VLOOKUP(BC7,BC6:BG6,5,FALSE),0)/1000+ROUND(BD7,3)),ROUND(VLOOKUP(BC7,AW6:BA105,5,FALSE),0)/1000+ROUND(BD7,3)),ROUND(VLOOKUP(BC7,AQ6:AU105,5,FALSE),0)/1000+ROUND(BD7,3)),ROUND(VLOOKUP(BC7,AK6:AO105,5,FALSE),0)/1000+ROUND(BD7,3)),ROUND(VLOOKUP(BC7,AE6:AI105,5,FALSE),0)/1000+ROUND(BD7,3)),ROUND(VLOOKUP(BC7,Y6:AC105,5,FALSE),0)/1000+ROUND(BD7,3)),ROUND(VLOOKUP(BC7,S6:W105,5,FALSE),0)/1000+ROUND(BD7,3)),ROUND(VLOOKUP(BC7,M6:Q105,5,FALSE),0)/1000+ROUND(BD7,3)),ROUND(VLOOKUP(BC7,G6:K105,5,FALSE),0)/1000+ROUND(BD7,3)),ROUND(VLOOKUP(BC7,A6:E105,5,FALSE),0)/1000+ROUND(BD7,3)))))</f>
        <v/>
      </c>
      <c r="BG7" s="18" t="str">
        <f>IF(OR(NOT(EXACT(UPPER(BC7),"TBM")),BD7=""),IF(AND(BD7&lt;&gt;"",BE7="",BF7&lt;&gt;""),"",IF(AND(BD7="",BE7&lt;&gt;"",BF7&lt;&gt;""),ROUND(ROUND(BF7,3)-ROUND(BE7,3),3)*1000,IF(AND(BD7&lt;&gt;"",BE7&lt;&gt;"",BF7&lt;&gt;""),ROUND(ROUND(BF6,3)-ROUND(BE7,3),3)*1000,""))),"")</f>
        <v/>
      </c>
      <c r="BH7" s="45" t="str">
        <f>IF(AND(NOT(ISNA(VLOOKUP(BC7,A6:E105,5,FALSE))),BD7="",BE7&lt;&gt;""),ROUND((VLOOKUP(BC7,A6:E105,5,FALSE)-BG7)/1000,3),IF(AND(NOT(ISNA(VLOOKUP(BC7,G6:K105,5,FALSE))),BD7="",BE7&lt;&gt;""),ROUND((VLOOKUP(BC7,G6:K105,5,FALSE)-BG7)/1000,3),IF(AND(NOT(ISNA(VLOOKUP(BC7,M6:Q105,5,FALSE))),BD7="",BE7&lt;&gt;""),ROUND((VLOOKUP(BC7,M6:Q105,5,FALSE)-BG7)/1000,3),IF(AND(NOT(ISNA(VLOOKUP(BC7,S6:W105,5,FALSE))),BD7="",BE7&lt;&gt;""),ROUND((VLOOKUP(BC7,S6:W105,5,FALSE)-BG7)/1000,3),IF(AND(NOT(ISNA(VLOOKUP(BC7,Y6:AC105,5,FALSE))),BD7="",BE7&lt;&gt;""),ROUND((VLOOKUP(BC7,Y6:AC105,5,FALSE)-BG7)/1000,3),IF(AND(NOT(ISNA(VLOOKUP(BC7,AE6:AI105,5,FALSE))),BD7="",BE7&lt;&gt;""),ROUND((VLOOKUP(BC7,AE6:AI105,5,FALSE)-BG7)/1000,3),IF(AND(NOT(ISNA(VLOOKUP(BC7,AK6:AO105,5,FALSE))),BD7="",BE7&lt;&gt;""),ROUND((VLOOKUP(BC7,AK6:AO105,5,FALSE)-BG7)/1000,3),IF(AND(NOT(ISNA(VLOOKUP(BC7,AQ6:AU105,5,FALSE))),BD7="",BE7&lt;&gt;""),ROUND((VLOOKUP(BC7,AQ6:AU105,5,FALSE)-BG7)/1000,3),IF(AND(NOT(ISNA(VLOOKUP(BC7,AW6:BA105,5,FALSE))),BD7="",BE7&lt;&gt;""),ROUND((VLOOKUP(BC7,AW6:BA105,5,FALSE)-BG7)/1000,3),IF(AND(NOT(ISNA(VLOOKUP(BC7,BC6:BG6,5,FALSE))),BD7="",BE7&lt;&gt;""),ROUND((VLOOKUP(BC7,BC6:BG6,5,FALSE)-BG7)/1000,3),""))))))))))</f>
        <v/>
      </c>
    </row>
    <row r="8" spans="1:60" x14ac:dyDescent="0.25">
      <c r="A8" s="19">
        <f>IF(A7="","",A7+1)</f>
        <v>2</v>
      </c>
      <c r="B8" s="39"/>
      <c r="C8" s="39"/>
      <c r="D8" s="15" t="str">
        <f>IF(AND(B8&lt;&gt;"",C8&lt;&gt;""),ROUND(B8,3)+ROUND(D7,3)-ROUND(C8,3),IF(AND(EXACT(UPPER(A8),"TBM"),B8&lt;&gt;""),ROUND(B8,3),IF(B8="",D7,IF(ISNA(VLOOKUP(A8,A6:E7,5,FALSE)),"",ROUND(VLOOKUP(A8,A6:E7,5,FALSE),0)/1000+ROUND(B8,3)))))</f>
        <v/>
      </c>
      <c r="E8" s="21" t="str">
        <f t="shared" si="0"/>
        <v/>
      </c>
      <c r="F8" s="46" t="str">
        <f>IF(AND(NOT(ISNA(VLOOKUP(A8,A6:E7,5,FALSE))),B8="",C8&lt;&gt;""),ROUND((VLOOKUP(A8,A6:E7,5,FALSE)-E8)/1000,3),"")</f>
        <v/>
      </c>
      <c r="G8" s="19">
        <f t="shared" si="1"/>
        <v>102</v>
      </c>
      <c r="H8" s="40"/>
      <c r="I8" s="40"/>
      <c r="J8" s="15" t="str">
        <f>IF(AND(H8&lt;&gt;"",I8&lt;&gt;""),ROUND(H8,3)+ROUND(J7,3)-ROUND(I8,3),IF(AND(EXACT(UPPER(G8),"TBM"),H8&lt;&gt;""),ROUND(H8,3),IF(H8="",J7,IF(ISNA(VLOOKUP(G8,A6:E105,5,FALSE)),IF(ISNA(VLOOKUP(G8,G6:K7,5,FALSE)),"",ROUND(VLOOKUP(G8,G6:K7,5,FALSE),0)/1000+ROUND(H8,3)),ROUND(VLOOKUP(G8,A6:E105,5,FALSE),0)/1000+ROUND(H8,3)))))</f>
        <v/>
      </c>
      <c r="K8" s="18" t="str">
        <f t="shared" si="2"/>
        <v/>
      </c>
      <c r="L8" s="44" t="str">
        <f>IF(AND(NOT(ISNA(VLOOKUP(G8,A6:E105,5,FALSE))),H8="",I8&lt;&gt;""),ROUND((VLOOKUP(G8,A6:E105,5,FALSE)-K8)/1000,3),IF(AND(NOT(ISNA(VLOOKUP(G8,G6:K7,5,FALSE))),H8="",I8&lt;&gt;""),ROUND((VLOOKUP(G8,G6:K7,5,FALSE)-K8)/1000,3),""))</f>
        <v/>
      </c>
      <c r="M8" s="19">
        <f>IF(M7="","",M7+1)</f>
        <v>202</v>
      </c>
      <c r="N8" s="40"/>
      <c r="O8" s="40"/>
      <c r="P8" s="15" t="str">
        <f>IF(AND(N8&lt;&gt;"",O8&lt;&gt;""),ROUND(N8,3)+ROUND(P7,3)-ROUND(O8,3),IF(AND(EXACT(UPPER(M8),"TBM"),N8&lt;&gt;""),ROUND(N8,3),IF(N8="",P7,IF(ISNA(VLOOKUP(M8,A6:E105,5,FALSE)),IF(ISNA(VLOOKUP(M8,G6:K105,5,FALSE)),IF(ISNA(VLOOKUP(M8,M6:Q7,5,FALSE)),"",ROUND(VLOOKUP(M8,M6:Q7,5,FALSE),0)/1000+ROUND(N8,3)),ROUND(VLOOKUP(M8,G6:K105,5,FALSE),0)/1000+ROUND(N8,3)),ROUND(VLOOKUP(M8,A6:E105,5,FALSE),0)/1000+ROUND(N8,3)))))</f>
        <v/>
      </c>
      <c r="Q8" s="18" t="str">
        <f>IF(OR(NOT(EXACT(UPPER(M8),"TBM")),N8=""),IF(AND(N8&lt;&gt;"",O8="",P8&lt;&gt;""),"",IF(AND(N8="",O8&lt;&gt;"",P8&lt;&gt;""),ROUND(ROUND(P8,3)-ROUND(O8,3),3)*1000,IF(AND(N8&lt;&gt;"",O8&lt;&gt;"",P8&lt;&gt;""),ROUND(ROUND(P7,3)-ROUND(O8,3),3)*1000,""))),"")</f>
        <v/>
      </c>
      <c r="R8" s="44" t="str">
        <f>IF(AND(NOT(ISNA(VLOOKUP(M8,A6:E105,5,FALSE))),N8="",O8&lt;&gt;""),ROUND((VLOOKUP(M8,A6:E105,5,FALSE)-Q8)/1000,3),IF(AND(NOT(ISNA(VLOOKUP(M8,G6:K105,5,FALSE))),N8="",O8&lt;&gt;""),ROUND((VLOOKUP(M8,G6:K105,5,FALSE)-Q8)/1000,3),IF(AND(NOT(ISNA(VLOOKUP(M8,M6:Q7,5,FALSE))),N8="",O8&lt;&gt;""),ROUND((VLOOKUP(M8,M6:Q7,5,FALSE)-Q8)/1000,3),"")))</f>
        <v/>
      </c>
      <c r="S8" s="19">
        <f>IF(S7="","",S7+1)</f>
        <v>302</v>
      </c>
      <c r="T8" s="40"/>
      <c r="U8" s="40"/>
      <c r="V8" s="15" t="str">
        <f>IF(AND(T8&lt;&gt;"",U8&lt;&gt;""),ROUND(T8,3)+ROUND(V7,3)-ROUND(U8,3),IF(AND(EXACT(UPPER(S8),"TBM"),T8&lt;&gt;""),ROUND(T8,3),IF(T8="",V7,IF(ISNA(VLOOKUP(S8,A6:E105,5,FALSE)),IF(ISNA(VLOOKUP(S8,G6:K105,5,FALSE)),IF(ISNA(VLOOKUP(S8,M6:Q105,5,FALSE)),IF(ISNA(VLOOKUP(S8,S6:W7,5,FALSE)),"",ROUND(VLOOKUP(S8,S6:W7,5,FALSE),0)/1000+ROUND(T8,3)),ROUND(VLOOKUP(S8,M6:Q105,5,FALSE),0)/1000+ROUND(T8,3)),ROUND(VLOOKUP(S8,G6:K105,5,FALSE),0)/1000+ROUND(T8,3)),ROUND(VLOOKUP(S8,A6:E105,5,FALSE),0)/1000+ROUND(T8,3)))))</f>
        <v/>
      </c>
      <c r="W8" s="18" t="str">
        <f>IF(OR(NOT(EXACT(UPPER(S8),"TBM")),T8=""),IF(AND(T8&lt;&gt;"",U8="",V8&lt;&gt;""),"",IF(AND(T8="",U8&lt;&gt;"",V8&lt;&gt;""),ROUND(ROUND(V8,3)-ROUND(U8,3),3)*1000,IF(AND(T8&lt;&gt;"",U8&lt;&gt;"",V8&lt;&gt;""),ROUND(ROUND(V7,3)-ROUND(U8,3),3)*1000,""))),"")</f>
        <v/>
      </c>
      <c r="X8" s="44" t="str">
        <f>IF(AND(NOT(ISNA(VLOOKUP(S8,A6:E105,5,FALSE))),T8="",U8&lt;&gt;""),ROUND((VLOOKUP(S8,A6:E105,5,FALSE)-W8)/1000,3),IF(AND(NOT(ISNA(VLOOKUP(S8,G6:K105,5,FALSE))),T8="",U8&lt;&gt;""),ROUND((VLOOKUP(S8,G6:K105,5,FALSE)-W8)/1000,3),IF(AND(NOT(ISNA(VLOOKUP(S8,M6:Q105,5,FALSE))),T8="",U8&lt;&gt;""),ROUND((VLOOKUP(S8,M6:Q105,5,FALSE)-W8)/1000,3),IF(AND(NOT(ISNA(VLOOKUP(S8,S6:W7,5,FALSE))),T8="",U8&lt;&gt;""),ROUND((VLOOKUP(S8,S6:W7,5,FALSE)-W8)/1000,3),""))))</f>
        <v/>
      </c>
      <c r="Y8" s="19">
        <f>IF(Y7="","",Y7+1)</f>
        <v>402</v>
      </c>
      <c r="Z8" s="40"/>
      <c r="AA8" s="40"/>
      <c r="AB8" s="15" t="str">
        <f>IF(AND(Z8&lt;&gt;"",AA8&lt;&gt;""),ROUND(Z8,3)+ROUND(AB7,3)-ROUND(AA8,3),IF(AND(EXACT(UPPER(Y8),"TBM"),Z8&lt;&gt;""),ROUND(Z8,3),IF(Z8="",AB7,IF(ISNA(VLOOKUP(Y8,A6:E105,5,FALSE)),IF(ISNA(VLOOKUP(Y8,G6:K105,5,FALSE)),IF(ISNA(VLOOKUP(Y8,M6:Q105,5,FALSE)),IF(ISNA(VLOOKUP(Y8,S6:W105,5,FALSE)),IF(ISNA(VLOOKUP(Y8,Y6:AC7,5,FALSE)),"",ROUND(VLOOKUP(Y8,Y6:AC7,5,FALSE),0)/1000+ROUND(Z8,3)),ROUND(VLOOKUP(Y8,S6:W105,5,FALSE),0)/1000+ROUND(Z8,3)),ROUND(VLOOKUP(Y8,M6:Q105,5,FALSE),0)/1000+ROUND(Z8,3)),ROUND(VLOOKUP(Y8,G6:K105,5,FALSE),0)/1000+ROUND(Z8,3)),ROUND(VLOOKUP(Y8,A6:E105,5,FALSE),0)/1000+ROUND(Z8,3)))))</f>
        <v/>
      </c>
      <c r="AC8" s="18" t="str">
        <f>IF(OR(NOT(EXACT(UPPER(Y8),"TBM")),Z8=""),IF(AND(Z8&lt;&gt;"",AA8="",AB8&lt;&gt;""),"",IF(AND(Z8="",AA8&lt;&gt;"",AB8&lt;&gt;""),ROUND(ROUND(AB8,3)-ROUND(AA8,3),3)*1000,IF(AND(Z8&lt;&gt;"",AA8&lt;&gt;"",AB8&lt;&gt;""),ROUND(ROUND(AB7,3)-ROUND(AA8,3),3)*1000,""))),"")</f>
        <v/>
      </c>
      <c r="AD8" s="44" t="str">
        <f>IF(AND(NOT(ISNA(VLOOKUP(Y8,A6:E105,5,FALSE))),Z8="",AA8&lt;&gt;""),ROUND((VLOOKUP(Y8,A6:E105,5,FALSE)-AC8)/1000,3),IF(AND(NOT(ISNA(VLOOKUP(Y8,G6:K105,5,FALSE))),Z8="",AA8&lt;&gt;""),ROUND((VLOOKUP(Y8,G6:K105,5,FALSE)-AC8)/1000,3),IF(AND(NOT(ISNA(VLOOKUP(Y8,M6:Q105,5,FALSE))),Z8="",AA8&lt;&gt;""),ROUND((VLOOKUP(Y8,M6:Q105,5,FALSE)-AC8)/1000,3),IF(AND(NOT(ISNA(VLOOKUP(Y8,S6:W105,5,FALSE))),Z8="",AA8&lt;&gt;""),ROUND((VLOOKUP(Y8,S6:W105,5,FALSE)-AC8)/1000,3),IF(AND(NOT(ISNA(VLOOKUP(Y8,Y6:AC7,5,FALSE))),Z8="",AA8&lt;&gt;""),ROUND((VLOOKUP(Y8,Y6:AC7,5,FALSE)-AC8)/1000,3),"")))))</f>
        <v/>
      </c>
      <c r="AE8" s="19">
        <f>IF(AE7="","",AE7+1)</f>
        <v>502</v>
      </c>
      <c r="AF8" s="40"/>
      <c r="AG8" s="40"/>
      <c r="AH8" s="15" t="str">
        <f>IF(AND(AF8&lt;&gt;"",AG8&lt;&gt;""),ROUND(AF8,3)+ROUND(AH7,3)-ROUND(AG8,3),IF(AND(EXACT(UPPER(AE8),"TBM"),AF8&lt;&gt;""),ROUND(AF8,3),IF(AF8="",AH7,IF(ISNA(VLOOKUP(AE8,A6:E105,5,FALSE)),IF(ISNA(VLOOKUP(AE8,G6:K105,5,FALSE)),IF(ISNA(VLOOKUP(AE8,M6:Q105,5,FALSE)),IF(ISNA(VLOOKUP(AE8,S6:W105,5,FALSE)),IF(ISNA(VLOOKUP(AE8,Y6:AC105,5,FALSE)),IF(ISNA(VLOOKUP(AE8,AE6:AI7,5,FALSE)),"",ROUND(VLOOKUP(AE8,AE6:AI7,5,FALSE),0)/1000+ROUND(AF8,3)),ROUND(VLOOKUP(AE8,Y6:AC105,5,FALSE),0)/1000+ROUND(AF8,3)),ROUND(VLOOKUP(AE8,S6:W105,5,FALSE),0)/1000+ROUND(AF8,3)),ROUND(VLOOKUP(AE8,M6:Q105,5,FALSE),0)/1000+ROUND(AF8,3)),ROUND(VLOOKUP(AE8,G6:K105,5,FALSE),0)/1000+ROUND(AF8,3)),ROUND(VLOOKUP(AE8,A6:E105,5,FALSE),0)/1000+ROUND(AF8,3)))))</f>
        <v/>
      </c>
      <c r="AI8" s="18" t="str">
        <f>IF(OR(NOT(EXACT(UPPER(AE8),"TBM")),AF8=""),IF(AND(AF8&lt;&gt;"",AG8="",AH8&lt;&gt;""),"",IF(AND(AF8="",AG8&lt;&gt;"",AH8&lt;&gt;""),ROUND(ROUND(AH8,3)-ROUND(AG8,3),3)*1000,IF(AND(AF8&lt;&gt;"",AG8&lt;&gt;"",AH8&lt;&gt;""),ROUND(ROUND(AH7,3)-ROUND(AG8,3),3)*1000,""))),"")</f>
        <v/>
      </c>
      <c r="AJ8" s="44" t="str">
        <f>IF(AND(NOT(ISNA(VLOOKUP(AE8,A6:E105,5,FALSE))),AF8="",AG8&lt;&gt;""),ROUND((VLOOKUP(AE8,A6:E105,5,FALSE)-AI8)/1000,3),IF(AND(NOT(ISNA(VLOOKUP(AE8,G6:K105,5,FALSE))),AF8="",AG8&lt;&gt;""),ROUND((VLOOKUP(AE8,G6:K105,5,FALSE)-AI8)/1000,3),IF(AND(NOT(ISNA(VLOOKUP(AE8,M6:Q105,5,FALSE))),AF8="",AG8&lt;&gt;""),ROUND((VLOOKUP(AE8,M6:Q105,5,FALSE)-AI8)/1000,3),IF(AND(NOT(ISNA(VLOOKUP(AE8,S6:W105,5,FALSE))),AF8="",AG8&lt;&gt;""),ROUND((VLOOKUP(AE8,S6:W105,5,FALSE)-AI8)/1000,3),IF(AND(NOT(ISNA(VLOOKUP(AE8,Y6:AC105,5,FALSE))),AF8="",AG8&lt;&gt;""),ROUND((VLOOKUP(AE8,Y6:AC105,5,FALSE)-AI8)/1000,3),IF(AND(NOT(ISNA(VLOOKUP(AE8,AE6:AI7,5,FALSE))),AF8="",AG8&lt;&gt;""),ROUND((VLOOKUP(AE8,AE6:AI7,5,FALSE)-AI8)/1000,3),""))))))</f>
        <v/>
      </c>
      <c r="AK8" s="19">
        <f>IF(AK7="","",AK7+1)</f>
        <v>602</v>
      </c>
      <c r="AL8" s="40"/>
      <c r="AM8" s="40"/>
      <c r="AN8" s="15" t="str">
        <f>IF(AND(AL8&lt;&gt;"",AM8&lt;&gt;""),ROUND(AL8,3)+ROUND(AN7,3)-ROUND(AM8,3),IF(AND(EXACT(UPPER(AK8),"TBM"),AL8&lt;&gt;""),ROUND(AL8,3),IF(AL8="",AN7,IF(ISNA(VLOOKUP(AK8,A6:E105,5,FALSE)),IF(ISNA(VLOOKUP(AK8,G6:K105,5,FALSE)),IF(ISNA(VLOOKUP(AK8,M6:Q105,5,FALSE)),IF(ISNA(VLOOKUP(AK8,S6:W105,5,FALSE)),IF(ISNA(VLOOKUP(AK8,Y6:AC105,5,FALSE)),IF(ISNA(VLOOKUP(AK8,AE6:AI105,5,FALSE)),IF(ISNA(VLOOKUP(AK8,AK6:AO7,5,FALSE)),"",ROUND(VLOOKUP(AK8,AK6:AO7,5,FALSE),0)/1000+ROUND(AL8,3)),ROUND(VLOOKUP(AK8,AE6:AI105,5,FALSE),0)/1000+ROUND(AL8,3)),ROUND(VLOOKUP(AK8,Y6:AC105,5,FALSE),0)/1000+ROUND(AL8,3)),ROUND(VLOOKUP(AK8,S6:W105,5,FALSE),0)/1000+ROUND(AL8,3)),ROUND(VLOOKUP(AK8,M6:Q105,5,FALSE),0)/1000+ROUND(AL8,3)),ROUND(VLOOKUP(AK8,G6:K105,5,FALSE),0)/1000+ROUND(AL8,3)),ROUND(VLOOKUP(AK8,A6:E105,5,FALSE),0)/1000+ROUND(AL8,3)))))</f>
        <v/>
      </c>
      <c r="AO8" s="18" t="str">
        <f>IF(OR(NOT(EXACT(UPPER(AK8),"TBM")),AL8=""),IF(AND(AL8&lt;&gt;"",AM8="",AN8&lt;&gt;""),"",IF(AND(AL8="",AM8&lt;&gt;"",AN8&lt;&gt;""),ROUND(ROUND(AN8,3)-ROUND(AM8,3),3)*1000,IF(AND(AL8&lt;&gt;"",AM8&lt;&gt;"",AN8&lt;&gt;""),ROUND(ROUND(AN7,3)-ROUND(AM8,3),3)*1000,""))),"")</f>
        <v/>
      </c>
      <c r="AP8" s="44" t="str">
        <f>IF(AND(NOT(ISNA(VLOOKUP(AK8,A6:E105,5,FALSE))),AL8="",AM8&lt;&gt;""),ROUND((VLOOKUP(AK8,A6:E105,5,FALSE)-AO8)/1000,3),IF(AND(NOT(ISNA(VLOOKUP(AK8,G6:K105,5,FALSE))),AL8="",AM8&lt;&gt;""),ROUND((VLOOKUP(AK8,G6:K105,5,FALSE)-AO8)/1000,3),IF(AND(NOT(ISNA(VLOOKUP(AK8,M6:Q105,5,FALSE))),AL8="",AM8&lt;&gt;""),ROUND((VLOOKUP(AK8,M6:Q105,5,FALSE)-AO8)/1000,3),IF(AND(NOT(ISNA(VLOOKUP(AK8,S6:W105,5,FALSE))),AL8="",AM8&lt;&gt;""),ROUND((VLOOKUP(AK8,S6:W105,5,FALSE)-AO8)/1000,3),IF(AND(NOT(ISNA(VLOOKUP(AK8,Y6:AC105,5,FALSE))),AL8="",AM8&lt;&gt;""),ROUND((VLOOKUP(AK8,Y6:AC105,5,FALSE)-AO8)/1000,3),IF(AND(NOT(ISNA(VLOOKUP(AK8,AE6:AI105,5,FALSE))),AL8="",AM8&lt;&gt;""),ROUND((VLOOKUP(AK8,AE6:AI105,5,FALSE)-AO8)/1000,3),IF(AND(NOT(ISNA(VLOOKUP(AK8,AK6:AO7,5,FALSE))),AL8="",AM8&lt;&gt;""),ROUND((VLOOKUP(AK8,AK6:AO7,5,FALSE)-AO8)/1000,3),"")))))))</f>
        <v/>
      </c>
      <c r="AQ8" s="19">
        <f>IF(AQ7="","",AQ7+1)</f>
        <v>702</v>
      </c>
      <c r="AR8" s="40"/>
      <c r="AS8" s="40"/>
      <c r="AT8" s="15" t="str">
        <f>IF(AND(AR8&lt;&gt;"",AS8&lt;&gt;""),ROUND(AR8,3)+ROUND(AT7,3)-ROUND(AS8,3),IF(AND(EXACT(UPPER(AQ8),"TBM"),AR8&lt;&gt;""),ROUND(AR8,3),IF(AR8="",AT7,IF(ISNA(VLOOKUP(AQ8,A6:E105,5,FALSE)),IF(ISNA(VLOOKUP(AQ8,G6:K105,5,FALSE)),IF(ISNA(VLOOKUP(AQ8,M6:Q105,5,FALSE)),IF(ISNA(VLOOKUP(AQ8,S6:W105,5,FALSE)),IF(ISNA(VLOOKUP(AQ8,Y6:AC105,5,FALSE)),IF(ISNA(VLOOKUP(AQ8,AE6:AI105,5,FALSE)),IF(ISNA(VLOOKUP(AQ8,AK6:AO105,5,FALSE)),IF(ISNA(VLOOKUP(AQ8,AQ6:AU7,5,FALSE)),"",ROUND(VLOOKUP(AQ8,AQ6:AU7,5,FALSE),0)/1000+ROUND(AR8,3)),ROUND(VLOOKUP(AQ8,AK6:AO105,5,FALSE),0)/1000+ROUND(AR8,3)),ROUND(VLOOKUP(AQ8,AE6:AI105,5,FALSE),0)/1000+ROUND(AR8,3)),ROUND(VLOOKUP(AQ8,Y6:AC105,5,FALSE),0)/1000+ROUND(AR8,3)),ROUND(VLOOKUP(AQ8,S6:W105,5,FALSE),0)/1000+ROUND(AR8,3)),ROUND(VLOOKUP(AQ8,M6:Q105,5,FALSE),0)/1000+ROUND(AR8,3)),ROUND(VLOOKUP(AQ8,G6:K105,5,FALSE),0)/1000+ROUND(AR8,3)),ROUND(VLOOKUP(AQ8,A6:E105,5,FALSE),0)/1000+ROUND(AR8,3)))))</f>
        <v/>
      </c>
      <c r="AU8" s="18" t="str">
        <f>IF(OR(NOT(EXACT(UPPER(AQ8),"TBM")),AR8=""),IF(AND(AR8&lt;&gt;"",AS8="",AT8&lt;&gt;""),"",IF(AND(AR8="",AS8&lt;&gt;"",AT8&lt;&gt;""),ROUND(ROUND(AT8,3)-ROUND(AS8,3),3)*1000,IF(AND(AR8&lt;&gt;"",AS8&lt;&gt;"",AT8&lt;&gt;""),ROUND(ROUND(AT7,3)-ROUND(AS8,3),3)*1000,""))),"")</f>
        <v/>
      </c>
      <c r="AV8" s="44" t="str">
        <f>IF(AND(NOT(ISNA(VLOOKUP(AQ8,A6:E105,5,FALSE))),AR8="",AS8&lt;&gt;""),ROUND((VLOOKUP(AQ8,A6:E105,5,FALSE)-AU8)/1000,3),IF(AND(NOT(ISNA(VLOOKUP(AQ8,G6:K105,5,FALSE))),AR8="",AS8&lt;&gt;""),ROUND((VLOOKUP(AQ8,G6:K105,5,FALSE)-AU8)/1000,3),IF(AND(NOT(ISNA(VLOOKUP(AQ8,M6:Q105,5,FALSE))),AR8="",AS8&lt;&gt;""),ROUND((VLOOKUP(AQ8,M6:Q105,5,FALSE)-AU8)/1000,3),IF(AND(NOT(ISNA(VLOOKUP(AQ8,S6:W105,5,FALSE))),AR8="",AS8&lt;&gt;""),ROUND((VLOOKUP(AQ8,S6:W105,5,FALSE)-AU8)/1000,3),IF(AND(NOT(ISNA(VLOOKUP(AQ8,Y6:AC105,5,FALSE))),AR8="",AS8&lt;&gt;""),ROUND((VLOOKUP(AQ8,Y6:AC105,5,FALSE)-AU8)/1000,3),IF(AND(NOT(ISNA(VLOOKUP(AQ8,AE6:AI105,5,FALSE))),AR8="",AS8&lt;&gt;""),ROUND((VLOOKUP(AQ8,AE6:AI105,5,FALSE)-AU8)/1000,3),IF(AND(NOT(ISNA(VLOOKUP(AQ8,AK6:AO105,5,FALSE))),AR8="",AS8&lt;&gt;""),ROUND((VLOOKUP(AQ8,AK6:AO105,5,FALSE)-AU8)/1000,3),IF(AND(NOT(ISNA(VLOOKUP(AQ8,AQ6:AU7,5,FALSE))),AR8="",AS8&lt;&gt;""),ROUND((VLOOKUP(AQ8,AQ6:AU7,5,FALSE)-AU8)/1000,3),""))))))))</f>
        <v/>
      </c>
      <c r="AW8" s="19">
        <f>IF(AW7="","",AW7+1)</f>
        <v>802</v>
      </c>
      <c r="AX8" s="40"/>
      <c r="AY8" s="40"/>
      <c r="AZ8" s="15" t="str">
        <f>IF(AND(AX8&lt;&gt;"",AY8&lt;&gt;""),ROUND(AX8,3)+ROUND(AZ7,3)-ROUND(AY8,3),IF(AND(EXACT(UPPER(AW8),"TBM"),AX8&lt;&gt;""),ROUND(AX8,3),IF(AX8="",AZ7,IF(ISNA(VLOOKUP(AW8,A6:E105,5,FALSE)),IF(ISNA(VLOOKUP(AW8,G6:K105,5,FALSE)),IF(ISNA(VLOOKUP(AW8,M6:Q105,5,FALSE)),IF(ISNA(VLOOKUP(AW8,S6:W105,5,FALSE)),IF(ISNA(VLOOKUP(AW8,Y6:AC105,5,FALSE)),IF(ISNA(VLOOKUP(AW8,AE6:AI105,5,FALSE)),IF(ISNA(VLOOKUP(AW8,AK6:AO105,5,FALSE)),IF(ISNA(VLOOKUP(AW8,AQ6:AU105,5,FALSE)),IF(ISNA(VLOOKUP(AW8,AW6:BA7,5,FALSE)),"",ROUND(VLOOKUP(AW8,AW6:BA7,5,FALSE),0)/1000+ROUND(AX8,3)),ROUND(VLOOKUP(AW8,AQ6:AU105,5,FALSE),0)/1000+ROUND(AX8,3)),ROUND(VLOOKUP(AW8,AK6:AO105,5,FALSE),0)/1000+ROUND(AX8,3)),ROUND(VLOOKUP(AW8,AE6:AI105,5,FALSE),0)/1000+ROUND(AX8,3)),ROUND(VLOOKUP(AW8,Y6:AC105,5,FALSE),0)/1000+ROUND(AX8,3)),ROUND(VLOOKUP(AW8,S6:W105,5,FALSE),0)/1000+ROUND(AX8,3)),ROUND(VLOOKUP(AW8,M6:Q105,5,FALSE),0)/1000+ROUND(AX8,3)),ROUND(VLOOKUP(AW8,G6:K105,5,FALSE),0)/1000+ROUND(AX8,3)),ROUND(VLOOKUP(AW8,A6:E105,5,FALSE),0)/1000+ROUND(AX8,3)))))</f>
        <v/>
      </c>
      <c r="BA8" s="18" t="str">
        <f>IF(OR(NOT(EXACT(UPPER(AW8),"TBM")),AX8=""),IF(AND(AX8&lt;&gt;"",AY8="",AZ8&lt;&gt;""),"",IF(AND(AX8="",AY8&lt;&gt;"",AZ8&lt;&gt;""),ROUND(ROUND(AZ8,3)-ROUND(AY8,3),3)*1000,IF(AND(AX8&lt;&gt;"",AY8&lt;&gt;"",AZ8&lt;&gt;""),ROUND(ROUND(AZ7,3)-ROUND(AY8,3),3)*1000,""))),"")</f>
        <v/>
      </c>
      <c r="BB8" s="44" t="str">
        <f>IF(AND(NOT(ISNA(VLOOKUP(AW8,A6:E105,5,FALSE))),AX8="",AY8&lt;&gt;""),ROUND((VLOOKUP(AW8,A6:E105,5,FALSE)-BA8)/1000,3),IF(AND(NOT(ISNA(VLOOKUP(AW8,G6:K105,5,FALSE))),AX8="",AY8&lt;&gt;""),ROUND((VLOOKUP(AW8,G6:K105,5,FALSE)-BA8)/1000,3),IF(AND(NOT(ISNA(VLOOKUP(AW8,M6:Q105,5,FALSE))),AX8="",AY8&lt;&gt;""),ROUND((VLOOKUP(AW8,M6:Q105,5,FALSE)-BA8)/1000,3),IF(AND(NOT(ISNA(VLOOKUP(AW8,S6:W105,5,FALSE))),AX8="",AY8&lt;&gt;""),ROUND((VLOOKUP(AW8,S6:W105,5,FALSE)-BA8)/1000,3),IF(AND(NOT(ISNA(VLOOKUP(AW8,Y6:AC105,5,FALSE))),AX8="",AY8&lt;&gt;""),ROUND((VLOOKUP(AW8,Y6:AC105,5,FALSE)-BA8)/1000,3),IF(AND(NOT(ISNA(VLOOKUP(AW8,AE6:AI105,5,FALSE))),AX8="",AY8&lt;&gt;""),ROUND((VLOOKUP(AW8,AE6:AI105,5,FALSE)-BA8)/1000,3),IF(AND(NOT(ISNA(VLOOKUP(AW8,AK6:AO105,5,FALSE))),AX8="",AY8&lt;&gt;""),ROUND((VLOOKUP(AW8,AK6:AO105,5,FALSE)-BA8)/1000,3),IF(AND(NOT(ISNA(VLOOKUP(AW8,AQ6:AU105,5,FALSE))),AX8="",AY8&lt;&gt;""),ROUND((VLOOKUP(AW8,AQ6:AU105,5,FALSE)-BA8)/1000,3),IF(AND(NOT(ISNA(VLOOKUP(AW8,AW6:BA7,5,FALSE))),AX8="",AY8&lt;&gt;""),ROUND((VLOOKUP(AW8,AW6:BA7,5,FALSE)-BA8)/1000,3),"")))))))))</f>
        <v/>
      </c>
      <c r="BC8" s="19">
        <f>IF(BC7="","",BC7+1)</f>
        <v>902</v>
      </c>
      <c r="BD8" s="40"/>
      <c r="BE8" s="40"/>
      <c r="BF8" s="15" t="str">
        <f>IF(AND(BD8&lt;&gt;"",BE8&lt;&gt;""),ROUND(BD8,3)+ROUND(BF7,3)-ROUND(BE8,3),IF(AND(EXACT(UPPER(BC8),"TBM"),BD8&lt;&gt;""),ROUND(BD8,3),IF(BD8="",BF7,IF(ISNA(VLOOKUP(BC8,A6:E105,5,FALSE)),IF(ISNA(VLOOKUP(BC8,G6:K105,5,FALSE)),IF(ISNA(VLOOKUP(BC8,M6:Q105,5,FALSE)),IF(ISNA(VLOOKUP(BC8,S6:W105,5,FALSE)),IF(ISNA(VLOOKUP(BC8,Y6:AC105,5,FALSE)),IF(ISNA(VLOOKUP(BC8,AE6:AI105,5,FALSE)),IF(ISNA(VLOOKUP(BC8,AK6:AO105,5,FALSE)),IF(ISNA(VLOOKUP(BC8,AQ6:AU105,5,FALSE)),IF(ISNA(VLOOKUP(BC8,AW6:BA105,5,FALSE)),IF(ISNA(VLOOKUP(BC8,BC6:BG7,5,FALSE)),"",ROUND(VLOOKUP(BC8,BC6:BG7,5,FALSE),0)/1000+ROUND(BD8,3)),ROUND(VLOOKUP(BC8,AW6:BA105,5,FALSE),0)/1000+ROUND(BD8,3)),ROUND(VLOOKUP(BC8,AQ6:AU105,5,FALSE),0)/1000+ROUND(BD8,3)),ROUND(VLOOKUP(BC8,AK6:AO105,5,FALSE),0)/1000+ROUND(BD8,3)),ROUND(VLOOKUP(BC8,AE6:AI105,5,FALSE),0)/1000+ROUND(BD8,3)),ROUND(VLOOKUP(BC8,Y6:AC105,5,FALSE),0)/1000+ROUND(BD8,3)),ROUND(VLOOKUP(BC8,S6:W105,5,FALSE),0)/1000+ROUND(BD8,3)),ROUND(VLOOKUP(BC8,M6:Q105,5,FALSE),0)/1000+ROUND(BD8,3)),ROUND(VLOOKUP(BC8,G6:K105,5,FALSE),0)/1000+ROUND(BD8,3)),ROUND(VLOOKUP(BC8,A6:E105,5,FALSE),0)/1000+ROUND(BD8,3)))))</f>
        <v/>
      </c>
      <c r="BG8" s="18" t="str">
        <f>IF(OR(NOT(EXACT(UPPER(BC8),"TBM")),BD8=""),IF(AND(BD8&lt;&gt;"",BE8="",BF8&lt;&gt;""),"",IF(AND(BD8="",BE8&lt;&gt;"",BF8&lt;&gt;""),ROUND(ROUND(BF8,3)-ROUND(BE8,3),3)*1000,IF(AND(BD8&lt;&gt;"",BE8&lt;&gt;"",BF8&lt;&gt;""),ROUND(ROUND(BF7,3)-ROUND(BE8,3),3)*1000,""))),"")</f>
        <v/>
      </c>
      <c r="BH8" s="44" t="str">
        <f>IF(AND(NOT(ISNA(VLOOKUP(BC8,A6:E105,5,FALSE))),BD8="",BE8&lt;&gt;""),ROUND((VLOOKUP(BC8,A6:E105,5,FALSE)-BG8)/1000,3),IF(AND(NOT(ISNA(VLOOKUP(BC8,G6:K105,5,FALSE))),BD8="",BE8&lt;&gt;""),ROUND((VLOOKUP(BC8,G6:K105,5,FALSE)-BG8)/1000,3),IF(AND(NOT(ISNA(VLOOKUP(BC8,M6:Q105,5,FALSE))),BD8="",BE8&lt;&gt;""),ROUND((VLOOKUP(BC8,M6:Q105,5,FALSE)-BG8)/1000,3),IF(AND(NOT(ISNA(VLOOKUP(BC8,S6:W105,5,FALSE))),BD8="",BE8&lt;&gt;""),ROUND((VLOOKUP(BC8,S6:W105,5,FALSE)-BG8)/1000,3),IF(AND(NOT(ISNA(VLOOKUP(BC8,Y6:AC105,5,FALSE))),BD8="",BE8&lt;&gt;""),ROUND((VLOOKUP(BC8,Y6:AC105,5,FALSE)-BG8)/1000,3),IF(AND(NOT(ISNA(VLOOKUP(BC8,AE6:AI105,5,FALSE))),BD8="",BE8&lt;&gt;""),ROUND((VLOOKUP(BC8,AE6:AI105,5,FALSE)-BG8)/1000,3),IF(AND(NOT(ISNA(VLOOKUP(BC8,AK6:AO105,5,FALSE))),BD8="",BE8&lt;&gt;""),ROUND((VLOOKUP(BC8,AK6:AO105,5,FALSE)-BG8)/1000,3),IF(AND(NOT(ISNA(VLOOKUP(BC8,AQ6:AU105,5,FALSE))),BD8="",BE8&lt;&gt;""),ROUND((VLOOKUP(BC8,AQ6:AU105,5,FALSE)-BG8)/1000,3),IF(AND(NOT(ISNA(VLOOKUP(BC8,AW6:BA105,5,FALSE))),BD8="",BE8&lt;&gt;""),ROUND((VLOOKUP(BC8,AW6:BA105,5,FALSE)-BG8)/1000,3),IF(AND(NOT(ISNA(VLOOKUP(BC8,BC6:BG7,5,FALSE))),BD8="",BE8&lt;&gt;""),ROUND((VLOOKUP(BC8,BC6:BG7,5,FALSE)-BG8)/1000,3),""))))))))))</f>
        <v/>
      </c>
    </row>
    <row r="9" spans="1:60" x14ac:dyDescent="0.25">
      <c r="A9" s="19">
        <f t="shared" ref="A9:A72" si="3">IF(A8="","",A8+1)</f>
        <v>3</v>
      </c>
      <c r="B9" s="39"/>
      <c r="C9" s="39"/>
      <c r="D9" s="15" t="str">
        <f>IF(AND(B9&lt;&gt;"",C9&lt;&gt;""),ROUND(B9,3)+ROUND(D8,3)-ROUND(C9,3),IF(AND(EXACT(UPPER(A9),"TBM"),B9&lt;&gt;""),ROUND(B9,3),IF(B9="",D8,IF(ISNA(VLOOKUP(A9,A6:E8,5,FALSE)),"",ROUND(VLOOKUP(A9,A6:E8,5,FALSE),0)/1000+ROUND(B9,3)))))</f>
        <v/>
      </c>
      <c r="E9" s="22" t="str">
        <f t="shared" si="0"/>
        <v/>
      </c>
      <c r="F9" s="45" t="str">
        <f>IF(AND(NOT(ISNA(VLOOKUP(A9,A6:E8,5,FALSE))),B9="",C9&lt;&gt;""),ROUND((VLOOKUP(A9,A6:E8,5,FALSE)-E9)/1000,3),"")</f>
        <v/>
      </c>
      <c r="G9" s="19">
        <f t="shared" si="1"/>
        <v>103</v>
      </c>
      <c r="H9" s="40"/>
      <c r="I9" s="40"/>
      <c r="J9" s="15" t="str">
        <f>IF(AND(H9&lt;&gt;"",I9&lt;&gt;""),ROUND(H9,3)+ROUND(J8,3)-ROUND(I9,3),IF(AND(EXACT(UPPER(G9),"TBM"),H9&lt;&gt;""),ROUND(H9,3),IF(H9="",J8,IF(ISNA(VLOOKUP(G9,A6:E105,5,FALSE)),IF(ISNA(VLOOKUP(G9,G6:K8,5,FALSE)),"",ROUND(VLOOKUP(G9,G6:K8,5,FALSE),0)/1000+ROUND(H9,3)),ROUND(VLOOKUP(G9,A6:E105,5,FALSE),0)/1000+ROUND(H9,3)))))</f>
        <v/>
      </c>
      <c r="K9" s="18" t="str">
        <f t="shared" si="2"/>
        <v/>
      </c>
      <c r="L9" s="46" t="str">
        <f>IF(AND(NOT(ISNA(VLOOKUP(G9,A6:E105,5,FALSE))),H9="",I9&lt;&gt;""),ROUND((VLOOKUP(G9,A6:E105,5,FALSE)-K9)/1000,3),IF(AND(NOT(ISNA(VLOOKUP(G9,G6:K8,5,FALSE))),H9="",I9&lt;&gt;""),ROUND((VLOOKUP(G9,G6:K8,5,FALSE)-K9)/1000,3),""))</f>
        <v/>
      </c>
      <c r="M9" s="19">
        <f>IF(M8="","",M8+1)</f>
        <v>203</v>
      </c>
      <c r="N9" s="40"/>
      <c r="O9" s="40"/>
      <c r="P9" s="15" t="str">
        <f>IF(AND(N9&lt;&gt;"",O9&lt;&gt;""),ROUND(N9,3)+ROUND(P8,3)-ROUND(O9,3),IF(AND(EXACT(UPPER(M9),"TBM"),N9&lt;&gt;""),ROUND(N9,3),IF(N9="",P8,IF(ISNA(VLOOKUP(M9,A6:E105,5,FALSE)),IF(ISNA(VLOOKUP(M9,G6:K105,5,FALSE)),IF(ISNA(VLOOKUP(M9,M6:Q8,5,FALSE)),"",ROUND(VLOOKUP(M9,M6:Q8,5,FALSE),0)/1000+ROUND(N9,3)),ROUND(VLOOKUP(M9,G6:K105,5,FALSE),0)/1000+ROUND(N9,3)),ROUND(VLOOKUP(M9,A6:E105,5,FALSE),0)/1000+ROUND(N9,3)))))</f>
        <v/>
      </c>
      <c r="Q9" s="18" t="str">
        <f>IF(OR(NOT(EXACT(UPPER(M9),"TBM")),N9=""),IF(AND(N9&lt;&gt;"",O9="",P9&lt;&gt;""),"",IF(AND(N9="",O9&lt;&gt;"",P9&lt;&gt;""),ROUND(ROUND(P9,3)-ROUND(O9,3),3)*1000,IF(AND(N9&lt;&gt;"",O9&lt;&gt;"",P9&lt;&gt;""),ROUND(ROUND(P8,3)-ROUND(O9,3),3)*1000,""))),"")</f>
        <v/>
      </c>
      <c r="R9" s="46" t="str">
        <f>IF(AND(NOT(ISNA(VLOOKUP(M9,A6:E105,5,FALSE))),N9="",O9&lt;&gt;""),ROUND((VLOOKUP(M9,A6:E105,5,FALSE)-Q9)/1000,3),IF(AND(NOT(ISNA(VLOOKUP(M9,G6:K105,5,FALSE))),N9="",O9&lt;&gt;""),ROUND((VLOOKUP(M9,G6:K105,5,FALSE)-Q9)/1000,3),IF(AND(NOT(ISNA(VLOOKUP(M9,M6:Q8,5,FALSE))),N9="",O9&lt;&gt;""),ROUND((VLOOKUP(M9,M6:Q8,5,FALSE)-Q9)/1000,3),"")))</f>
        <v/>
      </c>
      <c r="S9" s="19">
        <f>IF(S8="","",S8+1)</f>
        <v>303</v>
      </c>
      <c r="T9" s="40"/>
      <c r="U9" s="40"/>
      <c r="V9" s="15" t="str">
        <f>IF(AND(T9&lt;&gt;"",U9&lt;&gt;""),ROUND(T9,3)+ROUND(V8,3)-ROUND(U9,3),IF(AND(EXACT(UPPER(S9),"TBM"),T9&lt;&gt;""),ROUND(T9,3),IF(T9="",V8,IF(ISNA(VLOOKUP(S9,A6:E105,5,FALSE)),IF(ISNA(VLOOKUP(S9,G6:K105,5,FALSE)),IF(ISNA(VLOOKUP(S9,M6:Q105,5,FALSE)),IF(ISNA(VLOOKUP(S9,S6:W8,5,FALSE)),"",ROUND(VLOOKUP(S9,S6:W8,5,FALSE),0)/1000+ROUND(T9,3)),ROUND(VLOOKUP(S9,M6:Q105,5,FALSE),0)/1000+ROUND(T9,3)),ROUND(VLOOKUP(S9,G6:K105,5,FALSE),0)/1000+ROUND(T9,3)),ROUND(VLOOKUP(S9,A6:E105,5,FALSE),0)/1000+ROUND(T9,3)))))</f>
        <v/>
      </c>
      <c r="W9" s="18" t="str">
        <f>IF(OR(NOT(EXACT(UPPER(S9),"TBM")),T9=""),IF(AND(T9&lt;&gt;"",U9="",V9&lt;&gt;""),"",IF(AND(T9="",U9&lt;&gt;"",V9&lt;&gt;""),ROUND(ROUND(V9,3)-ROUND(U9,3),3)*1000,IF(AND(T9&lt;&gt;"",U9&lt;&gt;"",V9&lt;&gt;""),ROUND(ROUND(V8,3)-ROUND(U9,3),3)*1000,""))),"")</f>
        <v/>
      </c>
      <c r="X9" s="46" t="str">
        <f>IF(AND(NOT(ISNA(VLOOKUP(S9,A6:E105,5,FALSE))),T9="",U9&lt;&gt;""),ROUND((VLOOKUP(S9,A6:E105,5,FALSE)-W9)/1000,3),IF(AND(NOT(ISNA(VLOOKUP(S9,G6:K105,5,FALSE))),T9="",U9&lt;&gt;""),ROUND((VLOOKUP(S9,G6:K105,5,FALSE)-W9)/1000,3),IF(AND(NOT(ISNA(VLOOKUP(S9,M6:Q105,5,FALSE))),T9="",U9&lt;&gt;""),ROUND((VLOOKUP(S9,M6:Q105,5,FALSE)-W9)/1000,3),IF(AND(NOT(ISNA(VLOOKUP(S9,S6:W8,5,FALSE))),T9="",U9&lt;&gt;""),ROUND((VLOOKUP(S9,S6:W8,5,FALSE)-W9)/1000,3),""))))</f>
        <v/>
      </c>
      <c r="Y9" s="19">
        <f>IF(Y8="","",Y8+1)</f>
        <v>403</v>
      </c>
      <c r="Z9" s="40"/>
      <c r="AA9" s="40"/>
      <c r="AB9" s="15" t="str">
        <f>IF(AND(Z9&lt;&gt;"",AA9&lt;&gt;""),ROUND(Z9,3)+ROUND(AB8,3)-ROUND(AA9,3),IF(AND(EXACT(UPPER(Y9),"TBM"),Z9&lt;&gt;""),ROUND(Z9,3),IF(Z9="",AB8,IF(ISNA(VLOOKUP(Y9,A6:E105,5,FALSE)),IF(ISNA(VLOOKUP(Y9,G6:K105,5,FALSE)),IF(ISNA(VLOOKUP(Y9,M6:Q105,5,FALSE)),IF(ISNA(VLOOKUP(Y9,S6:W105,5,FALSE)),IF(ISNA(VLOOKUP(Y9,Y6:AC8,5,FALSE)),"",ROUND(VLOOKUP(Y9,Y6:AC8,5,FALSE),0)/1000+ROUND(Z9,3)),ROUND(VLOOKUP(Y9,S6:W105,5,FALSE),0)/1000+ROUND(Z9,3)),ROUND(VLOOKUP(Y9,M6:Q105,5,FALSE),0)/1000+ROUND(Z9,3)),ROUND(VLOOKUP(Y9,G6:K105,5,FALSE),0)/1000+ROUND(Z9,3)),ROUND(VLOOKUP(Y9,A6:E105,5,FALSE),0)/1000+ROUND(Z9,3)))))</f>
        <v/>
      </c>
      <c r="AC9" s="18" t="str">
        <f>IF(OR(NOT(EXACT(UPPER(Y9),"TBM")),Z9=""),IF(AND(Z9&lt;&gt;"",AA9="",AB9&lt;&gt;""),"",IF(AND(Z9="",AA9&lt;&gt;"",AB9&lt;&gt;""),ROUND(ROUND(AB9,3)-ROUND(AA9,3),3)*1000,IF(AND(Z9&lt;&gt;"",AA9&lt;&gt;"",AB9&lt;&gt;""),ROUND(ROUND(AB8,3)-ROUND(AA9,3),3)*1000,""))),"")</f>
        <v/>
      </c>
      <c r="AD9" s="46" t="str">
        <f>IF(AND(NOT(ISNA(VLOOKUP(Y9,A6:E105,5,FALSE))),Z9="",AA9&lt;&gt;""),ROUND((VLOOKUP(Y9,A6:E105,5,FALSE)-AC9)/1000,3),IF(AND(NOT(ISNA(VLOOKUP(Y9,G6:K105,5,FALSE))),Z9="",AA9&lt;&gt;""),ROUND((VLOOKUP(Y9,G6:K105,5,FALSE)-AC9)/1000,3),IF(AND(NOT(ISNA(VLOOKUP(Y9,M6:Q105,5,FALSE))),Z9="",AA9&lt;&gt;""),ROUND((VLOOKUP(Y9,M6:Q105,5,FALSE)-AC9)/1000,3),IF(AND(NOT(ISNA(VLOOKUP(Y9,S6:W105,5,FALSE))),Z9="",AA9&lt;&gt;""),ROUND((VLOOKUP(Y9,S6:W105,5,FALSE)-AC9)/1000,3),IF(AND(NOT(ISNA(VLOOKUP(Y9,Y6:AC8,5,FALSE))),Z9="",AA9&lt;&gt;""),ROUND((VLOOKUP(Y9,Y6:AC8,5,FALSE)-AC9)/1000,3),"")))))</f>
        <v/>
      </c>
      <c r="AE9" s="19">
        <f>IF(AE8="","",AE8+1)</f>
        <v>503</v>
      </c>
      <c r="AF9" s="40"/>
      <c r="AG9" s="40"/>
      <c r="AH9" s="15" t="str">
        <f>IF(AND(AF9&lt;&gt;"",AG9&lt;&gt;""),ROUND(AF9,3)+ROUND(AH8,3)-ROUND(AG9,3),IF(AND(EXACT(UPPER(AE9),"TBM"),AF9&lt;&gt;""),ROUND(AF9,3),IF(AF9="",AH8,IF(ISNA(VLOOKUP(AE9,A6:E105,5,FALSE)),IF(ISNA(VLOOKUP(AE9,G6:K105,5,FALSE)),IF(ISNA(VLOOKUP(AE9,M6:Q105,5,FALSE)),IF(ISNA(VLOOKUP(AE9,S6:W105,5,FALSE)),IF(ISNA(VLOOKUP(AE9,Y6:AC105,5,FALSE)),IF(ISNA(VLOOKUP(AE9,AE6:AI8,5,FALSE)),"",ROUND(VLOOKUP(AE9,AE6:AI8,5,FALSE),0)/1000+ROUND(AF9,3)),ROUND(VLOOKUP(AE9,Y6:AC105,5,FALSE),0)/1000+ROUND(AF9,3)),ROUND(VLOOKUP(AE9,S6:W105,5,FALSE),0)/1000+ROUND(AF9,3)),ROUND(VLOOKUP(AE9,M6:Q105,5,FALSE),0)/1000+ROUND(AF9,3)),ROUND(VLOOKUP(AE9,G6:K105,5,FALSE),0)/1000+ROUND(AF9,3)),ROUND(VLOOKUP(AE9,A6:E105,5,FALSE),0)/1000+ROUND(AF9,3)))))</f>
        <v/>
      </c>
      <c r="AI9" s="18" t="str">
        <f>IF(OR(NOT(EXACT(UPPER(AE9),"TBM")),AF9=""),IF(AND(AF9&lt;&gt;"",AG9="",AH9&lt;&gt;""),"",IF(AND(AF9="",AG9&lt;&gt;"",AH9&lt;&gt;""),ROUND(ROUND(AH9,3)-ROUND(AG9,3),3)*1000,IF(AND(AF9&lt;&gt;"",AG9&lt;&gt;"",AH9&lt;&gt;""),ROUND(ROUND(AH8,3)-ROUND(AG9,3),3)*1000,""))),"")</f>
        <v/>
      </c>
      <c r="AJ9" s="46" t="str">
        <f>IF(AND(NOT(ISNA(VLOOKUP(AE9,A6:E105,5,FALSE))),AF9="",AG9&lt;&gt;""),ROUND((VLOOKUP(AE9,A6:E105,5,FALSE)-AI9)/1000,3),IF(AND(NOT(ISNA(VLOOKUP(AE9,G6:K105,5,FALSE))),AF9="",AG9&lt;&gt;""),ROUND((VLOOKUP(AE9,G6:K105,5,FALSE)-AI9)/1000,3),IF(AND(NOT(ISNA(VLOOKUP(AE9,M6:Q105,5,FALSE))),AF9="",AG9&lt;&gt;""),ROUND((VLOOKUP(AE9,M6:Q105,5,FALSE)-AI9)/1000,3),IF(AND(NOT(ISNA(VLOOKUP(AE9,S6:W105,5,FALSE))),AF9="",AG9&lt;&gt;""),ROUND((VLOOKUP(AE9,S6:W105,5,FALSE)-AI9)/1000,3),IF(AND(NOT(ISNA(VLOOKUP(AE9,Y6:AC105,5,FALSE))),AF9="",AG9&lt;&gt;""),ROUND((VLOOKUP(AE9,Y6:AC105,5,FALSE)-AI9)/1000,3),IF(AND(NOT(ISNA(VLOOKUP(AE9,AE6:AI8,5,FALSE))),AF9="",AG9&lt;&gt;""),ROUND((VLOOKUP(AE9,AE6:AI8,5,FALSE)-AI9)/1000,3),""))))))</f>
        <v/>
      </c>
      <c r="AK9" s="19">
        <f>IF(AK8="","",AK8+1)</f>
        <v>603</v>
      </c>
      <c r="AL9" s="40"/>
      <c r="AM9" s="40"/>
      <c r="AN9" s="15" t="str">
        <f>IF(AND(AL9&lt;&gt;"",AM9&lt;&gt;""),ROUND(AL9,3)+ROUND(AN8,3)-ROUND(AM9,3),IF(AND(EXACT(UPPER(AK9),"TBM"),AL9&lt;&gt;""),ROUND(AL9,3),IF(AL9="",AN8,IF(ISNA(VLOOKUP(AK9,A6:E105,5,FALSE)),IF(ISNA(VLOOKUP(AK9,G6:K105,5,FALSE)),IF(ISNA(VLOOKUP(AK9,M6:Q105,5,FALSE)),IF(ISNA(VLOOKUP(AK9,S6:W105,5,FALSE)),IF(ISNA(VLOOKUP(AK9,Y6:AC105,5,FALSE)),IF(ISNA(VLOOKUP(AK9,AE6:AI105,5,FALSE)),IF(ISNA(VLOOKUP(AK9,AK6:AO8,5,FALSE)),"",ROUND(VLOOKUP(AK9,AK6:AO8,5,FALSE),0)/1000+ROUND(AL9,3)),ROUND(VLOOKUP(AK9,AE6:AI105,5,FALSE),0)/1000+ROUND(AL9,3)),ROUND(VLOOKUP(AK9,Y6:AC105,5,FALSE),0)/1000+ROUND(AL9,3)),ROUND(VLOOKUP(AK9,S6:W105,5,FALSE),0)/1000+ROUND(AL9,3)),ROUND(VLOOKUP(AK9,M6:Q105,5,FALSE),0)/1000+ROUND(AL9,3)),ROUND(VLOOKUP(AK9,G6:K105,5,FALSE),0)/1000+ROUND(AL9,3)),ROUND(VLOOKUP(AK9,A6:E105,5,FALSE),0)/1000+ROUND(AL9,3)))))</f>
        <v/>
      </c>
      <c r="AO9" s="18" t="str">
        <f>IF(OR(NOT(EXACT(UPPER(AK9),"TBM")),AL9=""),IF(AND(AL9&lt;&gt;"",AM9="",AN9&lt;&gt;""),"",IF(AND(AL9="",AM9&lt;&gt;"",AN9&lt;&gt;""),ROUND(ROUND(AN9,3)-ROUND(AM9,3),3)*1000,IF(AND(AL9&lt;&gt;"",AM9&lt;&gt;"",AN9&lt;&gt;""),ROUND(ROUND(AN8,3)-ROUND(AM9,3),3)*1000,""))),"")</f>
        <v/>
      </c>
      <c r="AP9" s="46" t="str">
        <f>IF(AND(NOT(ISNA(VLOOKUP(AK9,A6:E105,5,FALSE))),AL9="",AM9&lt;&gt;""),ROUND((VLOOKUP(AK9,A6:E105,5,FALSE)-AO9)/1000,3),IF(AND(NOT(ISNA(VLOOKUP(AK9,G6:K105,5,FALSE))),AL9="",AM9&lt;&gt;""),ROUND((VLOOKUP(AK9,G6:K105,5,FALSE)-AO9)/1000,3),IF(AND(NOT(ISNA(VLOOKUP(AK9,M6:Q105,5,FALSE))),AL9="",AM9&lt;&gt;""),ROUND((VLOOKUP(AK9,M6:Q105,5,FALSE)-AO9)/1000,3),IF(AND(NOT(ISNA(VLOOKUP(AK9,S6:W105,5,FALSE))),AL9="",AM9&lt;&gt;""),ROUND((VLOOKUP(AK9,S6:W105,5,FALSE)-AO9)/1000,3),IF(AND(NOT(ISNA(VLOOKUP(AK9,Y6:AC105,5,FALSE))),AL9="",AM9&lt;&gt;""),ROUND((VLOOKUP(AK9,Y6:AC105,5,FALSE)-AO9)/1000,3),IF(AND(NOT(ISNA(VLOOKUP(AK9,AE6:AI105,5,FALSE))),AL9="",AM9&lt;&gt;""),ROUND((VLOOKUP(AK9,AE6:AI105,5,FALSE)-AO9)/1000,3),IF(AND(NOT(ISNA(VLOOKUP(AK9,AK6:AO8,5,FALSE))),AL9="",AM9&lt;&gt;""),ROUND((VLOOKUP(AK9,AK6:AO8,5,FALSE)-AO9)/1000,3),"")))))))</f>
        <v/>
      </c>
      <c r="AQ9" s="19">
        <f>IF(AQ8="","",AQ8+1)</f>
        <v>703</v>
      </c>
      <c r="AR9" s="40"/>
      <c r="AS9" s="40"/>
      <c r="AT9" s="15" t="str">
        <f>IF(AND(AR9&lt;&gt;"",AS9&lt;&gt;""),ROUND(AR9,3)+ROUND(AT8,3)-ROUND(AS9,3),IF(AND(EXACT(UPPER(AQ9),"TBM"),AR9&lt;&gt;""),ROUND(AR9,3),IF(AR9="",AT8,IF(ISNA(VLOOKUP(AQ9,A6:E105,5,FALSE)),IF(ISNA(VLOOKUP(AQ9,G6:K105,5,FALSE)),IF(ISNA(VLOOKUP(AQ9,M6:Q105,5,FALSE)),IF(ISNA(VLOOKUP(AQ9,S6:W105,5,FALSE)),IF(ISNA(VLOOKUP(AQ9,Y6:AC105,5,FALSE)),IF(ISNA(VLOOKUP(AQ9,AE6:AI105,5,FALSE)),IF(ISNA(VLOOKUP(AQ9,AK6:AO105,5,FALSE)),IF(ISNA(VLOOKUP(AQ9,AQ6:AU8,5,FALSE)),"",ROUND(VLOOKUP(AQ9,AQ6:AU8,5,FALSE),0)/1000+ROUND(AR9,3)),ROUND(VLOOKUP(AQ9,AK6:AO105,5,FALSE),0)/1000+ROUND(AR9,3)),ROUND(VLOOKUP(AQ9,AE6:AI105,5,FALSE),0)/1000+ROUND(AR9,3)),ROUND(VLOOKUP(AQ9,Y6:AC105,5,FALSE),0)/1000+ROUND(AR9,3)),ROUND(VLOOKUP(AQ9,S6:W105,5,FALSE),0)/1000+ROUND(AR9,3)),ROUND(VLOOKUP(AQ9,M6:Q105,5,FALSE),0)/1000+ROUND(AR9,3)),ROUND(VLOOKUP(AQ9,G6:K105,5,FALSE),0)/1000+ROUND(AR9,3)),ROUND(VLOOKUP(AQ9,A6:E105,5,FALSE),0)/1000+ROUND(AR9,3)))))</f>
        <v/>
      </c>
      <c r="AU9" s="18" t="str">
        <f>IF(OR(NOT(EXACT(UPPER(AQ9),"TBM")),AR9=""),IF(AND(AR9&lt;&gt;"",AS9="",AT9&lt;&gt;""),"",IF(AND(AR9="",AS9&lt;&gt;"",AT9&lt;&gt;""),ROUND(ROUND(AT9,3)-ROUND(AS9,3),3)*1000,IF(AND(AR9&lt;&gt;"",AS9&lt;&gt;"",AT9&lt;&gt;""),ROUND(ROUND(AT8,3)-ROUND(AS9,3),3)*1000,""))),"")</f>
        <v/>
      </c>
      <c r="AV9" s="46" t="str">
        <f>IF(AND(NOT(ISNA(VLOOKUP(AQ9,A6:E105,5,FALSE))),AR9="",AS9&lt;&gt;""),ROUND((VLOOKUP(AQ9,A6:E105,5,FALSE)-AU9)/1000,3),IF(AND(NOT(ISNA(VLOOKUP(AQ9,G6:K105,5,FALSE))),AR9="",AS9&lt;&gt;""),ROUND((VLOOKUP(AQ9,G6:K105,5,FALSE)-AU9)/1000,3),IF(AND(NOT(ISNA(VLOOKUP(AQ9,M6:Q105,5,FALSE))),AR9="",AS9&lt;&gt;""),ROUND((VLOOKUP(AQ9,M6:Q105,5,FALSE)-AU9)/1000,3),IF(AND(NOT(ISNA(VLOOKUP(AQ9,S6:W105,5,FALSE))),AR9="",AS9&lt;&gt;""),ROUND((VLOOKUP(AQ9,S6:W105,5,FALSE)-AU9)/1000,3),IF(AND(NOT(ISNA(VLOOKUP(AQ9,Y6:AC105,5,FALSE))),AR9="",AS9&lt;&gt;""),ROUND((VLOOKUP(AQ9,Y6:AC105,5,FALSE)-AU9)/1000,3),IF(AND(NOT(ISNA(VLOOKUP(AQ9,AE6:AI105,5,FALSE))),AR9="",AS9&lt;&gt;""),ROUND((VLOOKUP(AQ9,AE6:AI105,5,FALSE)-AU9)/1000,3),IF(AND(NOT(ISNA(VLOOKUP(AQ9,AK6:AO105,5,FALSE))),AR9="",AS9&lt;&gt;""),ROUND((VLOOKUP(AQ9,AK6:AO105,5,FALSE)-AU9)/1000,3),IF(AND(NOT(ISNA(VLOOKUP(AQ9,AQ6:AU8,5,FALSE))),AR9="",AS9&lt;&gt;""),ROUND((VLOOKUP(AQ9,AQ6:AU8,5,FALSE)-AU9)/1000,3),""))))))))</f>
        <v/>
      </c>
      <c r="AW9" s="19">
        <f>IF(AW8="","",AW8+1)</f>
        <v>803</v>
      </c>
      <c r="AX9" s="40"/>
      <c r="AY9" s="40"/>
      <c r="AZ9" s="15" t="str">
        <f>IF(AND(AX9&lt;&gt;"",AY9&lt;&gt;""),ROUND(AX9,3)+ROUND(AZ8,3)-ROUND(AY9,3),IF(AND(EXACT(UPPER(AW9),"TBM"),AX9&lt;&gt;""),ROUND(AX9,3),IF(AX9="",AZ8,IF(ISNA(VLOOKUP(AW9,A6:E105,5,FALSE)),IF(ISNA(VLOOKUP(AW9,G6:K105,5,FALSE)),IF(ISNA(VLOOKUP(AW9,M6:Q105,5,FALSE)),IF(ISNA(VLOOKUP(AW9,S6:W105,5,FALSE)),IF(ISNA(VLOOKUP(AW9,Y6:AC105,5,FALSE)),IF(ISNA(VLOOKUP(AW9,AE6:AI105,5,FALSE)),IF(ISNA(VLOOKUP(AW9,AK6:AO105,5,FALSE)),IF(ISNA(VLOOKUP(AW9,AQ6:AU105,5,FALSE)),IF(ISNA(VLOOKUP(AW9,AW6:BA8,5,FALSE)),"",ROUND(VLOOKUP(AW9,AW6:BA8,5,FALSE),0)/1000+ROUND(AX9,3)),ROUND(VLOOKUP(AW9,AQ6:AU105,5,FALSE),0)/1000+ROUND(AX9,3)),ROUND(VLOOKUP(AW9,AK6:AO105,5,FALSE),0)/1000+ROUND(AX9,3)),ROUND(VLOOKUP(AW9,AE6:AI105,5,FALSE),0)/1000+ROUND(AX9,3)),ROUND(VLOOKUP(AW9,Y6:AC105,5,FALSE),0)/1000+ROUND(AX9,3)),ROUND(VLOOKUP(AW9,S6:W105,5,FALSE),0)/1000+ROUND(AX9,3)),ROUND(VLOOKUP(AW9,M6:Q105,5,FALSE),0)/1000+ROUND(AX9,3)),ROUND(VLOOKUP(AW9,G6:K105,5,FALSE),0)/1000+ROUND(AX9,3)),ROUND(VLOOKUP(AW9,A6:E105,5,FALSE),0)/1000+ROUND(AX9,3)))))</f>
        <v/>
      </c>
      <c r="BA9" s="18" t="str">
        <f>IF(OR(NOT(EXACT(UPPER(AW9),"TBM")),AX9=""),IF(AND(AX9&lt;&gt;"",AY9="",AZ9&lt;&gt;""),"",IF(AND(AX9="",AY9&lt;&gt;"",AZ9&lt;&gt;""),ROUND(ROUND(AZ9,3)-ROUND(AY9,3),3)*1000,IF(AND(AX9&lt;&gt;"",AY9&lt;&gt;"",AZ9&lt;&gt;""),ROUND(ROUND(AZ8,3)-ROUND(AY9,3),3)*1000,""))),"")</f>
        <v/>
      </c>
      <c r="BB9" s="46" t="str">
        <f>IF(AND(NOT(ISNA(VLOOKUP(AW9,A6:E105,5,FALSE))),AX9="",AY9&lt;&gt;""),ROUND((VLOOKUP(AW9,A6:E105,5,FALSE)-BA9)/1000,3),IF(AND(NOT(ISNA(VLOOKUP(AW9,G6:K105,5,FALSE))),AX9="",AY9&lt;&gt;""),ROUND((VLOOKUP(AW9,G6:K105,5,FALSE)-BA9)/1000,3),IF(AND(NOT(ISNA(VLOOKUP(AW9,M6:Q105,5,FALSE))),AX9="",AY9&lt;&gt;""),ROUND((VLOOKUP(AW9,M6:Q105,5,FALSE)-BA9)/1000,3),IF(AND(NOT(ISNA(VLOOKUP(AW9,S6:W105,5,FALSE))),AX9="",AY9&lt;&gt;""),ROUND((VLOOKUP(AW9,S6:W105,5,FALSE)-BA9)/1000,3),IF(AND(NOT(ISNA(VLOOKUP(AW9,Y6:AC105,5,FALSE))),AX9="",AY9&lt;&gt;""),ROUND((VLOOKUP(AW9,Y6:AC105,5,FALSE)-BA9)/1000,3),IF(AND(NOT(ISNA(VLOOKUP(AW9,AE6:AI105,5,FALSE))),AX9="",AY9&lt;&gt;""),ROUND((VLOOKUP(AW9,AE6:AI105,5,FALSE)-BA9)/1000,3),IF(AND(NOT(ISNA(VLOOKUP(AW9,AK6:AO105,5,FALSE))),AX9="",AY9&lt;&gt;""),ROUND((VLOOKUP(AW9,AK6:AO105,5,FALSE)-BA9)/1000,3),IF(AND(NOT(ISNA(VLOOKUP(AW9,AQ6:AU105,5,FALSE))),AX9="",AY9&lt;&gt;""),ROUND((VLOOKUP(AW9,AQ6:AU105,5,FALSE)-BA9)/1000,3),IF(AND(NOT(ISNA(VLOOKUP(AW9,AW6:BA8,5,FALSE))),AX9="",AY9&lt;&gt;""),ROUND((VLOOKUP(AW9,AW6:BA8,5,FALSE)-BA9)/1000,3),"")))))))))</f>
        <v/>
      </c>
      <c r="BC9" s="19">
        <f>IF(BC8="","",BC8+1)</f>
        <v>903</v>
      </c>
      <c r="BD9" s="40"/>
      <c r="BE9" s="40"/>
      <c r="BF9" s="15" t="str">
        <f>IF(AND(BD9&lt;&gt;"",BE9&lt;&gt;""),ROUND(BD9,3)+ROUND(BF8,3)-ROUND(BE9,3),IF(AND(EXACT(UPPER(BC9),"TBM"),BD9&lt;&gt;""),ROUND(BD9,3),IF(BD9="",BF8,IF(ISNA(VLOOKUP(BC9,A6:E105,5,FALSE)),IF(ISNA(VLOOKUP(BC9,G6:K105,5,FALSE)),IF(ISNA(VLOOKUP(BC9,M6:Q105,5,FALSE)),IF(ISNA(VLOOKUP(BC9,S6:W105,5,FALSE)),IF(ISNA(VLOOKUP(BC9,Y6:AC105,5,FALSE)),IF(ISNA(VLOOKUP(BC9,AE6:AI105,5,FALSE)),IF(ISNA(VLOOKUP(BC9,AK6:AO105,5,FALSE)),IF(ISNA(VLOOKUP(BC9,AQ6:AU105,5,FALSE)),IF(ISNA(VLOOKUP(BC9,AW6:BA105,5,FALSE)),IF(ISNA(VLOOKUP(BC9,BC6:BG8,5,FALSE)),"",ROUND(VLOOKUP(BC9,BC6:BG8,5,FALSE),0)/1000+ROUND(BD9,3)),ROUND(VLOOKUP(BC9,AW6:BA105,5,FALSE),0)/1000+ROUND(BD9,3)),ROUND(VLOOKUP(BC9,AQ6:AU105,5,FALSE),0)/1000+ROUND(BD9,3)),ROUND(VLOOKUP(BC9,AK6:AO105,5,FALSE),0)/1000+ROUND(BD9,3)),ROUND(VLOOKUP(BC9,AE6:AI105,5,FALSE),0)/1000+ROUND(BD9,3)),ROUND(VLOOKUP(BC9,Y6:AC105,5,FALSE),0)/1000+ROUND(BD9,3)),ROUND(VLOOKUP(BC9,S6:W105,5,FALSE),0)/1000+ROUND(BD9,3)),ROUND(VLOOKUP(BC9,M6:Q105,5,FALSE),0)/1000+ROUND(BD9,3)),ROUND(VLOOKUP(BC9,G6:K105,5,FALSE),0)/1000+ROUND(BD9,3)),ROUND(VLOOKUP(BC9,A6:E105,5,FALSE),0)/1000+ROUND(BD9,3)))))</f>
        <v/>
      </c>
      <c r="BG9" s="18" t="str">
        <f>IF(OR(NOT(EXACT(UPPER(BC9),"TBM")),BD9=""),IF(AND(BD9&lt;&gt;"",BE9="",BF9&lt;&gt;""),"",IF(AND(BD9="",BE9&lt;&gt;"",BF9&lt;&gt;""),ROUND(ROUND(BF9,3)-ROUND(BE9,3),3)*1000,IF(AND(BD9&lt;&gt;"",BE9&lt;&gt;"",BF9&lt;&gt;""),ROUND(ROUND(BF8,3)-ROUND(BE9,3),3)*1000,""))),"")</f>
        <v/>
      </c>
      <c r="BH9" s="46" t="str">
        <f>IF(AND(NOT(ISNA(VLOOKUP(BC9,A6:E105,5,FALSE))),BD9="",BE9&lt;&gt;""),ROUND((VLOOKUP(BC9,A6:E105,5,FALSE)-BG9)/1000,3),IF(AND(NOT(ISNA(VLOOKUP(BC9,G6:K105,5,FALSE))),BD9="",BE9&lt;&gt;""),ROUND((VLOOKUP(BC9,G6:K105,5,FALSE)-BG9)/1000,3),IF(AND(NOT(ISNA(VLOOKUP(BC9,M6:Q105,5,FALSE))),BD9="",BE9&lt;&gt;""),ROUND((VLOOKUP(BC9,M6:Q105,5,FALSE)-BG9)/1000,3),IF(AND(NOT(ISNA(VLOOKUP(BC9,S6:W105,5,FALSE))),BD9="",BE9&lt;&gt;""),ROUND((VLOOKUP(BC9,S6:W105,5,FALSE)-BG9)/1000,3),IF(AND(NOT(ISNA(VLOOKUP(BC9,Y6:AC105,5,FALSE))),BD9="",BE9&lt;&gt;""),ROUND((VLOOKUP(BC9,Y6:AC105,5,FALSE)-BG9)/1000,3),IF(AND(NOT(ISNA(VLOOKUP(BC9,AE6:AI105,5,FALSE))),BD9="",BE9&lt;&gt;""),ROUND((VLOOKUP(BC9,AE6:AI105,5,FALSE)-BG9)/1000,3),IF(AND(NOT(ISNA(VLOOKUP(BC9,AK6:AO105,5,FALSE))),BD9="",BE9&lt;&gt;""),ROUND((VLOOKUP(BC9,AK6:AO105,5,FALSE)-BG9)/1000,3),IF(AND(NOT(ISNA(VLOOKUP(BC9,AQ6:AU105,5,FALSE))),BD9="",BE9&lt;&gt;""),ROUND((VLOOKUP(BC9,AQ6:AU105,5,FALSE)-BG9)/1000,3),IF(AND(NOT(ISNA(VLOOKUP(BC9,AW6:BA105,5,FALSE))),BD9="",BE9&lt;&gt;""),ROUND((VLOOKUP(BC9,AW6:BA105,5,FALSE)-BG9)/1000,3),IF(AND(NOT(ISNA(VLOOKUP(BC9,BC6:BG8,5,FALSE))),BD9="",BE9&lt;&gt;""),ROUND((VLOOKUP(BC9,BC6:BG8,5,FALSE)-BG9)/1000,3),""))))))))))</f>
        <v/>
      </c>
    </row>
    <row r="10" spans="1:60" x14ac:dyDescent="0.25">
      <c r="A10" s="67">
        <f t="shared" si="3"/>
        <v>4</v>
      </c>
      <c r="B10" s="40"/>
      <c r="C10" s="40"/>
      <c r="D10" s="62" t="str">
        <f>IF(AND(B10&lt;&gt;"",C10&lt;&gt;""),ROUND(B10,3)+ROUND(D9,3)-ROUND(C10,3),IF(AND(EXACT(UPPER(A10),"TBM"),B10&lt;&gt;""),ROUND(B10,3),IF(B10="",D9,IF(ISNA(VLOOKUP(A10,A6:E9,5,FALSE)),"",ROUND(VLOOKUP(A10,A6:E9,5,FALSE),0)/1000+ROUND(B10,3)))))</f>
        <v/>
      </c>
      <c r="E10" s="20" t="str">
        <f t="shared" si="0"/>
        <v/>
      </c>
      <c r="F10" s="46" t="str">
        <f>IF(AND(NOT(ISNA(VLOOKUP(A10,A6:E9,5,FALSE))),B10="",C10&lt;&gt;""),ROUND((VLOOKUP(A10,A6:E9,5,FALSE)-E10)/1000,3),"")</f>
        <v/>
      </c>
      <c r="G10" s="67">
        <f t="shared" si="1"/>
        <v>104</v>
      </c>
      <c r="H10" s="40"/>
      <c r="I10" s="40"/>
      <c r="J10" s="62" t="str">
        <f>IF(AND(H10&lt;&gt;"",I10&lt;&gt;""),ROUND(H10,3)+ROUND(J9,3)-ROUND(I10,3),IF(AND(EXACT(UPPER(G10),"TBM"),H10&lt;&gt;""),ROUND(H10,3),IF(H10="",J9,IF(ISNA(VLOOKUP(G10,A6:E105,5,FALSE)),IF(ISNA(VLOOKUP(G10,G6:K9,5,FALSE)),"",ROUND(VLOOKUP(G10,G6:K9,5,FALSE),0)/1000+ROUND(H10,3)),ROUND(VLOOKUP(G10,A6:E105,5,FALSE),0)/1000+ROUND(H10,3)))))</f>
        <v/>
      </c>
      <c r="K10" s="20" t="str">
        <f t="shared" si="2"/>
        <v/>
      </c>
      <c r="L10" s="46" t="str">
        <f>IF(AND(NOT(ISNA(VLOOKUP(G10,A6:E105,5,FALSE))),H10="",I10&lt;&gt;""),ROUND((VLOOKUP(G10,A6:E105,5,FALSE)-K10)/1000,3),IF(AND(NOT(ISNA(VLOOKUP(G10,G6:K9,5,FALSE))),H10="",I10&lt;&gt;""),ROUND((VLOOKUP(G10,G6:K9,5,FALSE)-K10)/1000,3),""))</f>
        <v/>
      </c>
      <c r="M10" s="67">
        <f>IF(M9="","",M9+1)</f>
        <v>204</v>
      </c>
      <c r="N10" s="40"/>
      <c r="O10" s="40"/>
      <c r="P10" s="62" t="str">
        <f>IF(AND(N10&lt;&gt;"",O10&lt;&gt;""),ROUND(N10,3)+ROUND(P9,3)-ROUND(O10,3),IF(AND(EXACT(UPPER(M10),"TBM"),N10&lt;&gt;""),ROUND(N10,3),IF(N10="",P9,IF(ISNA(VLOOKUP(M10,A6:E105,5,FALSE)),IF(ISNA(VLOOKUP(M10,G6:K105,5,FALSE)),IF(ISNA(VLOOKUP(M10,M6:Q9,5,FALSE)),"",ROUND(VLOOKUP(M10,M6:Q9,5,FALSE),0)/1000+ROUND(N10,3)),ROUND(VLOOKUP(M10,G6:K105,5,FALSE),0)/1000+ROUND(N10,3)),ROUND(VLOOKUP(M10,A6:E105,5,FALSE),0)/1000+ROUND(N10,3)))))</f>
        <v/>
      </c>
      <c r="Q10" s="20" t="str">
        <f>IF(OR(NOT(EXACT(UPPER(M10),"TBM")),N10=""),IF(AND(N10&lt;&gt;"",O10="",P10&lt;&gt;""),"",IF(AND(N10="",O10&lt;&gt;"",P10&lt;&gt;""),ROUND(ROUND(P10,3)-ROUND(O10,3),3)*1000,IF(AND(N10&lt;&gt;"",O10&lt;&gt;"",P10&lt;&gt;""),ROUND(ROUND(P9,3)-ROUND(O10,3),3)*1000,""))),"")</f>
        <v/>
      </c>
      <c r="R10" s="46" t="str">
        <f>IF(AND(NOT(ISNA(VLOOKUP(M10,A6:E105,5,FALSE))),N10="",O10&lt;&gt;""),ROUND((VLOOKUP(M10,A6:E105,5,FALSE)-Q10)/1000,3),IF(AND(NOT(ISNA(VLOOKUP(M10,G6:K105,5,FALSE))),N10="",O10&lt;&gt;""),ROUND((VLOOKUP(M10,G6:K105,5,FALSE)-Q10)/1000,3),IF(AND(NOT(ISNA(VLOOKUP(M10,M6:Q9,5,FALSE))),N10="",O10&lt;&gt;""),ROUND((VLOOKUP(M10,M6:Q9,5,FALSE)-Q10)/1000,3),"")))</f>
        <v/>
      </c>
      <c r="S10" s="67">
        <f>IF(S9="","",S9+1)</f>
        <v>304</v>
      </c>
      <c r="T10" s="40"/>
      <c r="U10" s="40"/>
      <c r="V10" s="62" t="str">
        <f>IF(AND(T10&lt;&gt;"",U10&lt;&gt;""),ROUND(T10,3)+ROUND(V9,3)-ROUND(U10,3),IF(AND(EXACT(UPPER(S10),"TBM"),T10&lt;&gt;""),ROUND(T10,3),IF(T10="",V9,IF(ISNA(VLOOKUP(S10,A6:E105,5,FALSE)),IF(ISNA(VLOOKUP(S10,G6:K105,5,FALSE)),IF(ISNA(VLOOKUP(S10,M6:Q105,5,FALSE)),IF(ISNA(VLOOKUP(S10,S6:W9,5,FALSE)),"",ROUND(VLOOKUP(S10,S6:W9,5,FALSE),0)/1000+ROUND(T10,3)),ROUND(VLOOKUP(S10,M6:Q105,5,FALSE),0)/1000+ROUND(T10,3)),ROUND(VLOOKUP(S10,G6:K105,5,FALSE),0)/1000+ROUND(T10,3)),ROUND(VLOOKUP(S10,A6:E105,5,FALSE),0)/1000+ROUND(T10,3)))))</f>
        <v/>
      </c>
      <c r="W10" s="20" t="str">
        <f>IF(OR(NOT(EXACT(UPPER(S10),"TBM")),T10=""),IF(AND(T10&lt;&gt;"",U10="",V10&lt;&gt;""),"",IF(AND(T10="",U10&lt;&gt;"",V10&lt;&gt;""),ROUND(ROUND(V10,3)-ROUND(U10,3),3)*1000,IF(AND(T10&lt;&gt;"",U10&lt;&gt;"",V10&lt;&gt;""),ROUND(ROUND(V9,3)-ROUND(U10,3),3)*1000,""))),"")</f>
        <v/>
      </c>
      <c r="X10" s="46" t="str">
        <f>IF(AND(NOT(ISNA(VLOOKUP(S10,A6:E105,5,FALSE))),T10="",U10&lt;&gt;""),ROUND((VLOOKUP(S10,A6:E105,5,FALSE)-W10)/1000,3),IF(AND(NOT(ISNA(VLOOKUP(S10,G6:K105,5,FALSE))),T10="",U10&lt;&gt;""),ROUND((VLOOKUP(S10,G6:K105,5,FALSE)-W10)/1000,3),IF(AND(NOT(ISNA(VLOOKUP(S10,M6:Q105,5,FALSE))),T10="",U10&lt;&gt;""),ROUND((VLOOKUP(S10,M6:Q105,5,FALSE)-W10)/1000,3),IF(AND(NOT(ISNA(VLOOKUP(S10,S6:W9,5,FALSE))),T10="",U10&lt;&gt;""),ROUND((VLOOKUP(S10,S6:W9,5,FALSE)-W10)/1000,3),""))))</f>
        <v/>
      </c>
      <c r="Y10" s="67">
        <f>IF(Y9="","",Y9+1)</f>
        <v>404</v>
      </c>
      <c r="Z10" s="40"/>
      <c r="AA10" s="40"/>
      <c r="AB10" s="62" t="str">
        <f>IF(AND(Z10&lt;&gt;"",AA10&lt;&gt;""),ROUND(Z10,3)+ROUND(AB9,3)-ROUND(AA10,3),IF(AND(EXACT(UPPER(Y10),"TBM"),Z10&lt;&gt;""),ROUND(Z10,3),IF(Z10="",AB9,IF(ISNA(VLOOKUP(Y10,A6:E105,5,FALSE)),IF(ISNA(VLOOKUP(Y10,G6:K105,5,FALSE)),IF(ISNA(VLOOKUP(Y10,M6:Q105,5,FALSE)),IF(ISNA(VLOOKUP(Y10,S6:W105,5,FALSE)),IF(ISNA(VLOOKUP(Y10,Y6:AC9,5,FALSE)),"",ROUND(VLOOKUP(Y10,Y6:AC9,5,FALSE),0)/1000+ROUND(Z10,3)),ROUND(VLOOKUP(Y10,S6:W105,5,FALSE),0)/1000+ROUND(Z10,3)),ROUND(VLOOKUP(Y10,M6:Q105,5,FALSE),0)/1000+ROUND(Z10,3)),ROUND(VLOOKUP(Y10,G6:K105,5,FALSE),0)/1000+ROUND(Z10,3)),ROUND(VLOOKUP(Y10,A6:E105,5,FALSE),0)/1000+ROUND(Z10,3)))))</f>
        <v/>
      </c>
      <c r="AC10" s="20" t="str">
        <f>IF(OR(NOT(EXACT(UPPER(Y10),"TBM")),Z10=""),IF(AND(Z10&lt;&gt;"",AA10="",AB10&lt;&gt;""),"",IF(AND(Z10="",AA10&lt;&gt;"",AB10&lt;&gt;""),ROUND(ROUND(AB10,3)-ROUND(AA10,3),3)*1000,IF(AND(Z10&lt;&gt;"",AA10&lt;&gt;"",AB10&lt;&gt;""),ROUND(ROUND(AB9,3)-ROUND(AA10,3),3)*1000,""))),"")</f>
        <v/>
      </c>
      <c r="AD10" s="46" t="str">
        <f>IF(AND(NOT(ISNA(VLOOKUP(Y10,A6:E105,5,FALSE))),Z10="",AA10&lt;&gt;""),ROUND((VLOOKUP(Y10,A6:E105,5,FALSE)-AC10)/1000,3),IF(AND(NOT(ISNA(VLOOKUP(Y10,G6:K105,5,FALSE))),Z10="",AA10&lt;&gt;""),ROUND((VLOOKUP(Y10,G6:K105,5,FALSE)-AC10)/1000,3),IF(AND(NOT(ISNA(VLOOKUP(Y10,M6:Q105,5,FALSE))),Z10="",AA10&lt;&gt;""),ROUND((VLOOKUP(Y10,M6:Q105,5,FALSE)-AC10)/1000,3),IF(AND(NOT(ISNA(VLOOKUP(Y10,S6:W105,5,FALSE))),Z10="",AA10&lt;&gt;""),ROUND((VLOOKUP(Y10,S6:W105,5,FALSE)-AC10)/1000,3),IF(AND(NOT(ISNA(VLOOKUP(Y10,Y6:AC9,5,FALSE))),Z10="",AA10&lt;&gt;""),ROUND((VLOOKUP(Y10,Y6:AC9,5,FALSE)-AC10)/1000,3),"")))))</f>
        <v/>
      </c>
      <c r="AE10" s="67">
        <f>IF(AE9="","",AE9+1)</f>
        <v>504</v>
      </c>
      <c r="AF10" s="40"/>
      <c r="AG10" s="40"/>
      <c r="AH10" s="62" t="str">
        <f>IF(AND(AF10&lt;&gt;"",AG10&lt;&gt;""),ROUND(AF10,3)+ROUND(AH9,3)-ROUND(AG10,3),IF(AND(EXACT(UPPER(AE10),"TBM"),AF10&lt;&gt;""),ROUND(AF10,3),IF(AF10="",AH9,IF(ISNA(VLOOKUP(AE10,A6:E105,5,FALSE)),IF(ISNA(VLOOKUP(AE10,G6:K105,5,FALSE)),IF(ISNA(VLOOKUP(AE10,M6:Q105,5,FALSE)),IF(ISNA(VLOOKUP(AE10,S6:W105,5,FALSE)),IF(ISNA(VLOOKUP(AE10,Y6:AC105,5,FALSE)),IF(ISNA(VLOOKUP(AE10,AE6:AI9,5,FALSE)),"",ROUND(VLOOKUP(AE10,AE6:AI9,5,FALSE),0)/1000+ROUND(AF10,3)),ROUND(VLOOKUP(AE10,Y6:AC105,5,FALSE),0)/1000+ROUND(AF10,3)),ROUND(VLOOKUP(AE10,S6:W105,5,FALSE),0)/1000+ROUND(AF10,3)),ROUND(VLOOKUP(AE10,M6:Q105,5,FALSE),0)/1000+ROUND(AF10,3)),ROUND(VLOOKUP(AE10,G6:K105,5,FALSE),0)/1000+ROUND(AF10,3)),ROUND(VLOOKUP(AE10,A6:E105,5,FALSE),0)/1000+ROUND(AF10,3)))))</f>
        <v/>
      </c>
      <c r="AI10" s="20" t="str">
        <f>IF(OR(NOT(EXACT(UPPER(AE10),"TBM")),AF10=""),IF(AND(AF10&lt;&gt;"",AG10="",AH10&lt;&gt;""),"",IF(AND(AF10="",AG10&lt;&gt;"",AH10&lt;&gt;""),ROUND(ROUND(AH10,3)-ROUND(AG10,3),3)*1000,IF(AND(AF10&lt;&gt;"",AG10&lt;&gt;"",AH10&lt;&gt;""),ROUND(ROUND(AH9,3)-ROUND(AG10,3),3)*1000,""))),"")</f>
        <v/>
      </c>
      <c r="AJ10" s="46" t="str">
        <f>IF(AND(NOT(ISNA(VLOOKUP(AE10,A6:E105,5,FALSE))),AF10="",AG10&lt;&gt;""),ROUND((VLOOKUP(AE10,A6:E105,5,FALSE)-AI10)/1000,3),IF(AND(NOT(ISNA(VLOOKUP(AE10,G6:K105,5,FALSE))),AF10="",AG10&lt;&gt;""),ROUND((VLOOKUP(AE10,G6:K105,5,FALSE)-AI10)/1000,3),IF(AND(NOT(ISNA(VLOOKUP(AE10,M6:Q105,5,FALSE))),AF10="",AG10&lt;&gt;""),ROUND((VLOOKUP(AE10,M6:Q105,5,FALSE)-AI10)/1000,3),IF(AND(NOT(ISNA(VLOOKUP(AE10,S6:W105,5,FALSE))),AF10="",AG10&lt;&gt;""),ROUND((VLOOKUP(AE10,S6:W105,5,FALSE)-AI10)/1000,3),IF(AND(NOT(ISNA(VLOOKUP(AE10,Y6:AC105,5,FALSE))),AF10="",AG10&lt;&gt;""),ROUND((VLOOKUP(AE10,Y6:AC105,5,FALSE)-AI10)/1000,3),IF(AND(NOT(ISNA(VLOOKUP(AE10,AE6:AI9,5,FALSE))),AF10="",AG10&lt;&gt;""),ROUND((VLOOKUP(AE10,AE6:AI9,5,FALSE)-AI10)/1000,3),""))))))</f>
        <v/>
      </c>
      <c r="AK10" s="67">
        <f>IF(AK9="","",AK9+1)</f>
        <v>604</v>
      </c>
      <c r="AL10" s="40"/>
      <c r="AM10" s="40"/>
      <c r="AN10" s="62" t="str">
        <f>IF(AND(AL10&lt;&gt;"",AM10&lt;&gt;""),ROUND(AL10,3)+ROUND(AN9,3)-ROUND(AM10,3),IF(AND(EXACT(UPPER(AK10),"TBM"),AL10&lt;&gt;""),ROUND(AL10,3),IF(AL10="",AN9,IF(ISNA(VLOOKUP(AK10,A6:E105,5,FALSE)),IF(ISNA(VLOOKUP(AK10,G6:K105,5,FALSE)),IF(ISNA(VLOOKUP(AK10,M6:Q105,5,FALSE)),IF(ISNA(VLOOKUP(AK10,S6:W105,5,FALSE)),IF(ISNA(VLOOKUP(AK10,Y6:AC105,5,FALSE)),IF(ISNA(VLOOKUP(AK10,AE6:AI105,5,FALSE)),IF(ISNA(VLOOKUP(AK10,AK6:AO9,5,FALSE)),"",ROUND(VLOOKUP(AK10,AK6:AO9,5,FALSE),0)/1000+ROUND(AL10,3)),ROUND(VLOOKUP(AK10,AE6:AI105,5,FALSE),0)/1000+ROUND(AL10,3)),ROUND(VLOOKUP(AK10,Y6:AC105,5,FALSE),0)/1000+ROUND(AL10,3)),ROUND(VLOOKUP(AK10,S6:W105,5,FALSE),0)/1000+ROUND(AL10,3)),ROUND(VLOOKUP(AK10,M6:Q105,5,FALSE),0)/1000+ROUND(AL10,3)),ROUND(VLOOKUP(AK10,G6:K105,5,FALSE),0)/1000+ROUND(AL10,3)),ROUND(VLOOKUP(AK10,A6:E105,5,FALSE),0)/1000+ROUND(AL10,3)))))</f>
        <v/>
      </c>
      <c r="AO10" s="20" t="str">
        <f>IF(OR(NOT(EXACT(UPPER(AK10),"TBM")),AL10=""),IF(AND(AL10&lt;&gt;"",AM10="",AN10&lt;&gt;""),"",IF(AND(AL10="",AM10&lt;&gt;"",AN10&lt;&gt;""),ROUND(ROUND(AN10,3)-ROUND(AM10,3),3)*1000,IF(AND(AL10&lt;&gt;"",AM10&lt;&gt;"",AN10&lt;&gt;""),ROUND(ROUND(AN9,3)-ROUND(AM10,3),3)*1000,""))),"")</f>
        <v/>
      </c>
      <c r="AP10" s="46" t="str">
        <f>IF(AND(NOT(ISNA(VLOOKUP(AK10,A6:E105,5,FALSE))),AL10="",AM10&lt;&gt;""),ROUND((VLOOKUP(AK10,A6:E105,5,FALSE)-AO10)/1000,3),IF(AND(NOT(ISNA(VLOOKUP(AK10,G6:K105,5,FALSE))),AL10="",AM10&lt;&gt;""),ROUND((VLOOKUP(AK10,G6:K105,5,FALSE)-AO10)/1000,3),IF(AND(NOT(ISNA(VLOOKUP(AK10,M6:Q105,5,FALSE))),AL10="",AM10&lt;&gt;""),ROUND((VLOOKUP(AK10,M6:Q105,5,FALSE)-AO10)/1000,3),IF(AND(NOT(ISNA(VLOOKUP(AK10,S6:W105,5,FALSE))),AL10="",AM10&lt;&gt;""),ROUND((VLOOKUP(AK10,S6:W105,5,FALSE)-AO10)/1000,3),IF(AND(NOT(ISNA(VLOOKUP(AK10,Y6:AC105,5,FALSE))),AL10="",AM10&lt;&gt;""),ROUND((VLOOKUP(AK10,Y6:AC105,5,FALSE)-AO10)/1000,3),IF(AND(NOT(ISNA(VLOOKUP(AK10,AE6:AI105,5,FALSE))),AL10="",AM10&lt;&gt;""),ROUND((VLOOKUP(AK10,AE6:AI105,5,FALSE)-AO10)/1000,3),IF(AND(NOT(ISNA(VLOOKUP(AK10,AK6:AO9,5,FALSE))),AL10="",AM10&lt;&gt;""),ROUND((VLOOKUP(AK10,AK6:AO9,5,FALSE)-AO10)/1000,3),"")))))))</f>
        <v/>
      </c>
      <c r="AQ10" s="67">
        <f>IF(AQ9="","",AQ9+1)</f>
        <v>704</v>
      </c>
      <c r="AR10" s="40"/>
      <c r="AS10" s="40"/>
      <c r="AT10" s="62" t="str">
        <f>IF(AND(AR10&lt;&gt;"",AS10&lt;&gt;""),ROUND(AR10,3)+ROUND(AT9,3)-ROUND(AS10,3),IF(AND(EXACT(UPPER(AQ10),"TBM"),AR10&lt;&gt;""),ROUND(AR10,3),IF(AR10="",AT9,IF(ISNA(VLOOKUP(AQ10,A6:E105,5,FALSE)),IF(ISNA(VLOOKUP(AQ10,G6:K105,5,FALSE)),IF(ISNA(VLOOKUP(AQ10,M6:Q105,5,FALSE)),IF(ISNA(VLOOKUP(AQ10,S6:W105,5,FALSE)),IF(ISNA(VLOOKUP(AQ10,Y6:AC105,5,FALSE)),IF(ISNA(VLOOKUP(AQ10,AE6:AI105,5,FALSE)),IF(ISNA(VLOOKUP(AQ10,AK6:AO105,5,FALSE)),IF(ISNA(VLOOKUP(AQ10,AQ6:AU9,5,FALSE)),"",ROUND(VLOOKUP(AQ10,AQ6:AU9,5,FALSE),0)/1000+ROUND(AR10,3)),ROUND(VLOOKUP(AQ10,AK6:AO105,5,FALSE),0)/1000+ROUND(AR10,3)),ROUND(VLOOKUP(AQ10,AE6:AI105,5,FALSE),0)/1000+ROUND(AR10,3)),ROUND(VLOOKUP(AQ10,Y6:AC105,5,FALSE),0)/1000+ROUND(AR10,3)),ROUND(VLOOKUP(AQ10,S6:W105,5,FALSE),0)/1000+ROUND(AR10,3)),ROUND(VLOOKUP(AQ10,M6:Q105,5,FALSE),0)/1000+ROUND(AR10,3)),ROUND(VLOOKUP(AQ10,G6:K105,5,FALSE),0)/1000+ROUND(AR10,3)),ROUND(VLOOKUP(AQ10,A6:E105,5,FALSE),0)/1000+ROUND(AR10,3)))))</f>
        <v/>
      </c>
      <c r="AU10" s="20" t="str">
        <f>IF(OR(NOT(EXACT(UPPER(AQ10),"TBM")),AR10=""),IF(AND(AR10&lt;&gt;"",AS10="",AT10&lt;&gt;""),"",IF(AND(AR10="",AS10&lt;&gt;"",AT10&lt;&gt;""),ROUND(ROUND(AT10,3)-ROUND(AS10,3),3)*1000,IF(AND(AR10&lt;&gt;"",AS10&lt;&gt;"",AT10&lt;&gt;""),ROUND(ROUND(AT9,3)-ROUND(AS10,3),3)*1000,""))),"")</f>
        <v/>
      </c>
      <c r="AV10" s="46" t="str">
        <f>IF(AND(NOT(ISNA(VLOOKUP(AQ10,A6:E105,5,FALSE))),AR10="",AS10&lt;&gt;""),ROUND((VLOOKUP(AQ10,A6:E105,5,FALSE)-AU10)/1000,3),IF(AND(NOT(ISNA(VLOOKUP(AQ10,G6:K105,5,FALSE))),AR10="",AS10&lt;&gt;""),ROUND((VLOOKUP(AQ10,G6:K105,5,FALSE)-AU10)/1000,3),IF(AND(NOT(ISNA(VLOOKUP(AQ10,M6:Q105,5,FALSE))),AR10="",AS10&lt;&gt;""),ROUND((VLOOKUP(AQ10,M6:Q105,5,FALSE)-AU10)/1000,3),IF(AND(NOT(ISNA(VLOOKUP(AQ10,S6:W105,5,FALSE))),AR10="",AS10&lt;&gt;""),ROUND((VLOOKUP(AQ10,S6:W105,5,FALSE)-AU10)/1000,3),IF(AND(NOT(ISNA(VLOOKUP(AQ10,Y6:AC105,5,FALSE))),AR10="",AS10&lt;&gt;""),ROUND((VLOOKUP(AQ10,Y6:AC105,5,FALSE)-AU10)/1000,3),IF(AND(NOT(ISNA(VLOOKUP(AQ10,AE6:AI105,5,FALSE))),AR10="",AS10&lt;&gt;""),ROUND((VLOOKUP(AQ10,AE6:AI105,5,FALSE)-AU10)/1000,3),IF(AND(NOT(ISNA(VLOOKUP(AQ10,AK6:AO105,5,FALSE))),AR10="",AS10&lt;&gt;""),ROUND((VLOOKUP(AQ10,AK6:AO105,5,FALSE)-AU10)/1000,3),IF(AND(NOT(ISNA(VLOOKUP(AQ10,AQ6:AU9,5,FALSE))),AR10="",AS10&lt;&gt;""),ROUND((VLOOKUP(AQ10,AQ6:AU9,5,FALSE)-AU10)/1000,3),""))))))))</f>
        <v/>
      </c>
      <c r="AW10" s="67">
        <f>IF(AW9="","",AW9+1)</f>
        <v>804</v>
      </c>
      <c r="AX10" s="40"/>
      <c r="AY10" s="40"/>
      <c r="AZ10" s="62" t="str">
        <f>IF(AND(AX10&lt;&gt;"",AY10&lt;&gt;""),ROUND(AX10,3)+ROUND(AZ9,3)-ROUND(AY10,3),IF(AND(EXACT(UPPER(AW10),"TBM"),AX10&lt;&gt;""),ROUND(AX10,3),IF(AX10="",AZ9,IF(ISNA(VLOOKUP(AW10,A6:E105,5,FALSE)),IF(ISNA(VLOOKUP(AW10,G6:K105,5,FALSE)),IF(ISNA(VLOOKUP(AW10,M6:Q105,5,FALSE)),IF(ISNA(VLOOKUP(AW10,S6:W105,5,FALSE)),IF(ISNA(VLOOKUP(AW10,Y6:AC105,5,FALSE)),IF(ISNA(VLOOKUP(AW10,AE6:AI105,5,FALSE)),IF(ISNA(VLOOKUP(AW10,AK6:AO105,5,FALSE)),IF(ISNA(VLOOKUP(AW10,AQ6:AU105,5,FALSE)),IF(ISNA(VLOOKUP(AW10,AW6:BA9,5,FALSE)),"",ROUND(VLOOKUP(AW10,AW6:BA9,5,FALSE),0)/1000+ROUND(AX10,3)),ROUND(VLOOKUP(AW10,AQ6:AU105,5,FALSE),0)/1000+ROUND(AX10,3)),ROUND(VLOOKUP(AW10,AK6:AO105,5,FALSE),0)/1000+ROUND(AX10,3)),ROUND(VLOOKUP(AW10,AE6:AI105,5,FALSE),0)/1000+ROUND(AX10,3)),ROUND(VLOOKUP(AW10,Y6:AC105,5,FALSE),0)/1000+ROUND(AX10,3)),ROUND(VLOOKUP(AW10,S6:W105,5,FALSE),0)/1000+ROUND(AX10,3)),ROUND(VLOOKUP(AW10,M6:Q105,5,FALSE),0)/1000+ROUND(AX10,3)),ROUND(VLOOKUP(AW10,G6:K105,5,FALSE),0)/1000+ROUND(AX10,3)),ROUND(VLOOKUP(AW10,A6:E105,5,FALSE),0)/1000+ROUND(AX10,3)))))</f>
        <v/>
      </c>
      <c r="BA10" s="20" t="str">
        <f>IF(OR(NOT(EXACT(UPPER(AW10),"TBM")),AX10=""),IF(AND(AX10&lt;&gt;"",AY10="",AZ10&lt;&gt;""),"",IF(AND(AX10="",AY10&lt;&gt;"",AZ10&lt;&gt;""),ROUND(ROUND(AZ10,3)-ROUND(AY10,3),3)*1000,IF(AND(AX10&lt;&gt;"",AY10&lt;&gt;"",AZ10&lt;&gt;""),ROUND(ROUND(AZ9,3)-ROUND(AY10,3),3)*1000,""))),"")</f>
        <v/>
      </c>
      <c r="BB10" s="46" t="str">
        <f>IF(AND(NOT(ISNA(VLOOKUP(AW10,A6:E105,5,FALSE))),AX10="",AY10&lt;&gt;""),ROUND((VLOOKUP(AW10,A6:E105,5,FALSE)-BA10)/1000,3),IF(AND(NOT(ISNA(VLOOKUP(AW10,G6:K105,5,FALSE))),AX10="",AY10&lt;&gt;""),ROUND((VLOOKUP(AW10,G6:K105,5,FALSE)-BA10)/1000,3),IF(AND(NOT(ISNA(VLOOKUP(AW10,M6:Q105,5,FALSE))),AX10="",AY10&lt;&gt;""),ROUND((VLOOKUP(AW10,M6:Q105,5,FALSE)-BA10)/1000,3),IF(AND(NOT(ISNA(VLOOKUP(AW10,S6:W105,5,FALSE))),AX10="",AY10&lt;&gt;""),ROUND((VLOOKUP(AW10,S6:W105,5,FALSE)-BA10)/1000,3),IF(AND(NOT(ISNA(VLOOKUP(AW10,Y6:AC105,5,FALSE))),AX10="",AY10&lt;&gt;""),ROUND((VLOOKUP(AW10,Y6:AC105,5,FALSE)-BA10)/1000,3),IF(AND(NOT(ISNA(VLOOKUP(AW10,AE6:AI105,5,FALSE))),AX10="",AY10&lt;&gt;""),ROUND((VLOOKUP(AW10,AE6:AI105,5,FALSE)-BA10)/1000,3),IF(AND(NOT(ISNA(VLOOKUP(AW10,AK6:AO105,5,FALSE))),AX10="",AY10&lt;&gt;""),ROUND((VLOOKUP(AW10,AK6:AO105,5,FALSE)-BA10)/1000,3),IF(AND(NOT(ISNA(VLOOKUP(AW10,AQ6:AU105,5,FALSE))),AX10="",AY10&lt;&gt;""),ROUND((VLOOKUP(AW10,AQ6:AU105,5,FALSE)-BA10)/1000,3),IF(AND(NOT(ISNA(VLOOKUP(AW10,AW6:BA9,5,FALSE))),AX10="",AY10&lt;&gt;""),ROUND((VLOOKUP(AW10,AW6:BA9,5,FALSE)-BA10)/1000,3),"")))))))))</f>
        <v/>
      </c>
      <c r="BC10" s="67">
        <f>IF(BC9="","",BC9+1)</f>
        <v>904</v>
      </c>
      <c r="BD10" s="40"/>
      <c r="BE10" s="40"/>
      <c r="BF10" s="62" t="str">
        <f>IF(AND(BD10&lt;&gt;"",BE10&lt;&gt;""),ROUND(BD10,3)+ROUND(BF9,3)-ROUND(BE10,3),IF(AND(EXACT(UPPER(BC10),"TBM"),BD10&lt;&gt;""),ROUND(BD10,3),IF(BD10="",BF9,IF(ISNA(VLOOKUP(BC10,A6:E105,5,FALSE)),IF(ISNA(VLOOKUP(BC10,G6:K105,5,FALSE)),IF(ISNA(VLOOKUP(BC10,M6:Q105,5,FALSE)),IF(ISNA(VLOOKUP(BC10,S6:W105,5,FALSE)),IF(ISNA(VLOOKUP(BC10,Y6:AC105,5,FALSE)),IF(ISNA(VLOOKUP(BC10,AE6:AI105,5,FALSE)),IF(ISNA(VLOOKUP(BC10,AK6:AO105,5,FALSE)),IF(ISNA(VLOOKUP(BC10,AQ6:AU105,5,FALSE)),IF(ISNA(VLOOKUP(BC10,AW6:BA105,5,FALSE)),IF(ISNA(VLOOKUP(BC10,BC6:BG9,5,FALSE)),"",ROUND(VLOOKUP(BC10,BC6:BG9,5,FALSE),0)/1000+ROUND(BD10,3)),ROUND(VLOOKUP(BC10,AW6:BA105,5,FALSE),0)/1000+ROUND(BD10,3)),ROUND(VLOOKUP(BC10,AQ6:AU105,5,FALSE),0)/1000+ROUND(BD10,3)),ROUND(VLOOKUP(BC10,AK6:AO105,5,FALSE),0)/1000+ROUND(BD10,3)),ROUND(VLOOKUP(BC10,AE6:AI105,5,FALSE),0)/1000+ROUND(BD10,3)),ROUND(VLOOKUP(BC10,Y6:AC105,5,FALSE),0)/1000+ROUND(BD10,3)),ROUND(VLOOKUP(BC10,S6:W105,5,FALSE),0)/1000+ROUND(BD10,3)),ROUND(VLOOKUP(BC10,M6:Q105,5,FALSE),0)/1000+ROUND(BD10,3)),ROUND(VLOOKUP(BC10,G6:K105,5,FALSE),0)/1000+ROUND(BD10,3)),ROUND(VLOOKUP(BC10,A6:E105,5,FALSE),0)/1000+ROUND(BD10,3)))))</f>
        <v/>
      </c>
      <c r="BG10" s="20" t="str">
        <f>IF(OR(NOT(EXACT(UPPER(BC10),"TBM")),BD10=""),IF(AND(BD10&lt;&gt;"",BE10="",BF10&lt;&gt;""),"",IF(AND(BD10="",BE10&lt;&gt;"",BF10&lt;&gt;""),ROUND(ROUND(BF10,3)-ROUND(BE10,3),3)*1000,IF(AND(BD10&lt;&gt;"",BE10&lt;&gt;"",BF10&lt;&gt;""),ROUND(ROUND(BF9,3)-ROUND(BE10,3),3)*1000,""))),"")</f>
        <v/>
      </c>
      <c r="BH10" s="46" t="str">
        <f>IF(AND(NOT(ISNA(VLOOKUP(BC10,A6:E105,5,FALSE))),BD10="",BE10&lt;&gt;""),ROUND((VLOOKUP(BC10,A6:E105,5,FALSE)-BG10)/1000,3),IF(AND(NOT(ISNA(VLOOKUP(BC10,G6:K105,5,FALSE))),BD10="",BE10&lt;&gt;""),ROUND((VLOOKUP(BC10,G6:K105,5,FALSE)-BG10)/1000,3),IF(AND(NOT(ISNA(VLOOKUP(BC10,M6:Q105,5,FALSE))),BD10="",BE10&lt;&gt;""),ROUND((VLOOKUP(BC10,M6:Q105,5,FALSE)-BG10)/1000,3),IF(AND(NOT(ISNA(VLOOKUP(BC10,S6:W105,5,FALSE))),BD10="",BE10&lt;&gt;""),ROUND((VLOOKUP(BC10,S6:W105,5,FALSE)-BG10)/1000,3),IF(AND(NOT(ISNA(VLOOKUP(BC10,Y6:AC105,5,FALSE))),BD10="",BE10&lt;&gt;""),ROUND((VLOOKUP(BC10,Y6:AC105,5,FALSE)-BG10)/1000,3),IF(AND(NOT(ISNA(VLOOKUP(BC10,AE6:AI105,5,FALSE))),BD10="",BE10&lt;&gt;""),ROUND((VLOOKUP(BC10,AE6:AI105,5,FALSE)-BG10)/1000,3),IF(AND(NOT(ISNA(VLOOKUP(BC10,AK6:AO105,5,FALSE))),BD10="",BE10&lt;&gt;""),ROUND((VLOOKUP(BC10,AK6:AO105,5,FALSE)-BG10)/1000,3),IF(AND(NOT(ISNA(VLOOKUP(BC10,AQ6:AU105,5,FALSE))),BD10="",BE10&lt;&gt;""),ROUND((VLOOKUP(BC10,AQ6:AU105,5,FALSE)-BG10)/1000,3),IF(AND(NOT(ISNA(VLOOKUP(BC10,AW6:BA105,5,FALSE))),BD10="",BE10&lt;&gt;""),ROUND((VLOOKUP(BC10,AW6:BA105,5,FALSE)-BG10)/1000,3),IF(AND(NOT(ISNA(VLOOKUP(BC10,BC6:BG9,5,FALSE))),BD10="",BE10&lt;&gt;""),ROUND((VLOOKUP(BC10,BC6:BG9,5,FALSE)-BG10)/1000,3),""))))))))))</f>
        <v/>
      </c>
    </row>
    <row r="11" spans="1:60" x14ac:dyDescent="0.25">
      <c r="A11" s="74">
        <f t="shared" si="3"/>
        <v>5</v>
      </c>
      <c r="B11" s="77"/>
      <c r="C11" s="77"/>
      <c r="D11" s="78" t="str">
        <f>IF(AND(B11&lt;&gt;"",C11&lt;&gt;""),ROUND(B11,3)+ROUND(D10,3)-ROUND(C11,3),IF(AND(EXACT(UPPER(A11),"TBM"),B11&lt;&gt;""),ROUND(B11,3),IF(B11="",D10,IF(ISNA(VLOOKUP(A11,A6:E10,5,FALSE)),"",ROUND(VLOOKUP(A11,A6:E10,5,FALSE),0)/1000+ROUND(B11,3)))))</f>
        <v/>
      </c>
      <c r="E11" s="79" t="str">
        <f t="shared" si="0"/>
        <v/>
      </c>
      <c r="F11" s="80" t="str">
        <f>IF(AND(NOT(ISNA(VLOOKUP(A11,A6:E10,5,FALSE))),B11="",C11&lt;&gt;""),ROUND((VLOOKUP(A11,A6:E10,5,FALSE)-E11)/1000,3),"")</f>
        <v/>
      </c>
      <c r="G11" s="74">
        <f t="shared" si="1"/>
        <v>105</v>
      </c>
      <c r="H11" s="86"/>
      <c r="I11" s="86"/>
      <c r="J11" s="78" t="str">
        <f>IF(AND(H11&lt;&gt;"",I11&lt;&gt;""),ROUND(H11,3)+ROUND(J10,3)-ROUND(I11,3),IF(AND(EXACT(UPPER(G11),"TBM"),H11&lt;&gt;""),ROUND(H11,3),IF(H11="",J10,IF(ISNA(VLOOKUP(G11,A6:E105,5,FALSE)),IF(ISNA(VLOOKUP(G11,G6:K10,5,FALSE)),"",ROUND(VLOOKUP(G11,G6:K10,5,FALSE),0)/1000+ROUND(H11,3)),ROUND(VLOOKUP(G11,A6:E105,5,FALSE),0)/1000+ROUND(H11,3)))))</f>
        <v/>
      </c>
      <c r="K11" s="87" t="str">
        <f t="shared" si="2"/>
        <v/>
      </c>
      <c r="L11" s="80" t="str">
        <f>IF(AND(NOT(ISNA(VLOOKUP(G11,A6:E105,5,FALSE))),H11="",I11&lt;&gt;""),ROUND((VLOOKUP(G11,A6:E105,5,FALSE)-K11)/1000,3),IF(AND(NOT(ISNA(VLOOKUP(G11,G6:K10,5,FALSE))),H11="",I11&lt;&gt;""),ROUND((VLOOKUP(G11,G6:K10,5,FALSE)-K11)/1000,3),""))</f>
        <v/>
      </c>
      <c r="M11" s="74">
        <f>IF(M10="","",M10+1)</f>
        <v>205</v>
      </c>
      <c r="N11" s="86"/>
      <c r="O11" s="86"/>
      <c r="P11" s="78" t="str">
        <f>IF(AND(N11&lt;&gt;"",O11&lt;&gt;""),ROUND(N11,3)+ROUND(P10,3)-ROUND(O11,3),IF(AND(EXACT(UPPER(M11),"TBM"),N11&lt;&gt;""),ROUND(N11,3),IF(N11="",P10,IF(ISNA(VLOOKUP(M11,A6:E105,5,FALSE)),IF(ISNA(VLOOKUP(M11,G6:K105,5,FALSE)),IF(ISNA(VLOOKUP(M11,M6:Q10,5,FALSE)),"",ROUND(VLOOKUP(M11,M6:Q10,5,FALSE),0)/1000+ROUND(N11,3)),ROUND(VLOOKUP(M11,G6:K105,5,FALSE),0)/1000+ROUND(N11,3)),ROUND(VLOOKUP(M11,A6:E105,5,FALSE),0)/1000+ROUND(N11,3)))))</f>
        <v/>
      </c>
      <c r="Q11" s="87" t="str">
        <f>IF(OR(NOT(EXACT(UPPER(M11),"TBM")),N11=""),IF(AND(N11&lt;&gt;"",O11="",P11&lt;&gt;""),"",IF(AND(N11="",O11&lt;&gt;"",P11&lt;&gt;""),ROUND(ROUND(P11,3)-ROUND(O11,3),3)*1000,IF(AND(N11&lt;&gt;"",O11&lt;&gt;"",P11&lt;&gt;""),ROUND(ROUND(P10,3)-ROUND(O11,3),3)*1000,""))),"")</f>
        <v/>
      </c>
      <c r="R11" s="80" t="str">
        <f>IF(AND(NOT(ISNA(VLOOKUP(M11,A6:E105,5,FALSE))),N11="",O11&lt;&gt;""),ROUND((VLOOKUP(M11,A6:E105,5,FALSE)-Q11)/1000,3),IF(AND(NOT(ISNA(VLOOKUP(M11,G6:K105,5,FALSE))),N11="",O11&lt;&gt;""),ROUND((VLOOKUP(M11,G6:K105,5,FALSE)-Q11)/1000,3),IF(AND(NOT(ISNA(VLOOKUP(M11,M6:Q10,5,FALSE))),N11="",O11&lt;&gt;""),ROUND((VLOOKUP(M11,M6:Q10,5,FALSE)-Q11)/1000,3),"")))</f>
        <v/>
      </c>
      <c r="S11" s="74">
        <f>IF(S10="","",S10+1)</f>
        <v>305</v>
      </c>
      <c r="T11" s="86"/>
      <c r="U11" s="86"/>
      <c r="V11" s="78" t="str">
        <f>IF(AND(T11&lt;&gt;"",U11&lt;&gt;""),ROUND(T11,3)+ROUND(V10,3)-ROUND(U11,3),IF(AND(EXACT(UPPER(S11),"TBM"),T11&lt;&gt;""),ROUND(T11,3),IF(T11="",V10,IF(ISNA(VLOOKUP(S11,A6:E105,5,FALSE)),IF(ISNA(VLOOKUP(S11,G6:K105,5,FALSE)),IF(ISNA(VLOOKUP(S11,M6:Q105,5,FALSE)),IF(ISNA(VLOOKUP(S11,S6:W10,5,FALSE)),"",ROUND(VLOOKUP(S11,S6:W10,5,FALSE),0)/1000+ROUND(T11,3)),ROUND(VLOOKUP(S11,M6:Q105,5,FALSE),0)/1000+ROUND(T11,3)),ROUND(VLOOKUP(S11,G6:K105,5,FALSE),0)/1000+ROUND(T11,3)),ROUND(VLOOKUP(S11,A6:E105,5,FALSE),0)/1000+ROUND(T11,3)))))</f>
        <v/>
      </c>
      <c r="W11" s="87" t="str">
        <f>IF(OR(NOT(EXACT(UPPER(S11),"TBM")),T11=""),IF(AND(T11&lt;&gt;"",U11="",V11&lt;&gt;""),"",IF(AND(T11="",U11&lt;&gt;"",V11&lt;&gt;""),ROUND(ROUND(V11,3)-ROUND(U11,3),3)*1000,IF(AND(T11&lt;&gt;"",U11&lt;&gt;"",V11&lt;&gt;""),ROUND(ROUND(V10,3)-ROUND(U11,3),3)*1000,""))),"")</f>
        <v/>
      </c>
      <c r="X11" s="80" t="str">
        <f>IF(AND(NOT(ISNA(VLOOKUP(S11,A6:E105,5,FALSE))),T11="",U11&lt;&gt;""),ROUND((VLOOKUP(S11,A6:E105,5,FALSE)-W11)/1000,3),IF(AND(NOT(ISNA(VLOOKUP(S11,G6:K105,5,FALSE))),T11="",U11&lt;&gt;""),ROUND((VLOOKUP(S11,G6:K105,5,FALSE)-W11)/1000,3),IF(AND(NOT(ISNA(VLOOKUP(S11,M6:Q105,5,FALSE))),T11="",U11&lt;&gt;""),ROUND((VLOOKUP(S11,M6:Q105,5,FALSE)-W11)/1000,3),IF(AND(NOT(ISNA(VLOOKUP(S11,S6:W10,5,FALSE))),T11="",U11&lt;&gt;""),ROUND((VLOOKUP(S11,S6:W10,5,FALSE)-W11)/1000,3),""))))</f>
        <v/>
      </c>
      <c r="Y11" s="74">
        <f>IF(Y10="","",Y10+1)</f>
        <v>405</v>
      </c>
      <c r="Z11" s="86"/>
      <c r="AA11" s="86"/>
      <c r="AB11" s="78" t="str">
        <f>IF(AND(Z11&lt;&gt;"",AA11&lt;&gt;""),ROUND(Z11,3)+ROUND(AB10,3)-ROUND(AA11,3),IF(AND(EXACT(UPPER(Y11),"TBM"),Z11&lt;&gt;""),ROUND(Z11,3),IF(Z11="",AB10,IF(ISNA(VLOOKUP(Y11,A6:E105,5,FALSE)),IF(ISNA(VLOOKUP(Y11,G6:K105,5,FALSE)),IF(ISNA(VLOOKUP(Y11,M6:Q105,5,FALSE)),IF(ISNA(VLOOKUP(Y11,S6:W105,5,FALSE)),IF(ISNA(VLOOKUP(Y11,Y6:AC10,5,FALSE)),"",ROUND(VLOOKUP(Y11,Y6:AC10,5,FALSE),0)/1000+ROUND(Z11,3)),ROUND(VLOOKUP(Y11,S6:W105,5,FALSE),0)/1000+ROUND(Z11,3)),ROUND(VLOOKUP(Y11,M6:Q105,5,FALSE),0)/1000+ROUND(Z11,3)),ROUND(VLOOKUP(Y11,G6:K105,5,FALSE),0)/1000+ROUND(Z11,3)),ROUND(VLOOKUP(Y11,A6:E105,5,FALSE),0)/1000+ROUND(Z11,3)))))</f>
        <v/>
      </c>
      <c r="AC11" s="87" t="str">
        <f>IF(OR(NOT(EXACT(UPPER(Y11),"TBM")),Z11=""),IF(AND(Z11&lt;&gt;"",AA11="",AB11&lt;&gt;""),"",IF(AND(Z11="",AA11&lt;&gt;"",AB11&lt;&gt;""),ROUND(ROUND(AB11,3)-ROUND(AA11,3),3)*1000,IF(AND(Z11&lt;&gt;"",AA11&lt;&gt;"",AB11&lt;&gt;""),ROUND(ROUND(AB10,3)-ROUND(AA11,3),3)*1000,""))),"")</f>
        <v/>
      </c>
      <c r="AD11" s="80" t="str">
        <f>IF(AND(NOT(ISNA(VLOOKUP(Y11,A6:E105,5,FALSE))),Z11="",AA11&lt;&gt;""),ROUND((VLOOKUP(Y11,A6:E105,5,FALSE)-AC11)/1000,3),IF(AND(NOT(ISNA(VLOOKUP(Y11,G6:K105,5,FALSE))),Z11="",AA11&lt;&gt;""),ROUND((VLOOKUP(Y11,G6:K105,5,FALSE)-AC11)/1000,3),IF(AND(NOT(ISNA(VLOOKUP(Y11,M6:Q105,5,FALSE))),Z11="",AA11&lt;&gt;""),ROUND((VLOOKUP(Y11,M6:Q105,5,FALSE)-AC11)/1000,3),IF(AND(NOT(ISNA(VLOOKUP(Y11,S6:W105,5,FALSE))),Z11="",AA11&lt;&gt;""),ROUND((VLOOKUP(Y11,S6:W105,5,FALSE)-AC11)/1000,3),IF(AND(NOT(ISNA(VLOOKUP(Y11,Y6:AC10,5,FALSE))),Z11="",AA11&lt;&gt;""),ROUND((VLOOKUP(Y11,Y6:AC10,5,FALSE)-AC11)/1000,3),"")))))</f>
        <v/>
      </c>
      <c r="AE11" s="74">
        <f>IF(AE10="","",AE10+1)</f>
        <v>505</v>
      </c>
      <c r="AF11" s="86"/>
      <c r="AG11" s="86"/>
      <c r="AH11" s="78" t="str">
        <f>IF(AND(AF11&lt;&gt;"",AG11&lt;&gt;""),ROUND(AF11,3)+ROUND(AH10,3)-ROUND(AG11,3),IF(AND(EXACT(UPPER(AE11),"TBM"),AF11&lt;&gt;""),ROUND(AF11,3),IF(AF11="",AH10,IF(ISNA(VLOOKUP(AE11,A6:E105,5,FALSE)),IF(ISNA(VLOOKUP(AE11,G6:K105,5,FALSE)),IF(ISNA(VLOOKUP(AE11,M6:Q105,5,FALSE)),IF(ISNA(VLOOKUP(AE11,S6:W105,5,FALSE)),IF(ISNA(VLOOKUP(AE11,Y6:AC105,5,FALSE)),IF(ISNA(VLOOKUP(AE11,AE6:AI10,5,FALSE)),"",ROUND(VLOOKUP(AE11,AE6:AI10,5,FALSE),0)/1000+ROUND(AF11,3)),ROUND(VLOOKUP(AE11,Y6:AC105,5,FALSE),0)/1000+ROUND(AF11,3)),ROUND(VLOOKUP(AE11,S6:W105,5,FALSE),0)/1000+ROUND(AF11,3)),ROUND(VLOOKUP(AE11,M6:Q105,5,FALSE),0)/1000+ROUND(AF11,3)),ROUND(VLOOKUP(AE11,G6:K105,5,FALSE),0)/1000+ROUND(AF11,3)),ROUND(VLOOKUP(AE11,A6:E105,5,FALSE),0)/1000+ROUND(AF11,3)))))</f>
        <v/>
      </c>
      <c r="AI11" s="87" t="str">
        <f>IF(OR(NOT(EXACT(UPPER(AE11),"TBM")),AF11=""),IF(AND(AF11&lt;&gt;"",AG11="",AH11&lt;&gt;""),"",IF(AND(AF11="",AG11&lt;&gt;"",AH11&lt;&gt;""),ROUND(ROUND(AH11,3)-ROUND(AG11,3),3)*1000,IF(AND(AF11&lt;&gt;"",AG11&lt;&gt;"",AH11&lt;&gt;""),ROUND(ROUND(AH10,3)-ROUND(AG11,3),3)*1000,""))),"")</f>
        <v/>
      </c>
      <c r="AJ11" s="80" t="str">
        <f>IF(AND(NOT(ISNA(VLOOKUP(AE11,A6:E105,5,FALSE))),AF11="",AG11&lt;&gt;""),ROUND((VLOOKUP(AE11,A6:E105,5,FALSE)-AI11)/1000,3),IF(AND(NOT(ISNA(VLOOKUP(AE11,G6:K105,5,FALSE))),AF11="",AG11&lt;&gt;""),ROUND((VLOOKUP(AE11,G6:K105,5,FALSE)-AI11)/1000,3),IF(AND(NOT(ISNA(VLOOKUP(AE11,M6:Q105,5,FALSE))),AF11="",AG11&lt;&gt;""),ROUND((VLOOKUP(AE11,M6:Q105,5,FALSE)-AI11)/1000,3),IF(AND(NOT(ISNA(VLOOKUP(AE11,S6:W105,5,FALSE))),AF11="",AG11&lt;&gt;""),ROUND((VLOOKUP(AE11,S6:W105,5,FALSE)-AI11)/1000,3),IF(AND(NOT(ISNA(VLOOKUP(AE11,Y6:AC105,5,FALSE))),AF11="",AG11&lt;&gt;""),ROUND((VLOOKUP(AE11,Y6:AC105,5,FALSE)-AI11)/1000,3),IF(AND(NOT(ISNA(VLOOKUP(AE11,AE6:AI10,5,FALSE))),AF11="",AG11&lt;&gt;""),ROUND((VLOOKUP(AE11,AE6:AI10,5,FALSE)-AI11)/1000,3),""))))))</f>
        <v/>
      </c>
      <c r="AK11" s="74">
        <f>IF(AK10="","",AK10+1)</f>
        <v>605</v>
      </c>
      <c r="AL11" s="86"/>
      <c r="AM11" s="86"/>
      <c r="AN11" s="78" t="str">
        <f>IF(AND(AL11&lt;&gt;"",AM11&lt;&gt;""),ROUND(AL11,3)+ROUND(AN10,3)-ROUND(AM11,3),IF(AND(EXACT(UPPER(AK11),"TBM"),AL11&lt;&gt;""),ROUND(AL11,3),IF(AL11="",AN10,IF(ISNA(VLOOKUP(AK11,A6:E105,5,FALSE)),IF(ISNA(VLOOKUP(AK11,G6:K105,5,FALSE)),IF(ISNA(VLOOKUP(AK11,M6:Q105,5,FALSE)),IF(ISNA(VLOOKUP(AK11,S6:W105,5,FALSE)),IF(ISNA(VLOOKUP(AK11,Y6:AC105,5,FALSE)),IF(ISNA(VLOOKUP(AK11,AE6:AI105,5,FALSE)),IF(ISNA(VLOOKUP(AK11,AK6:AO10,5,FALSE)),"",ROUND(VLOOKUP(AK11,AK6:AO10,5,FALSE),0)/1000+ROUND(AL11,3)),ROUND(VLOOKUP(AK11,AE6:AI105,5,FALSE),0)/1000+ROUND(AL11,3)),ROUND(VLOOKUP(AK11,Y6:AC105,5,FALSE),0)/1000+ROUND(AL11,3)),ROUND(VLOOKUP(AK11,S6:W105,5,FALSE),0)/1000+ROUND(AL11,3)),ROUND(VLOOKUP(AK11,M6:Q105,5,FALSE),0)/1000+ROUND(AL11,3)),ROUND(VLOOKUP(AK11,G6:K105,5,FALSE),0)/1000+ROUND(AL11,3)),ROUND(VLOOKUP(AK11,A6:E105,5,FALSE),0)/1000+ROUND(AL11,3)))))</f>
        <v/>
      </c>
      <c r="AO11" s="87" t="str">
        <f>IF(OR(NOT(EXACT(UPPER(AK11),"TBM")),AL11=""),IF(AND(AL11&lt;&gt;"",AM11="",AN11&lt;&gt;""),"",IF(AND(AL11="",AM11&lt;&gt;"",AN11&lt;&gt;""),ROUND(ROUND(AN11,3)-ROUND(AM11,3),3)*1000,IF(AND(AL11&lt;&gt;"",AM11&lt;&gt;"",AN11&lt;&gt;""),ROUND(ROUND(AN10,3)-ROUND(AM11,3),3)*1000,""))),"")</f>
        <v/>
      </c>
      <c r="AP11" s="80" t="str">
        <f>IF(AND(NOT(ISNA(VLOOKUP(AK11,A6:E105,5,FALSE))),AL11="",AM11&lt;&gt;""),ROUND((VLOOKUP(AK11,A6:E105,5,FALSE)-AO11)/1000,3),IF(AND(NOT(ISNA(VLOOKUP(AK11,G6:K105,5,FALSE))),AL11="",AM11&lt;&gt;""),ROUND((VLOOKUP(AK11,G6:K105,5,FALSE)-AO11)/1000,3),IF(AND(NOT(ISNA(VLOOKUP(AK11,M6:Q105,5,FALSE))),AL11="",AM11&lt;&gt;""),ROUND((VLOOKUP(AK11,M6:Q105,5,FALSE)-AO11)/1000,3),IF(AND(NOT(ISNA(VLOOKUP(AK11,S6:W105,5,FALSE))),AL11="",AM11&lt;&gt;""),ROUND((VLOOKUP(AK11,S6:W105,5,FALSE)-AO11)/1000,3),IF(AND(NOT(ISNA(VLOOKUP(AK11,Y6:AC105,5,FALSE))),AL11="",AM11&lt;&gt;""),ROUND((VLOOKUP(AK11,Y6:AC105,5,FALSE)-AO11)/1000,3),IF(AND(NOT(ISNA(VLOOKUP(AK11,AE6:AI105,5,FALSE))),AL11="",AM11&lt;&gt;""),ROUND((VLOOKUP(AK11,AE6:AI105,5,FALSE)-AO11)/1000,3),IF(AND(NOT(ISNA(VLOOKUP(AK11,AK6:AO10,5,FALSE))),AL11="",AM11&lt;&gt;""),ROUND((VLOOKUP(AK11,AK6:AO10,5,FALSE)-AO11)/1000,3),"")))))))</f>
        <v/>
      </c>
      <c r="AQ11" s="74">
        <f>IF(AQ10="","",AQ10+1)</f>
        <v>705</v>
      </c>
      <c r="AR11" s="86"/>
      <c r="AS11" s="86"/>
      <c r="AT11" s="78" t="str">
        <f>IF(AND(AR11&lt;&gt;"",AS11&lt;&gt;""),ROUND(AR11,3)+ROUND(AT10,3)-ROUND(AS11,3),IF(AND(EXACT(UPPER(AQ11),"TBM"),AR11&lt;&gt;""),ROUND(AR11,3),IF(AR11="",AT10,IF(ISNA(VLOOKUP(AQ11,A6:E105,5,FALSE)),IF(ISNA(VLOOKUP(AQ11,G6:K105,5,FALSE)),IF(ISNA(VLOOKUP(AQ11,M6:Q105,5,FALSE)),IF(ISNA(VLOOKUP(AQ11,S6:W105,5,FALSE)),IF(ISNA(VLOOKUP(AQ11,Y6:AC105,5,FALSE)),IF(ISNA(VLOOKUP(AQ11,AE6:AI105,5,FALSE)),IF(ISNA(VLOOKUP(AQ11,AK6:AO105,5,FALSE)),IF(ISNA(VLOOKUP(AQ11,AQ6:AU10,5,FALSE)),"",ROUND(VLOOKUP(AQ11,AQ6:AU10,5,FALSE),0)/1000+ROUND(AR11,3)),ROUND(VLOOKUP(AQ11,AK6:AO105,5,FALSE),0)/1000+ROUND(AR11,3)),ROUND(VLOOKUP(AQ11,AE6:AI105,5,FALSE),0)/1000+ROUND(AR11,3)),ROUND(VLOOKUP(AQ11,Y6:AC105,5,FALSE),0)/1000+ROUND(AR11,3)),ROUND(VLOOKUP(AQ11,S6:W105,5,FALSE),0)/1000+ROUND(AR11,3)),ROUND(VLOOKUP(AQ11,M6:Q105,5,FALSE),0)/1000+ROUND(AR11,3)),ROUND(VLOOKUP(AQ11,G6:K105,5,FALSE),0)/1000+ROUND(AR11,3)),ROUND(VLOOKUP(AQ11,A6:E105,5,FALSE),0)/1000+ROUND(AR11,3)))))</f>
        <v/>
      </c>
      <c r="AU11" s="87" t="str">
        <f>IF(OR(NOT(EXACT(UPPER(AQ11),"TBM")),AR11=""),IF(AND(AR11&lt;&gt;"",AS11="",AT11&lt;&gt;""),"",IF(AND(AR11="",AS11&lt;&gt;"",AT11&lt;&gt;""),ROUND(ROUND(AT11,3)-ROUND(AS11,3),3)*1000,IF(AND(AR11&lt;&gt;"",AS11&lt;&gt;"",AT11&lt;&gt;""),ROUND(ROUND(AT10,3)-ROUND(AS11,3),3)*1000,""))),"")</f>
        <v/>
      </c>
      <c r="AV11" s="80" t="str">
        <f>IF(AND(NOT(ISNA(VLOOKUP(AQ11,A6:E105,5,FALSE))),AR11="",AS11&lt;&gt;""),ROUND((VLOOKUP(AQ11,A6:E105,5,FALSE)-AU11)/1000,3),IF(AND(NOT(ISNA(VLOOKUP(AQ11,G6:K105,5,FALSE))),AR11="",AS11&lt;&gt;""),ROUND((VLOOKUP(AQ11,G6:K105,5,FALSE)-AU11)/1000,3),IF(AND(NOT(ISNA(VLOOKUP(AQ11,M6:Q105,5,FALSE))),AR11="",AS11&lt;&gt;""),ROUND((VLOOKUP(AQ11,M6:Q105,5,FALSE)-AU11)/1000,3),IF(AND(NOT(ISNA(VLOOKUP(AQ11,S6:W105,5,FALSE))),AR11="",AS11&lt;&gt;""),ROUND((VLOOKUP(AQ11,S6:W105,5,FALSE)-AU11)/1000,3),IF(AND(NOT(ISNA(VLOOKUP(AQ11,Y6:AC105,5,FALSE))),AR11="",AS11&lt;&gt;""),ROUND((VLOOKUP(AQ11,Y6:AC105,5,FALSE)-AU11)/1000,3),IF(AND(NOT(ISNA(VLOOKUP(AQ11,AE6:AI105,5,FALSE))),AR11="",AS11&lt;&gt;""),ROUND((VLOOKUP(AQ11,AE6:AI105,5,FALSE)-AU11)/1000,3),IF(AND(NOT(ISNA(VLOOKUP(AQ11,AK6:AO105,5,FALSE))),AR11="",AS11&lt;&gt;""),ROUND((VLOOKUP(AQ11,AK6:AO105,5,FALSE)-AU11)/1000,3),IF(AND(NOT(ISNA(VLOOKUP(AQ11,AQ6:AU10,5,FALSE))),AR11="",AS11&lt;&gt;""),ROUND((VLOOKUP(AQ11,AQ6:AU10,5,FALSE)-AU11)/1000,3),""))))))))</f>
        <v/>
      </c>
      <c r="AW11" s="74">
        <f>IF(AW10="","",AW10+1)</f>
        <v>805</v>
      </c>
      <c r="AX11" s="86"/>
      <c r="AY11" s="86"/>
      <c r="AZ11" s="78" t="str">
        <f>IF(AND(AX11&lt;&gt;"",AY11&lt;&gt;""),ROUND(AX11,3)+ROUND(AZ10,3)-ROUND(AY11,3),IF(AND(EXACT(UPPER(AW11),"TBM"),AX11&lt;&gt;""),ROUND(AX11,3),IF(AX11="",AZ10,IF(ISNA(VLOOKUP(AW11,A6:E105,5,FALSE)),IF(ISNA(VLOOKUP(AW11,G6:K105,5,FALSE)),IF(ISNA(VLOOKUP(AW11,M6:Q105,5,FALSE)),IF(ISNA(VLOOKUP(AW11,S6:W105,5,FALSE)),IF(ISNA(VLOOKUP(AW11,Y6:AC105,5,FALSE)),IF(ISNA(VLOOKUP(AW11,AE6:AI105,5,FALSE)),IF(ISNA(VLOOKUP(AW11,AK6:AO105,5,FALSE)),IF(ISNA(VLOOKUP(AW11,AQ6:AU105,5,FALSE)),IF(ISNA(VLOOKUP(AW11,AW6:BA10,5,FALSE)),"",ROUND(VLOOKUP(AW11,AW6:BA10,5,FALSE),0)/1000+ROUND(AX11,3)),ROUND(VLOOKUP(AW11,AQ6:AU105,5,FALSE),0)/1000+ROUND(AX11,3)),ROUND(VLOOKUP(AW11,AK6:AO105,5,FALSE),0)/1000+ROUND(AX11,3)),ROUND(VLOOKUP(AW11,AE6:AI105,5,FALSE),0)/1000+ROUND(AX11,3)),ROUND(VLOOKUP(AW11,Y6:AC105,5,FALSE),0)/1000+ROUND(AX11,3)),ROUND(VLOOKUP(AW11,S6:W105,5,FALSE),0)/1000+ROUND(AX11,3)),ROUND(VLOOKUP(AW11,M6:Q105,5,FALSE),0)/1000+ROUND(AX11,3)),ROUND(VLOOKUP(AW11,G6:K105,5,FALSE),0)/1000+ROUND(AX11,3)),ROUND(VLOOKUP(AW11,A6:E105,5,FALSE),0)/1000+ROUND(AX11,3)))))</f>
        <v/>
      </c>
      <c r="BA11" s="87" t="str">
        <f>IF(OR(NOT(EXACT(UPPER(AW11),"TBM")),AX11=""),IF(AND(AX11&lt;&gt;"",AY11="",AZ11&lt;&gt;""),"",IF(AND(AX11="",AY11&lt;&gt;"",AZ11&lt;&gt;""),ROUND(ROUND(AZ11,3)-ROUND(AY11,3),3)*1000,IF(AND(AX11&lt;&gt;"",AY11&lt;&gt;"",AZ11&lt;&gt;""),ROUND(ROUND(AZ10,3)-ROUND(AY11,3),3)*1000,""))),"")</f>
        <v/>
      </c>
      <c r="BB11" s="80" t="str">
        <f>IF(AND(NOT(ISNA(VLOOKUP(AW11,A6:E105,5,FALSE))),AX11="",AY11&lt;&gt;""),ROUND((VLOOKUP(AW11,A6:E105,5,FALSE)-BA11)/1000,3),IF(AND(NOT(ISNA(VLOOKUP(AW11,G6:K105,5,FALSE))),AX11="",AY11&lt;&gt;""),ROUND((VLOOKUP(AW11,G6:K105,5,FALSE)-BA11)/1000,3),IF(AND(NOT(ISNA(VLOOKUP(AW11,M6:Q105,5,FALSE))),AX11="",AY11&lt;&gt;""),ROUND((VLOOKUP(AW11,M6:Q105,5,FALSE)-BA11)/1000,3),IF(AND(NOT(ISNA(VLOOKUP(AW11,S6:W105,5,FALSE))),AX11="",AY11&lt;&gt;""),ROUND((VLOOKUP(AW11,S6:W105,5,FALSE)-BA11)/1000,3),IF(AND(NOT(ISNA(VLOOKUP(AW11,Y6:AC105,5,FALSE))),AX11="",AY11&lt;&gt;""),ROUND((VLOOKUP(AW11,Y6:AC105,5,FALSE)-BA11)/1000,3),IF(AND(NOT(ISNA(VLOOKUP(AW11,AE6:AI105,5,FALSE))),AX11="",AY11&lt;&gt;""),ROUND((VLOOKUP(AW11,AE6:AI105,5,FALSE)-BA11)/1000,3),IF(AND(NOT(ISNA(VLOOKUP(AW11,AK6:AO105,5,FALSE))),AX11="",AY11&lt;&gt;""),ROUND((VLOOKUP(AW11,AK6:AO105,5,FALSE)-BA11)/1000,3),IF(AND(NOT(ISNA(VLOOKUP(AW11,AQ6:AU105,5,FALSE))),AX11="",AY11&lt;&gt;""),ROUND((VLOOKUP(AW11,AQ6:AU105,5,FALSE)-BA11)/1000,3),IF(AND(NOT(ISNA(VLOOKUP(AW11,AW6:BA10,5,FALSE))),AX11="",AY11&lt;&gt;""),ROUND((VLOOKUP(AW11,AW6:BA10,5,FALSE)-BA11)/1000,3),"")))))))))</f>
        <v/>
      </c>
      <c r="BC11" s="74">
        <f>IF(BC10="","",BC10+1)</f>
        <v>905</v>
      </c>
      <c r="BD11" s="86"/>
      <c r="BE11" s="86"/>
      <c r="BF11" s="78" t="str">
        <f>IF(AND(BD11&lt;&gt;"",BE11&lt;&gt;""),ROUND(BD11,3)+ROUND(BF10,3)-ROUND(BE11,3),IF(AND(EXACT(UPPER(BC11),"TBM"),BD11&lt;&gt;""),ROUND(BD11,3),IF(BD11="",BF10,IF(ISNA(VLOOKUP(BC11,A6:E105,5,FALSE)),IF(ISNA(VLOOKUP(BC11,G6:K105,5,FALSE)),IF(ISNA(VLOOKUP(BC11,M6:Q105,5,FALSE)),IF(ISNA(VLOOKUP(BC11,S6:W105,5,FALSE)),IF(ISNA(VLOOKUP(BC11,Y6:AC105,5,FALSE)),IF(ISNA(VLOOKUP(BC11,AE6:AI105,5,FALSE)),IF(ISNA(VLOOKUP(BC11,AK6:AO105,5,FALSE)),IF(ISNA(VLOOKUP(BC11,AQ6:AU105,5,FALSE)),IF(ISNA(VLOOKUP(BC11,AW6:BA105,5,FALSE)),IF(ISNA(VLOOKUP(BC11,BC6:BG10,5,FALSE)),"",ROUND(VLOOKUP(BC11,BC6:BG10,5,FALSE),0)/1000+ROUND(BD11,3)),ROUND(VLOOKUP(BC11,AW6:BA105,5,FALSE),0)/1000+ROUND(BD11,3)),ROUND(VLOOKUP(BC11,AQ6:AU105,5,FALSE),0)/1000+ROUND(BD11,3)),ROUND(VLOOKUP(BC11,AK6:AO105,5,FALSE),0)/1000+ROUND(BD11,3)),ROUND(VLOOKUP(BC11,AE6:AI105,5,FALSE),0)/1000+ROUND(BD11,3)),ROUND(VLOOKUP(BC11,Y6:AC105,5,FALSE),0)/1000+ROUND(BD11,3)),ROUND(VLOOKUP(BC11,S6:W105,5,FALSE),0)/1000+ROUND(BD11,3)),ROUND(VLOOKUP(BC11,M6:Q105,5,FALSE),0)/1000+ROUND(BD11,3)),ROUND(VLOOKUP(BC11,G6:K105,5,FALSE),0)/1000+ROUND(BD11,3)),ROUND(VLOOKUP(BC11,A6:E105,5,FALSE),0)/1000+ROUND(BD11,3)))))</f>
        <v/>
      </c>
      <c r="BG11" s="87" t="str">
        <f>IF(OR(NOT(EXACT(UPPER(BC11),"TBM")),BD11=""),IF(AND(BD11&lt;&gt;"",BE11="",BF11&lt;&gt;""),"",IF(AND(BD11="",BE11&lt;&gt;"",BF11&lt;&gt;""),ROUND(ROUND(BF11,3)-ROUND(BE11,3),3)*1000,IF(AND(BD11&lt;&gt;"",BE11&lt;&gt;"",BF11&lt;&gt;""),ROUND(ROUND(BF10,3)-ROUND(BE11,3),3)*1000,""))),"")</f>
        <v/>
      </c>
      <c r="BH11" s="80" t="str">
        <f>IF(AND(NOT(ISNA(VLOOKUP(BC11,A6:E105,5,FALSE))),BD11="",BE11&lt;&gt;""),ROUND((VLOOKUP(BC11,A6:E105,5,FALSE)-BG11)/1000,3),IF(AND(NOT(ISNA(VLOOKUP(BC11,G6:K105,5,FALSE))),BD11="",BE11&lt;&gt;""),ROUND((VLOOKUP(BC11,G6:K105,5,FALSE)-BG11)/1000,3),IF(AND(NOT(ISNA(VLOOKUP(BC11,M6:Q105,5,FALSE))),BD11="",BE11&lt;&gt;""),ROUND((VLOOKUP(BC11,M6:Q105,5,FALSE)-BG11)/1000,3),IF(AND(NOT(ISNA(VLOOKUP(BC11,S6:W105,5,FALSE))),BD11="",BE11&lt;&gt;""),ROUND((VLOOKUP(BC11,S6:W105,5,FALSE)-BG11)/1000,3),IF(AND(NOT(ISNA(VLOOKUP(BC11,Y6:AC105,5,FALSE))),BD11="",BE11&lt;&gt;""),ROUND((VLOOKUP(BC11,Y6:AC105,5,FALSE)-BG11)/1000,3),IF(AND(NOT(ISNA(VLOOKUP(BC11,AE6:AI105,5,FALSE))),BD11="",BE11&lt;&gt;""),ROUND((VLOOKUP(BC11,AE6:AI105,5,FALSE)-BG11)/1000,3),IF(AND(NOT(ISNA(VLOOKUP(BC11,AK6:AO105,5,FALSE))),BD11="",BE11&lt;&gt;""),ROUND((VLOOKUP(BC11,AK6:AO105,5,FALSE)-BG11)/1000,3),IF(AND(NOT(ISNA(VLOOKUP(BC11,AQ6:AU105,5,FALSE))),BD11="",BE11&lt;&gt;""),ROUND((VLOOKUP(BC11,AQ6:AU105,5,FALSE)-BG11)/1000,3),IF(AND(NOT(ISNA(VLOOKUP(BC11,AW6:BA105,5,FALSE))),BD11="",BE11&lt;&gt;""),ROUND((VLOOKUP(BC11,AW6:BA105,5,FALSE)-BG11)/1000,3),IF(AND(NOT(ISNA(VLOOKUP(BC11,BC6:BG10,5,FALSE))),BD11="",BE11&lt;&gt;""),ROUND((VLOOKUP(BC11,BC6:BG10,5,FALSE)-BG11)/1000,3),""))))))))))</f>
        <v/>
      </c>
    </row>
    <row r="12" spans="1:60" x14ac:dyDescent="0.25">
      <c r="A12" s="19">
        <f t="shared" si="3"/>
        <v>6</v>
      </c>
      <c r="B12" s="39"/>
      <c r="C12" s="39"/>
      <c r="D12" s="15" t="str">
        <f>IF(AND(B12&lt;&gt;"",C12&lt;&gt;""),ROUND(B12,3)+ROUND(D11,3)-ROUND(C12,3),IF(AND(EXACT(UPPER(A12),"TBM"),B12&lt;&gt;""),ROUND(B12,3),IF(B12="",D11,IF(ISNA(VLOOKUP(A12,A6:E11,5,FALSE)),"",ROUND(VLOOKUP(A12,A6:E11,5,FALSE),0)/1000+ROUND(B12,3)))))</f>
        <v/>
      </c>
      <c r="E12" s="21" t="str">
        <f t="shared" si="0"/>
        <v/>
      </c>
      <c r="F12" s="45" t="str">
        <f>IF(AND(NOT(ISNA(VLOOKUP(A12,A6:E11,5,FALSE))),B12="",C12&lt;&gt;""),ROUND((VLOOKUP(A12,A6:E11,5,FALSE)-E12)/1000,3),"")</f>
        <v/>
      </c>
      <c r="G12" s="19">
        <f t="shared" si="1"/>
        <v>106</v>
      </c>
      <c r="H12" s="39"/>
      <c r="I12" s="39"/>
      <c r="J12" s="15" t="str">
        <f>IF(AND(H12&lt;&gt;"",I12&lt;&gt;""),ROUND(H12,3)+ROUND(J11,3)-ROUND(I12,3),IF(AND(EXACT(UPPER(G12),"TBM"),H12&lt;&gt;""),ROUND(H12,3),IF(H12="",J11,IF(ISNA(VLOOKUP(G12,A6:E105,5,FALSE)),IF(ISNA(VLOOKUP(G12,G6:K11,5,FALSE)),"",ROUND(VLOOKUP(G12,G6:K11,5,FALSE),0)/1000+ROUND(H12,3)),ROUND(VLOOKUP(G12,A6:E105,5,FALSE),0)/1000+ROUND(H12,3)))))</f>
        <v/>
      </c>
      <c r="K12" s="18" t="str">
        <f t="shared" si="2"/>
        <v/>
      </c>
      <c r="L12" s="45" t="str">
        <f>IF(AND(NOT(ISNA(VLOOKUP(G12,A6:E105,5,FALSE))),H12="",I12&lt;&gt;""),ROUND((VLOOKUP(G12,A6:E105,5,FALSE)-K12)/1000,3),IF(AND(NOT(ISNA(VLOOKUP(G12,G6:K11,5,FALSE))),H12="",I12&lt;&gt;""),ROUND((VLOOKUP(G12,G6:K11,5,FALSE)-K12)/1000,3),""))</f>
        <v/>
      </c>
      <c r="M12" s="19">
        <f>IF(M11="","",M11+1)</f>
        <v>206</v>
      </c>
      <c r="N12" s="39"/>
      <c r="O12" s="39"/>
      <c r="P12" s="15" t="str">
        <f>IF(AND(N12&lt;&gt;"",O12&lt;&gt;""),ROUND(N12,3)+ROUND(P11,3)-ROUND(O12,3),IF(AND(EXACT(UPPER(M12),"TBM"),N12&lt;&gt;""),ROUND(N12,3),IF(N12="",P11,IF(ISNA(VLOOKUP(M12,A6:E105,5,FALSE)),IF(ISNA(VLOOKUP(M12,G6:K105,5,FALSE)),IF(ISNA(VLOOKUP(M12,M6:Q11,5,FALSE)),"",ROUND(VLOOKUP(M12,M6:Q11,5,FALSE),0)/1000+ROUND(N12,3)),ROUND(VLOOKUP(M12,G6:K105,5,FALSE),0)/1000+ROUND(N12,3)),ROUND(VLOOKUP(M12,A6:E105,5,FALSE),0)/1000+ROUND(N12,3)))))</f>
        <v/>
      </c>
      <c r="Q12" s="18" t="str">
        <f>IF(OR(NOT(EXACT(UPPER(M12),"TBM")),N12=""),IF(AND(N12&lt;&gt;"",O12="",P12&lt;&gt;""),"",IF(AND(N12="",O12&lt;&gt;"",P12&lt;&gt;""),ROUND(ROUND(P12,3)-ROUND(O12,3),3)*1000,IF(AND(N12&lt;&gt;"",O12&lt;&gt;"",P12&lt;&gt;""),ROUND(ROUND(P11,3)-ROUND(O12,3),3)*1000,""))),"")</f>
        <v/>
      </c>
      <c r="R12" s="45" t="str">
        <f>IF(AND(NOT(ISNA(VLOOKUP(M12,A6:E105,5,FALSE))),N12="",O12&lt;&gt;""),ROUND((VLOOKUP(M12,A6:E105,5,FALSE)-Q12)/1000,3),IF(AND(NOT(ISNA(VLOOKUP(M12,G6:K105,5,FALSE))),N12="",O12&lt;&gt;""),ROUND((VLOOKUP(M12,G6:K105,5,FALSE)-Q12)/1000,3),IF(AND(NOT(ISNA(VLOOKUP(M12,M6:Q11,5,FALSE))),N12="",O12&lt;&gt;""),ROUND((VLOOKUP(M12,M6:Q11,5,FALSE)-Q12)/1000,3),"")))</f>
        <v/>
      </c>
      <c r="S12" s="19">
        <f>IF(S11="","",S11+1)</f>
        <v>306</v>
      </c>
      <c r="T12" s="39"/>
      <c r="U12" s="39"/>
      <c r="V12" s="15" t="str">
        <f>IF(AND(T12&lt;&gt;"",U12&lt;&gt;""),ROUND(T12,3)+ROUND(V11,3)-ROUND(U12,3),IF(AND(EXACT(UPPER(S12),"TBM"),T12&lt;&gt;""),ROUND(T12,3),IF(T12="",V11,IF(ISNA(VLOOKUP(S12,A6:E105,5,FALSE)),IF(ISNA(VLOOKUP(S12,G6:K105,5,FALSE)),IF(ISNA(VLOOKUP(S12,M6:Q105,5,FALSE)),IF(ISNA(VLOOKUP(S12,S6:W11,5,FALSE)),"",ROUND(VLOOKUP(S12,S6:W11,5,FALSE),0)/1000+ROUND(T12,3)),ROUND(VLOOKUP(S12,M6:Q105,5,FALSE),0)/1000+ROUND(T12,3)),ROUND(VLOOKUP(S12,G6:K105,5,FALSE),0)/1000+ROUND(T12,3)),ROUND(VLOOKUP(S12,A6:E105,5,FALSE),0)/1000+ROUND(T12,3)))))</f>
        <v/>
      </c>
      <c r="W12" s="18" t="str">
        <f>IF(OR(NOT(EXACT(UPPER(S12),"TBM")),T12=""),IF(AND(T12&lt;&gt;"",U12="",V12&lt;&gt;""),"",IF(AND(T12="",U12&lt;&gt;"",V12&lt;&gt;""),ROUND(ROUND(V12,3)-ROUND(U12,3),3)*1000,IF(AND(T12&lt;&gt;"",U12&lt;&gt;"",V12&lt;&gt;""),ROUND(ROUND(V11,3)-ROUND(U12,3),3)*1000,""))),"")</f>
        <v/>
      </c>
      <c r="X12" s="45" t="str">
        <f>IF(AND(NOT(ISNA(VLOOKUP(S12,A6:E105,5,FALSE))),T12="",U12&lt;&gt;""),ROUND((VLOOKUP(S12,A6:E105,5,FALSE)-W12)/1000,3),IF(AND(NOT(ISNA(VLOOKUP(S12,G6:K105,5,FALSE))),T12="",U12&lt;&gt;""),ROUND((VLOOKUP(S12,G6:K105,5,FALSE)-W12)/1000,3),IF(AND(NOT(ISNA(VLOOKUP(S12,M6:Q105,5,FALSE))),T12="",U12&lt;&gt;""),ROUND((VLOOKUP(S12,M6:Q105,5,FALSE)-W12)/1000,3),IF(AND(NOT(ISNA(VLOOKUP(S12,S6:W11,5,FALSE))),T12="",U12&lt;&gt;""),ROUND((VLOOKUP(S12,S6:W11,5,FALSE)-W12)/1000,3),""))))</f>
        <v/>
      </c>
      <c r="Y12" s="19">
        <f>IF(Y11="","",Y11+1)</f>
        <v>406</v>
      </c>
      <c r="Z12" s="39"/>
      <c r="AA12" s="39"/>
      <c r="AB12" s="15" t="str">
        <f>IF(AND(Z12&lt;&gt;"",AA12&lt;&gt;""),ROUND(Z12,3)+ROUND(AB11,3)-ROUND(AA12,3),IF(AND(EXACT(UPPER(Y12),"TBM"),Z12&lt;&gt;""),ROUND(Z12,3),IF(Z12="",AB11,IF(ISNA(VLOOKUP(Y12,A6:E105,5,FALSE)),IF(ISNA(VLOOKUP(Y12,G6:K105,5,FALSE)),IF(ISNA(VLOOKUP(Y12,M6:Q105,5,FALSE)),IF(ISNA(VLOOKUP(Y12,S6:W105,5,FALSE)),IF(ISNA(VLOOKUP(Y12,Y6:AC11,5,FALSE)),"",ROUND(VLOOKUP(Y12,Y6:AC11,5,FALSE),0)/1000+ROUND(Z12,3)),ROUND(VLOOKUP(Y12,S6:W105,5,FALSE),0)/1000+ROUND(Z12,3)),ROUND(VLOOKUP(Y12,M6:Q105,5,FALSE),0)/1000+ROUND(Z12,3)),ROUND(VLOOKUP(Y12,G6:K105,5,FALSE),0)/1000+ROUND(Z12,3)),ROUND(VLOOKUP(Y12,A6:E105,5,FALSE),0)/1000+ROUND(Z12,3)))))</f>
        <v/>
      </c>
      <c r="AC12" s="18" t="str">
        <f>IF(OR(NOT(EXACT(UPPER(Y12),"TBM")),Z12=""),IF(AND(Z12&lt;&gt;"",AA12="",AB12&lt;&gt;""),"",IF(AND(Z12="",AA12&lt;&gt;"",AB12&lt;&gt;""),ROUND(ROUND(AB12,3)-ROUND(AA12,3),3)*1000,IF(AND(Z12&lt;&gt;"",AA12&lt;&gt;"",AB12&lt;&gt;""),ROUND(ROUND(AB11,3)-ROUND(AA12,3),3)*1000,""))),"")</f>
        <v/>
      </c>
      <c r="AD12" s="45" t="str">
        <f>IF(AND(NOT(ISNA(VLOOKUP(Y12,A6:E105,5,FALSE))),Z12="",AA12&lt;&gt;""),ROUND((VLOOKUP(Y12,A6:E105,5,FALSE)-AC12)/1000,3),IF(AND(NOT(ISNA(VLOOKUP(Y12,G6:K105,5,FALSE))),Z12="",AA12&lt;&gt;""),ROUND((VLOOKUP(Y12,G6:K105,5,FALSE)-AC12)/1000,3),IF(AND(NOT(ISNA(VLOOKUP(Y12,M6:Q105,5,FALSE))),Z12="",AA12&lt;&gt;""),ROUND((VLOOKUP(Y12,M6:Q105,5,FALSE)-AC12)/1000,3),IF(AND(NOT(ISNA(VLOOKUP(Y12,S6:W105,5,FALSE))),Z12="",AA12&lt;&gt;""),ROUND((VLOOKUP(Y12,S6:W105,5,FALSE)-AC12)/1000,3),IF(AND(NOT(ISNA(VLOOKUP(Y12,Y6:AC11,5,FALSE))),Z12="",AA12&lt;&gt;""),ROUND((VLOOKUP(Y12,Y6:AC11,5,FALSE)-AC12)/1000,3),"")))))</f>
        <v/>
      </c>
      <c r="AE12" s="19">
        <f>IF(AE11="","",AE11+1)</f>
        <v>506</v>
      </c>
      <c r="AF12" s="39"/>
      <c r="AG12" s="39"/>
      <c r="AH12" s="15" t="str">
        <f>IF(AND(AF12&lt;&gt;"",AG12&lt;&gt;""),ROUND(AF12,3)+ROUND(AH11,3)-ROUND(AG12,3),IF(AND(EXACT(UPPER(AE12),"TBM"),AF12&lt;&gt;""),ROUND(AF12,3),IF(AF12="",AH11,IF(ISNA(VLOOKUP(AE12,A6:E105,5,FALSE)),IF(ISNA(VLOOKUP(AE12,G6:K105,5,FALSE)),IF(ISNA(VLOOKUP(AE12,M6:Q105,5,FALSE)),IF(ISNA(VLOOKUP(AE12,S6:W105,5,FALSE)),IF(ISNA(VLOOKUP(AE12,Y6:AC105,5,FALSE)),IF(ISNA(VLOOKUP(AE12,AE6:AI11,5,FALSE)),"",ROUND(VLOOKUP(AE12,AE6:AI11,5,FALSE),0)/1000+ROUND(AF12,3)),ROUND(VLOOKUP(AE12,Y6:AC105,5,FALSE),0)/1000+ROUND(AF12,3)),ROUND(VLOOKUP(AE12,S6:W105,5,FALSE),0)/1000+ROUND(AF12,3)),ROUND(VLOOKUP(AE12,M6:Q105,5,FALSE),0)/1000+ROUND(AF12,3)),ROUND(VLOOKUP(AE12,G6:K105,5,FALSE),0)/1000+ROUND(AF12,3)),ROUND(VLOOKUP(AE12,A6:E105,5,FALSE),0)/1000+ROUND(AF12,3)))))</f>
        <v/>
      </c>
      <c r="AI12" s="18" t="str">
        <f>IF(OR(NOT(EXACT(UPPER(AE12),"TBM")),AF12=""),IF(AND(AF12&lt;&gt;"",AG12="",AH12&lt;&gt;""),"",IF(AND(AF12="",AG12&lt;&gt;"",AH12&lt;&gt;""),ROUND(ROUND(AH12,3)-ROUND(AG12,3),3)*1000,IF(AND(AF12&lt;&gt;"",AG12&lt;&gt;"",AH12&lt;&gt;""),ROUND(ROUND(AH11,3)-ROUND(AG12,3),3)*1000,""))),"")</f>
        <v/>
      </c>
      <c r="AJ12" s="45" t="str">
        <f>IF(AND(NOT(ISNA(VLOOKUP(AE12,A6:E105,5,FALSE))),AF12="",AG12&lt;&gt;""),ROUND((VLOOKUP(AE12,A6:E105,5,FALSE)-AI12)/1000,3),IF(AND(NOT(ISNA(VLOOKUP(AE12,G6:K105,5,FALSE))),AF12="",AG12&lt;&gt;""),ROUND((VLOOKUP(AE12,G6:K105,5,FALSE)-AI12)/1000,3),IF(AND(NOT(ISNA(VLOOKUP(AE12,M6:Q105,5,FALSE))),AF12="",AG12&lt;&gt;""),ROUND((VLOOKUP(AE12,M6:Q105,5,FALSE)-AI12)/1000,3),IF(AND(NOT(ISNA(VLOOKUP(AE12,S6:W105,5,FALSE))),AF12="",AG12&lt;&gt;""),ROUND((VLOOKUP(AE12,S6:W105,5,FALSE)-AI12)/1000,3),IF(AND(NOT(ISNA(VLOOKUP(AE12,Y6:AC105,5,FALSE))),AF12="",AG12&lt;&gt;""),ROUND((VLOOKUP(AE12,Y6:AC105,5,FALSE)-AI12)/1000,3),IF(AND(NOT(ISNA(VLOOKUP(AE12,AE6:AI11,5,FALSE))),AF12="",AG12&lt;&gt;""),ROUND((VLOOKUP(AE12,AE6:AI11,5,FALSE)-AI12)/1000,3),""))))))</f>
        <v/>
      </c>
      <c r="AK12" s="19">
        <f>IF(AK11="","",AK11+1)</f>
        <v>606</v>
      </c>
      <c r="AL12" s="39"/>
      <c r="AM12" s="39"/>
      <c r="AN12" s="15" t="str">
        <f>IF(AND(AL12&lt;&gt;"",AM12&lt;&gt;""),ROUND(AL12,3)+ROUND(AN11,3)-ROUND(AM12,3),IF(AND(EXACT(UPPER(AK12),"TBM"),AL12&lt;&gt;""),ROUND(AL12,3),IF(AL12="",AN11,IF(ISNA(VLOOKUP(AK12,A6:E105,5,FALSE)),IF(ISNA(VLOOKUP(AK12,G6:K105,5,FALSE)),IF(ISNA(VLOOKUP(AK12,M6:Q105,5,FALSE)),IF(ISNA(VLOOKUP(AK12,S6:W105,5,FALSE)),IF(ISNA(VLOOKUP(AK12,Y6:AC105,5,FALSE)),IF(ISNA(VLOOKUP(AK12,AE6:AI105,5,FALSE)),IF(ISNA(VLOOKUP(AK12,AK6:AO11,5,FALSE)),"",ROUND(VLOOKUP(AK12,AK6:AO11,5,FALSE),0)/1000+ROUND(AL12,3)),ROUND(VLOOKUP(AK12,AE6:AI105,5,FALSE),0)/1000+ROUND(AL12,3)),ROUND(VLOOKUP(AK12,Y6:AC105,5,FALSE),0)/1000+ROUND(AL12,3)),ROUND(VLOOKUP(AK12,S6:W105,5,FALSE),0)/1000+ROUND(AL12,3)),ROUND(VLOOKUP(AK12,M6:Q105,5,FALSE),0)/1000+ROUND(AL12,3)),ROUND(VLOOKUP(AK12,G6:K105,5,FALSE),0)/1000+ROUND(AL12,3)),ROUND(VLOOKUP(AK12,A6:E105,5,FALSE),0)/1000+ROUND(AL12,3)))))</f>
        <v/>
      </c>
      <c r="AO12" s="18" t="str">
        <f>IF(OR(NOT(EXACT(UPPER(AK12),"TBM")),AL12=""),IF(AND(AL12&lt;&gt;"",AM12="",AN12&lt;&gt;""),"",IF(AND(AL12="",AM12&lt;&gt;"",AN12&lt;&gt;""),ROUND(ROUND(AN12,3)-ROUND(AM12,3),3)*1000,IF(AND(AL12&lt;&gt;"",AM12&lt;&gt;"",AN12&lt;&gt;""),ROUND(ROUND(AN11,3)-ROUND(AM12,3),3)*1000,""))),"")</f>
        <v/>
      </c>
      <c r="AP12" s="45" t="str">
        <f>IF(AND(NOT(ISNA(VLOOKUP(AK12,A6:E105,5,FALSE))),AL12="",AM12&lt;&gt;""),ROUND((VLOOKUP(AK12,A6:E105,5,FALSE)-AO12)/1000,3),IF(AND(NOT(ISNA(VLOOKUP(AK12,G6:K105,5,FALSE))),AL12="",AM12&lt;&gt;""),ROUND((VLOOKUP(AK12,G6:K105,5,FALSE)-AO12)/1000,3),IF(AND(NOT(ISNA(VLOOKUP(AK12,M6:Q105,5,FALSE))),AL12="",AM12&lt;&gt;""),ROUND((VLOOKUP(AK12,M6:Q105,5,FALSE)-AO12)/1000,3),IF(AND(NOT(ISNA(VLOOKUP(AK12,S6:W105,5,FALSE))),AL12="",AM12&lt;&gt;""),ROUND((VLOOKUP(AK12,S6:W105,5,FALSE)-AO12)/1000,3),IF(AND(NOT(ISNA(VLOOKUP(AK12,Y6:AC105,5,FALSE))),AL12="",AM12&lt;&gt;""),ROUND((VLOOKUP(AK12,Y6:AC105,5,FALSE)-AO12)/1000,3),IF(AND(NOT(ISNA(VLOOKUP(AK12,AE6:AI105,5,FALSE))),AL12="",AM12&lt;&gt;""),ROUND((VLOOKUP(AK12,AE6:AI105,5,FALSE)-AO12)/1000,3),IF(AND(NOT(ISNA(VLOOKUP(AK12,AK6:AO11,5,FALSE))),AL12="",AM12&lt;&gt;""),ROUND((VLOOKUP(AK12,AK6:AO11,5,FALSE)-AO12)/1000,3),"")))))))</f>
        <v/>
      </c>
      <c r="AQ12" s="19">
        <f>IF(AQ11="","",AQ11+1)</f>
        <v>706</v>
      </c>
      <c r="AR12" s="39"/>
      <c r="AS12" s="39"/>
      <c r="AT12" s="15" t="str">
        <f>IF(AND(AR12&lt;&gt;"",AS12&lt;&gt;""),ROUND(AR12,3)+ROUND(AT11,3)-ROUND(AS12,3),IF(AND(EXACT(UPPER(AQ12),"TBM"),AR12&lt;&gt;""),ROUND(AR12,3),IF(AR12="",AT11,IF(ISNA(VLOOKUP(AQ12,A6:E105,5,FALSE)),IF(ISNA(VLOOKUP(AQ12,G6:K105,5,FALSE)),IF(ISNA(VLOOKUP(AQ12,M6:Q105,5,FALSE)),IF(ISNA(VLOOKUP(AQ12,S6:W105,5,FALSE)),IF(ISNA(VLOOKUP(AQ12,Y6:AC105,5,FALSE)),IF(ISNA(VLOOKUP(AQ12,AE6:AI105,5,FALSE)),IF(ISNA(VLOOKUP(AQ12,AK6:AO105,5,FALSE)),IF(ISNA(VLOOKUP(AQ12,AQ6:AU11,5,FALSE)),"",ROUND(VLOOKUP(AQ12,AQ6:AU11,5,FALSE),0)/1000+ROUND(AR12,3)),ROUND(VLOOKUP(AQ12,AK6:AO105,5,FALSE),0)/1000+ROUND(AR12,3)),ROUND(VLOOKUP(AQ12,AE6:AI105,5,FALSE),0)/1000+ROUND(AR12,3)),ROUND(VLOOKUP(AQ12,Y6:AC105,5,FALSE),0)/1000+ROUND(AR12,3)),ROUND(VLOOKUP(AQ12,S6:W105,5,FALSE),0)/1000+ROUND(AR12,3)),ROUND(VLOOKUP(AQ12,M6:Q105,5,FALSE),0)/1000+ROUND(AR12,3)),ROUND(VLOOKUP(AQ12,G6:K105,5,FALSE),0)/1000+ROUND(AR12,3)),ROUND(VLOOKUP(AQ12,A6:E105,5,FALSE),0)/1000+ROUND(AR12,3)))))</f>
        <v/>
      </c>
      <c r="AU12" s="18" t="str">
        <f>IF(OR(NOT(EXACT(UPPER(AQ12),"TBM")),AR12=""),IF(AND(AR12&lt;&gt;"",AS12="",AT12&lt;&gt;""),"",IF(AND(AR12="",AS12&lt;&gt;"",AT12&lt;&gt;""),ROUND(ROUND(AT12,3)-ROUND(AS12,3),3)*1000,IF(AND(AR12&lt;&gt;"",AS12&lt;&gt;"",AT12&lt;&gt;""),ROUND(ROUND(AT11,3)-ROUND(AS12,3),3)*1000,""))),"")</f>
        <v/>
      </c>
      <c r="AV12" s="45" t="str">
        <f>IF(AND(NOT(ISNA(VLOOKUP(AQ12,A6:E105,5,FALSE))),AR12="",AS12&lt;&gt;""),ROUND((VLOOKUP(AQ12,A6:E105,5,FALSE)-AU12)/1000,3),IF(AND(NOT(ISNA(VLOOKUP(AQ12,G6:K105,5,FALSE))),AR12="",AS12&lt;&gt;""),ROUND((VLOOKUP(AQ12,G6:K105,5,FALSE)-AU12)/1000,3),IF(AND(NOT(ISNA(VLOOKUP(AQ12,M6:Q105,5,FALSE))),AR12="",AS12&lt;&gt;""),ROUND((VLOOKUP(AQ12,M6:Q105,5,FALSE)-AU12)/1000,3),IF(AND(NOT(ISNA(VLOOKUP(AQ12,S6:W105,5,FALSE))),AR12="",AS12&lt;&gt;""),ROUND((VLOOKUP(AQ12,S6:W105,5,FALSE)-AU12)/1000,3),IF(AND(NOT(ISNA(VLOOKUP(AQ12,Y6:AC105,5,FALSE))),AR12="",AS12&lt;&gt;""),ROUND((VLOOKUP(AQ12,Y6:AC105,5,FALSE)-AU12)/1000,3),IF(AND(NOT(ISNA(VLOOKUP(AQ12,AE6:AI105,5,FALSE))),AR12="",AS12&lt;&gt;""),ROUND((VLOOKUP(AQ12,AE6:AI105,5,FALSE)-AU12)/1000,3),IF(AND(NOT(ISNA(VLOOKUP(AQ12,AK6:AO105,5,FALSE))),AR12="",AS12&lt;&gt;""),ROUND((VLOOKUP(AQ12,AK6:AO105,5,FALSE)-AU12)/1000,3),IF(AND(NOT(ISNA(VLOOKUP(AQ12,AQ6:AU11,5,FALSE))),AR12="",AS12&lt;&gt;""),ROUND((VLOOKUP(AQ12,AQ6:AU11,5,FALSE)-AU12)/1000,3),""))))))))</f>
        <v/>
      </c>
      <c r="AW12" s="19">
        <f>IF(AW11="","",AW11+1)</f>
        <v>806</v>
      </c>
      <c r="AX12" s="39"/>
      <c r="AY12" s="39"/>
      <c r="AZ12" s="15" t="str">
        <f>IF(AND(AX12&lt;&gt;"",AY12&lt;&gt;""),ROUND(AX12,3)+ROUND(AZ11,3)-ROUND(AY12,3),IF(AND(EXACT(UPPER(AW12),"TBM"),AX12&lt;&gt;""),ROUND(AX12,3),IF(AX12="",AZ11,IF(ISNA(VLOOKUP(AW12,A6:E105,5,FALSE)),IF(ISNA(VLOOKUP(AW12,G6:K105,5,FALSE)),IF(ISNA(VLOOKUP(AW12,M6:Q105,5,FALSE)),IF(ISNA(VLOOKUP(AW12,S6:W105,5,FALSE)),IF(ISNA(VLOOKUP(AW12,Y6:AC105,5,FALSE)),IF(ISNA(VLOOKUP(AW12,AE6:AI105,5,FALSE)),IF(ISNA(VLOOKUP(AW12,AK6:AO105,5,FALSE)),IF(ISNA(VLOOKUP(AW12,AQ6:AU105,5,FALSE)),IF(ISNA(VLOOKUP(AW12,AW6:BA11,5,FALSE)),"",ROUND(VLOOKUP(AW12,AW6:BA11,5,FALSE),0)/1000+ROUND(AX12,3)),ROUND(VLOOKUP(AW12,AQ6:AU105,5,FALSE),0)/1000+ROUND(AX12,3)),ROUND(VLOOKUP(AW12,AK6:AO105,5,FALSE),0)/1000+ROUND(AX12,3)),ROUND(VLOOKUP(AW12,AE6:AI105,5,FALSE),0)/1000+ROUND(AX12,3)),ROUND(VLOOKUP(AW12,Y6:AC105,5,FALSE),0)/1000+ROUND(AX12,3)),ROUND(VLOOKUP(AW12,S6:W105,5,FALSE),0)/1000+ROUND(AX12,3)),ROUND(VLOOKUP(AW12,M6:Q105,5,FALSE),0)/1000+ROUND(AX12,3)),ROUND(VLOOKUP(AW12,G6:K105,5,FALSE),0)/1000+ROUND(AX12,3)),ROUND(VLOOKUP(AW12,A6:E105,5,FALSE),0)/1000+ROUND(AX12,3)))))</f>
        <v/>
      </c>
      <c r="BA12" s="18" t="str">
        <f>IF(OR(NOT(EXACT(UPPER(AW12),"TBM")),AX12=""),IF(AND(AX12&lt;&gt;"",AY12="",AZ12&lt;&gt;""),"",IF(AND(AX12="",AY12&lt;&gt;"",AZ12&lt;&gt;""),ROUND(ROUND(AZ12,3)-ROUND(AY12,3),3)*1000,IF(AND(AX12&lt;&gt;"",AY12&lt;&gt;"",AZ12&lt;&gt;""),ROUND(ROUND(AZ11,3)-ROUND(AY12,3),3)*1000,""))),"")</f>
        <v/>
      </c>
      <c r="BB12" s="45" t="str">
        <f>IF(AND(NOT(ISNA(VLOOKUP(AW12,A6:E105,5,FALSE))),AX12="",AY12&lt;&gt;""),ROUND((VLOOKUP(AW12,A6:E105,5,FALSE)-BA12)/1000,3),IF(AND(NOT(ISNA(VLOOKUP(AW12,G6:K105,5,FALSE))),AX12="",AY12&lt;&gt;""),ROUND((VLOOKUP(AW12,G6:K105,5,FALSE)-BA12)/1000,3),IF(AND(NOT(ISNA(VLOOKUP(AW12,M6:Q105,5,FALSE))),AX12="",AY12&lt;&gt;""),ROUND((VLOOKUP(AW12,M6:Q105,5,FALSE)-BA12)/1000,3),IF(AND(NOT(ISNA(VLOOKUP(AW12,S6:W105,5,FALSE))),AX12="",AY12&lt;&gt;""),ROUND((VLOOKUP(AW12,S6:W105,5,FALSE)-BA12)/1000,3),IF(AND(NOT(ISNA(VLOOKUP(AW12,Y6:AC105,5,FALSE))),AX12="",AY12&lt;&gt;""),ROUND((VLOOKUP(AW12,Y6:AC105,5,FALSE)-BA12)/1000,3),IF(AND(NOT(ISNA(VLOOKUP(AW12,AE6:AI105,5,FALSE))),AX12="",AY12&lt;&gt;""),ROUND((VLOOKUP(AW12,AE6:AI105,5,FALSE)-BA12)/1000,3),IF(AND(NOT(ISNA(VLOOKUP(AW12,AK6:AO105,5,FALSE))),AX12="",AY12&lt;&gt;""),ROUND((VLOOKUP(AW12,AK6:AO105,5,FALSE)-BA12)/1000,3),IF(AND(NOT(ISNA(VLOOKUP(AW12,AQ6:AU105,5,FALSE))),AX12="",AY12&lt;&gt;""),ROUND((VLOOKUP(AW12,AQ6:AU105,5,FALSE)-BA12)/1000,3),IF(AND(NOT(ISNA(VLOOKUP(AW12,AW6:BA11,5,FALSE))),AX12="",AY12&lt;&gt;""),ROUND((VLOOKUP(AW12,AW6:BA11,5,FALSE)-BA12)/1000,3),"")))))))))</f>
        <v/>
      </c>
      <c r="BC12" s="19">
        <f>IF(BC11="","",BC11+1)</f>
        <v>906</v>
      </c>
      <c r="BD12" s="39"/>
      <c r="BE12" s="39"/>
      <c r="BF12" s="15" t="str">
        <f>IF(AND(BD12&lt;&gt;"",BE12&lt;&gt;""),ROUND(BD12,3)+ROUND(BF11,3)-ROUND(BE12,3),IF(AND(EXACT(UPPER(BC12),"TBM"),BD12&lt;&gt;""),ROUND(BD12,3),IF(BD12="",BF11,IF(ISNA(VLOOKUP(BC12,A6:E105,5,FALSE)),IF(ISNA(VLOOKUP(BC12,G6:K105,5,FALSE)),IF(ISNA(VLOOKUP(BC12,M6:Q105,5,FALSE)),IF(ISNA(VLOOKUP(BC12,S6:W105,5,FALSE)),IF(ISNA(VLOOKUP(BC12,Y6:AC105,5,FALSE)),IF(ISNA(VLOOKUP(BC12,AE6:AI105,5,FALSE)),IF(ISNA(VLOOKUP(BC12,AK6:AO105,5,FALSE)),IF(ISNA(VLOOKUP(BC12,AQ6:AU105,5,FALSE)),IF(ISNA(VLOOKUP(BC12,AW6:BA105,5,FALSE)),IF(ISNA(VLOOKUP(BC12,BC6:BG11,5,FALSE)),"",ROUND(VLOOKUP(BC12,BC6:BG11,5,FALSE),0)/1000+ROUND(BD12,3)),ROUND(VLOOKUP(BC12,AW6:BA105,5,FALSE),0)/1000+ROUND(BD12,3)),ROUND(VLOOKUP(BC12,AQ6:AU105,5,FALSE),0)/1000+ROUND(BD12,3)),ROUND(VLOOKUP(BC12,AK6:AO105,5,FALSE),0)/1000+ROUND(BD12,3)),ROUND(VLOOKUP(BC12,AE6:AI105,5,FALSE),0)/1000+ROUND(BD12,3)),ROUND(VLOOKUP(BC12,Y6:AC105,5,FALSE),0)/1000+ROUND(BD12,3)),ROUND(VLOOKUP(BC12,S6:W105,5,FALSE),0)/1000+ROUND(BD12,3)),ROUND(VLOOKUP(BC12,M6:Q105,5,FALSE),0)/1000+ROUND(BD12,3)),ROUND(VLOOKUP(BC12,G6:K105,5,FALSE),0)/1000+ROUND(BD12,3)),ROUND(VLOOKUP(BC12,A6:E105,5,FALSE),0)/1000+ROUND(BD12,3)))))</f>
        <v/>
      </c>
      <c r="BG12" s="18" t="str">
        <f>IF(OR(NOT(EXACT(UPPER(BC12),"TBM")),BD12=""),IF(AND(BD12&lt;&gt;"",BE12="",BF12&lt;&gt;""),"",IF(AND(BD12="",BE12&lt;&gt;"",BF12&lt;&gt;""),ROUND(ROUND(BF12,3)-ROUND(BE12,3),3)*1000,IF(AND(BD12&lt;&gt;"",BE12&lt;&gt;"",BF12&lt;&gt;""),ROUND(ROUND(BF11,3)-ROUND(BE12,3),3)*1000,""))),"")</f>
        <v/>
      </c>
      <c r="BH12" s="45" t="str">
        <f>IF(AND(NOT(ISNA(VLOOKUP(BC12,A6:E105,5,FALSE))),BD12="",BE12&lt;&gt;""),ROUND((VLOOKUP(BC12,A6:E105,5,FALSE)-BG12)/1000,3),IF(AND(NOT(ISNA(VLOOKUP(BC12,G6:K105,5,FALSE))),BD12="",BE12&lt;&gt;""),ROUND((VLOOKUP(BC12,G6:K105,5,FALSE)-BG12)/1000,3),IF(AND(NOT(ISNA(VLOOKUP(BC12,M6:Q105,5,FALSE))),BD12="",BE12&lt;&gt;""),ROUND((VLOOKUP(BC12,M6:Q105,5,FALSE)-BG12)/1000,3),IF(AND(NOT(ISNA(VLOOKUP(BC12,S6:W105,5,FALSE))),BD12="",BE12&lt;&gt;""),ROUND((VLOOKUP(BC12,S6:W105,5,FALSE)-BG12)/1000,3),IF(AND(NOT(ISNA(VLOOKUP(BC12,Y6:AC105,5,FALSE))),BD12="",BE12&lt;&gt;""),ROUND((VLOOKUP(BC12,Y6:AC105,5,FALSE)-BG12)/1000,3),IF(AND(NOT(ISNA(VLOOKUP(BC12,AE6:AI105,5,FALSE))),BD12="",BE12&lt;&gt;""),ROUND((VLOOKUP(BC12,AE6:AI105,5,FALSE)-BG12)/1000,3),IF(AND(NOT(ISNA(VLOOKUP(BC12,AK6:AO105,5,FALSE))),BD12="",BE12&lt;&gt;""),ROUND((VLOOKUP(BC12,AK6:AO105,5,FALSE)-BG12)/1000,3),IF(AND(NOT(ISNA(VLOOKUP(BC12,AQ6:AU105,5,FALSE))),BD12="",BE12&lt;&gt;""),ROUND((VLOOKUP(BC12,AQ6:AU105,5,FALSE)-BG12)/1000,3),IF(AND(NOT(ISNA(VLOOKUP(BC12,AW6:BA105,5,FALSE))),BD12="",BE12&lt;&gt;""),ROUND((VLOOKUP(BC12,AW6:BA105,5,FALSE)-BG12)/1000,3),IF(AND(NOT(ISNA(VLOOKUP(BC12,BC6:BG11,5,FALSE))),BD12="",BE12&lt;&gt;""),ROUND((VLOOKUP(BC12,BC6:BG11,5,FALSE)-BG12)/1000,3),""))))))))))</f>
        <v/>
      </c>
    </row>
    <row r="13" spans="1:60" x14ac:dyDescent="0.25">
      <c r="A13" s="19">
        <f t="shared" si="3"/>
        <v>7</v>
      </c>
      <c r="B13" s="39"/>
      <c r="C13" s="39"/>
      <c r="D13" s="15" t="str">
        <f>IF(AND(B13&lt;&gt;"",C13&lt;&gt;""),ROUND(B13,3)+ROUND(D12,3)-ROUND(C13,3),IF(AND(EXACT(UPPER(A13),"TBM"),B13&lt;&gt;""),ROUND(B13,3),IF(B13="",D12,IF(ISNA(VLOOKUP(A13,A6:E12,5,FALSE)),"",ROUND(VLOOKUP(A13,A6:E12,5,FALSE),0)/1000+ROUND(B13,3)))))</f>
        <v/>
      </c>
      <c r="E13" s="22" t="str">
        <f t="shared" si="0"/>
        <v/>
      </c>
      <c r="F13" s="44" t="str">
        <f>IF(AND(NOT(ISNA(VLOOKUP(A13,A6:E12,5,FALSE))),B13="",C13&lt;&gt;""),ROUND((VLOOKUP(A13,A6:E12,5,FALSE)-E13)/1000,3),"")</f>
        <v/>
      </c>
      <c r="G13" s="19">
        <f t="shared" si="1"/>
        <v>107</v>
      </c>
      <c r="H13" s="43"/>
      <c r="I13" s="43"/>
      <c r="J13" s="15" t="str">
        <f>IF(AND(H13&lt;&gt;"",I13&lt;&gt;""),ROUND(H13,3)+ROUND(J12,3)-ROUND(I13,3),IF(AND(EXACT(UPPER(G13),"TBM"),H13&lt;&gt;""),ROUND(H13,3),IF(H13="",J12,IF(ISNA(VLOOKUP(G13,A6:E105,5,FALSE)),IF(ISNA(VLOOKUP(G13,G6:K12,5,FALSE)),"",ROUND(VLOOKUP(G13,G6:K12,5,FALSE),0)/1000+ROUND(H13,3)),ROUND(VLOOKUP(G13,A6:E105,5,FALSE),0)/1000+ROUND(H13,3)))))</f>
        <v/>
      </c>
      <c r="K13" s="18" t="str">
        <f t="shared" si="2"/>
        <v/>
      </c>
      <c r="L13" s="44" t="str">
        <f>IF(AND(NOT(ISNA(VLOOKUP(G13,A6:E105,5,FALSE))),H13="",I13&lt;&gt;""),ROUND((VLOOKUP(G13,A6:E105,5,FALSE)-K13)/1000,3),IF(AND(NOT(ISNA(VLOOKUP(G13,G6:K12,5,FALSE))),H13="",I13&lt;&gt;""),ROUND((VLOOKUP(G13,G6:K12,5,FALSE)-K13)/1000,3),""))</f>
        <v/>
      </c>
      <c r="M13" s="19">
        <f>IF(M12="","",M12+1)</f>
        <v>207</v>
      </c>
      <c r="N13" s="43"/>
      <c r="O13" s="43"/>
      <c r="P13" s="15" t="str">
        <f>IF(AND(N13&lt;&gt;"",O13&lt;&gt;""),ROUND(N13,3)+ROUND(P12,3)-ROUND(O13,3),IF(AND(EXACT(UPPER(M13),"TBM"),N13&lt;&gt;""),ROUND(N13,3),IF(N13="",P12,IF(ISNA(VLOOKUP(M13,A6:E105,5,FALSE)),IF(ISNA(VLOOKUP(M13,G6:K105,5,FALSE)),IF(ISNA(VLOOKUP(M13,M6:Q12,5,FALSE)),"",ROUND(VLOOKUP(M13,M6:Q12,5,FALSE),0)/1000+ROUND(N13,3)),ROUND(VLOOKUP(M13,G6:K105,5,FALSE),0)/1000+ROUND(N13,3)),ROUND(VLOOKUP(M13,A6:E105,5,FALSE),0)/1000+ROUND(N13,3)))))</f>
        <v/>
      </c>
      <c r="Q13" s="18" t="str">
        <f>IF(OR(NOT(EXACT(UPPER(M13),"TBM")),N13=""),IF(AND(N13&lt;&gt;"",O13="",P13&lt;&gt;""),"",IF(AND(N13="",O13&lt;&gt;"",P13&lt;&gt;""),ROUND(ROUND(P13,3)-ROUND(O13,3),3)*1000,IF(AND(N13&lt;&gt;"",O13&lt;&gt;"",P13&lt;&gt;""),ROUND(ROUND(P12,3)-ROUND(O13,3),3)*1000,""))),"")</f>
        <v/>
      </c>
      <c r="R13" s="44" t="str">
        <f>IF(AND(NOT(ISNA(VLOOKUP(M13,A6:E105,5,FALSE))),N13="",O13&lt;&gt;""),ROUND((VLOOKUP(M13,A6:E105,5,FALSE)-Q13)/1000,3),IF(AND(NOT(ISNA(VLOOKUP(M13,G6:K105,5,FALSE))),N13="",O13&lt;&gt;""),ROUND((VLOOKUP(M13,G6:K105,5,FALSE)-Q13)/1000,3),IF(AND(NOT(ISNA(VLOOKUP(M13,M6:Q12,5,FALSE))),N13="",O13&lt;&gt;""),ROUND((VLOOKUP(M13,M6:Q12,5,FALSE)-Q13)/1000,3),"")))</f>
        <v/>
      </c>
      <c r="S13" s="19">
        <f>IF(S12="","",S12+1)</f>
        <v>307</v>
      </c>
      <c r="T13" s="43"/>
      <c r="U13" s="43"/>
      <c r="V13" s="15" t="str">
        <f>IF(AND(T13&lt;&gt;"",U13&lt;&gt;""),ROUND(T13,3)+ROUND(V12,3)-ROUND(U13,3),IF(AND(EXACT(UPPER(S13),"TBM"),T13&lt;&gt;""),ROUND(T13,3),IF(T13="",V12,IF(ISNA(VLOOKUP(S13,A6:E105,5,FALSE)),IF(ISNA(VLOOKUP(S13,G6:K105,5,FALSE)),IF(ISNA(VLOOKUP(S13,M6:Q105,5,FALSE)),IF(ISNA(VLOOKUP(S13,S6:W12,5,FALSE)),"",ROUND(VLOOKUP(S13,S6:W12,5,FALSE),0)/1000+ROUND(T13,3)),ROUND(VLOOKUP(S13,M6:Q105,5,FALSE),0)/1000+ROUND(T13,3)),ROUND(VLOOKUP(S13,G6:K105,5,FALSE),0)/1000+ROUND(T13,3)),ROUND(VLOOKUP(S13,A6:E105,5,FALSE),0)/1000+ROUND(T13,3)))))</f>
        <v/>
      </c>
      <c r="W13" s="18" t="str">
        <f>IF(OR(NOT(EXACT(UPPER(S13),"TBM")),T13=""),IF(AND(T13&lt;&gt;"",U13="",V13&lt;&gt;""),"",IF(AND(T13="",U13&lt;&gt;"",V13&lt;&gt;""),ROUND(ROUND(V13,3)-ROUND(U13,3),3)*1000,IF(AND(T13&lt;&gt;"",U13&lt;&gt;"",V13&lt;&gt;""),ROUND(ROUND(V12,3)-ROUND(U13,3),3)*1000,""))),"")</f>
        <v/>
      </c>
      <c r="X13" s="44" t="str">
        <f>IF(AND(NOT(ISNA(VLOOKUP(S13,A6:E105,5,FALSE))),T13="",U13&lt;&gt;""),ROUND((VLOOKUP(S13,A6:E105,5,FALSE)-W13)/1000,3),IF(AND(NOT(ISNA(VLOOKUP(S13,G6:K105,5,FALSE))),T13="",U13&lt;&gt;""),ROUND((VLOOKUP(S13,G6:K105,5,FALSE)-W13)/1000,3),IF(AND(NOT(ISNA(VLOOKUP(S13,M6:Q105,5,FALSE))),T13="",U13&lt;&gt;""),ROUND((VLOOKUP(S13,M6:Q105,5,FALSE)-W13)/1000,3),IF(AND(NOT(ISNA(VLOOKUP(S13,S6:W12,5,FALSE))),T13="",U13&lt;&gt;""),ROUND((VLOOKUP(S13,S6:W12,5,FALSE)-W13)/1000,3),""))))</f>
        <v/>
      </c>
      <c r="Y13" s="19">
        <f>IF(Y12="","",Y12+1)</f>
        <v>407</v>
      </c>
      <c r="Z13" s="43"/>
      <c r="AA13" s="43"/>
      <c r="AB13" s="15" t="str">
        <f>IF(AND(Z13&lt;&gt;"",AA13&lt;&gt;""),ROUND(Z13,3)+ROUND(AB12,3)-ROUND(AA13,3),IF(AND(EXACT(UPPER(Y13),"TBM"),Z13&lt;&gt;""),ROUND(Z13,3),IF(Z13="",AB12,IF(ISNA(VLOOKUP(Y13,A6:E105,5,FALSE)),IF(ISNA(VLOOKUP(Y13,G6:K105,5,FALSE)),IF(ISNA(VLOOKUP(Y13,M6:Q105,5,FALSE)),IF(ISNA(VLOOKUP(Y13,S6:W105,5,FALSE)),IF(ISNA(VLOOKUP(Y13,Y6:AC12,5,FALSE)),"",ROUND(VLOOKUP(Y13,Y6:AC12,5,FALSE),0)/1000+ROUND(Z13,3)),ROUND(VLOOKUP(Y13,S6:W105,5,FALSE),0)/1000+ROUND(Z13,3)),ROUND(VLOOKUP(Y13,M6:Q105,5,FALSE),0)/1000+ROUND(Z13,3)),ROUND(VLOOKUP(Y13,G6:K105,5,FALSE),0)/1000+ROUND(Z13,3)),ROUND(VLOOKUP(Y13,A6:E105,5,FALSE),0)/1000+ROUND(Z13,3)))))</f>
        <v/>
      </c>
      <c r="AC13" s="18" t="str">
        <f>IF(OR(NOT(EXACT(UPPER(Y13),"TBM")),Z13=""),IF(AND(Z13&lt;&gt;"",AA13="",AB13&lt;&gt;""),"",IF(AND(Z13="",AA13&lt;&gt;"",AB13&lt;&gt;""),ROUND(ROUND(AB13,3)-ROUND(AA13,3),3)*1000,IF(AND(Z13&lt;&gt;"",AA13&lt;&gt;"",AB13&lt;&gt;""),ROUND(ROUND(AB12,3)-ROUND(AA13,3),3)*1000,""))),"")</f>
        <v/>
      </c>
      <c r="AD13" s="44" t="str">
        <f>IF(AND(NOT(ISNA(VLOOKUP(Y13,A6:E105,5,FALSE))),Z13="",AA13&lt;&gt;""),ROUND((VLOOKUP(Y13,A6:E105,5,FALSE)-AC13)/1000,3),IF(AND(NOT(ISNA(VLOOKUP(Y13,G6:K105,5,FALSE))),Z13="",AA13&lt;&gt;""),ROUND((VLOOKUP(Y13,G6:K105,5,FALSE)-AC13)/1000,3),IF(AND(NOT(ISNA(VLOOKUP(Y13,M6:Q105,5,FALSE))),Z13="",AA13&lt;&gt;""),ROUND((VLOOKUP(Y13,M6:Q105,5,FALSE)-AC13)/1000,3),IF(AND(NOT(ISNA(VLOOKUP(Y13,S6:W105,5,FALSE))),Z13="",AA13&lt;&gt;""),ROUND((VLOOKUP(Y13,S6:W105,5,FALSE)-AC13)/1000,3),IF(AND(NOT(ISNA(VLOOKUP(Y13,Y6:AC12,5,FALSE))),Z13="",AA13&lt;&gt;""),ROUND((VLOOKUP(Y13,Y6:AC12,5,FALSE)-AC13)/1000,3),"")))))</f>
        <v/>
      </c>
      <c r="AE13" s="19">
        <f>IF(AE12="","",AE12+1)</f>
        <v>507</v>
      </c>
      <c r="AF13" s="43"/>
      <c r="AG13" s="43"/>
      <c r="AH13" s="15" t="str">
        <f>IF(AND(AF13&lt;&gt;"",AG13&lt;&gt;""),ROUND(AF13,3)+ROUND(AH12,3)-ROUND(AG13,3),IF(AND(EXACT(UPPER(AE13),"TBM"),AF13&lt;&gt;""),ROUND(AF13,3),IF(AF13="",AH12,IF(ISNA(VLOOKUP(AE13,A6:E105,5,FALSE)),IF(ISNA(VLOOKUP(AE13,G6:K105,5,FALSE)),IF(ISNA(VLOOKUP(AE13,M6:Q105,5,FALSE)),IF(ISNA(VLOOKUP(AE13,S6:W105,5,FALSE)),IF(ISNA(VLOOKUP(AE13,Y6:AC105,5,FALSE)),IF(ISNA(VLOOKUP(AE13,AE6:AI12,5,FALSE)),"",ROUND(VLOOKUP(AE13,AE6:AI12,5,FALSE),0)/1000+ROUND(AF13,3)),ROUND(VLOOKUP(AE13,Y6:AC105,5,FALSE),0)/1000+ROUND(AF13,3)),ROUND(VLOOKUP(AE13,S6:W105,5,FALSE),0)/1000+ROUND(AF13,3)),ROUND(VLOOKUP(AE13,M6:Q105,5,FALSE),0)/1000+ROUND(AF13,3)),ROUND(VLOOKUP(AE13,G6:K105,5,FALSE),0)/1000+ROUND(AF13,3)),ROUND(VLOOKUP(AE13,A6:E105,5,FALSE),0)/1000+ROUND(AF13,3)))))</f>
        <v/>
      </c>
      <c r="AI13" s="18" t="str">
        <f>IF(OR(NOT(EXACT(UPPER(AE13),"TBM")),AF13=""),IF(AND(AF13&lt;&gt;"",AG13="",AH13&lt;&gt;""),"",IF(AND(AF13="",AG13&lt;&gt;"",AH13&lt;&gt;""),ROUND(ROUND(AH13,3)-ROUND(AG13,3),3)*1000,IF(AND(AF13&lt;&gt;"",AG13&lt;&gt;"",AH13&lt;&gt;""),ROUND(ROUND(AH12,3)-ROUND(AG13,3),3)*1000,""))),"")</f>
        <v/>
      </c>
      <c r="AJ13" s="44" t="str">
        <f>IF(AND(NOT(ISNA(VLOOKUP(AE13,A6:E105,5,FALSE))),AF13="",AG13&lt;&gt;""),ROUND((VLOOKUP(AE13,A6:E105,5,FALSE)-AI13)/1000,3),IF(AND(NOT(ISNA(VLOOKUP(AE13,G6:K105,5,FALSE))),AF13="",AG13&lt;&gt;""),ROUND((VLOOKUP(AE13,G6:K105,5,FALSE)-AI13)/1000,3),IF(AND(NOT(ISNA(VLOOKUP(AE13,M6:Q105,5,FALSE))),AF13="",AG13&lt;&gt;""),ROUND((VLOOKUP(AE13,M6:Q105,5,FALSE)-AI13)/1000,3),IF(AND(NOT(ISNA(VLOOKUP(AE13,S6:W105,5,FALSE))),AF13="",AG13&lt;&gt;""),ROUND((VLOOKUP(AE13,S6:W105,5,FALSE)-AI13)/1000,3),IF(AND(NOT(ISNA(VLOOKUP(AE13,Y6:AC105,5,FALSE))),AF13="",AG13&lt;&gt;""),ROUND((VLOOKUP(AE13,Y6:AC105,5,FALSE)-AI13)/1000,3),IF(AND(NOT(ISNA(VLOOKUP(AE13,AE6:AI12,5,FALSE))),AF13="",AG13&lt;&gt;""),ROUND((VLOOKUP(AE13,AE6:AI12,5,FALSE)-AI13)/1000,3),""))))))</f>
        <v/>
      </c>
      <c r="AK13" s="19">
        <f>IF(AK12="","",AK12+1)</f>
        <v>607</v>
      </c>
      <c r="AL13" s="43"/>
      <c r="AM13" s="43"/>
      <c r="AN13" s="15" t="str">
        <f>IF(AND(AL13&lt;&gt;"",AM13&lt;&gt;""),ROUND(AL13,3)+ROUND(AN12,3)-ROUND(AM13,3),IF(AND(EXACT(UPPER(AK13),"TBM"),AL13&lt;&gt;""),ROUND(AL13,3),IF(AL13="",AN12,IF(ISNA(VLOOKUP(AK13,A6:E105,5,FALSE)),IF(ISNA(VLOOKUP(AK13,G6:K105,5,FALSE)),IF(ISNA(VLOOKUP(AK13,M6:Q105,5,FALSE)),IF(ISNA(VLOOKUP(AK13,S6:W105,5,FALSE)),IF(ISNA(VLOOKUP(AK13,Y6:AC105,5,FALSE)),IF(ISNA(VLOOKUP(AK13,AE6:AI105,5,FALSE)),IF(ISNA(VLOOKUP(AK13,AK6:AO12,5,FALSE)),"",ROUND(VLOOKUP(AK13,AK6:AO12,5,FALSE),0)/1000+ROUND(AL13,3)),ROUND(VLOOKUP(AK13,AE6:AI105,5,FALSE),0)/1000+ROUND(AL13,3)),ROUND(VLOOKUP(AK13,Y6:AC105,5,FALSE),0)/1000+ROUND(AL13,3)),ROUND(VLOOKUP(AK13,S6:W105,5,FALSE),0)/1000+ROUND(AL13,3)),ROUND(VLOOKUP(AK13,M6:Q105,5,FALSE),0)/1000+ROUND(AL13,3)),ROUND(VLOOKUP(AK13,G6:K105,5,FALSE),0)/1000+ROUND(AL13,3)),ROUND(VLOOKUP(AK13,A6:E105,5,FALSE),0)/1000+ROUND(AL13,3)))))</f>
        <v/>
      </c>
      <c r="AO13" s="18" t="str">
        <f>IF(OR(NOT(EXACT(UPPER(AK13),"TBM")),AL13=""),IF(AND(AL13&lt;&gt;"",AM13="",AN13&lt;&gt;""),"",IF(AND(AL13="",AM13&lt;&gt;"",AN13&lt;&gt;""),ROUND(ROUND(AN13,3)-ROUND(AM13,3),3)*1000,IF(AND(AL13&lt;&gt;"",AM13&lt;&gt;"",AN13&lt;&gt;""),ROUND(ROUND(AN12,3)-ROUND(AM13,3),3)*1000,""))),"")</f>
        <v/>
      </c>
      <c r="AP13" s="44" t="str">
        <f>IF(AND(NOT(ISNA(VLOOKUP(AK13,A6:E105,5,FALSE))),AL13="",AM13&lt;&gt;""),ROUND((VLOOKUP(AK13,A6:E105,5,FALSE)-AO13)/1000,3),IF(AND(NOT(ISNA(VLOOKUP(AK13,G6:K105,5,FALSE))),AL13="",AM13&lt;&gt;""),ROUND((VLOOKUP(AK13,G6:K105,5,FALSE)-AO13)/1000,3),IF(AND(NOT(ISNA(VLOOKUP(AK13,M6:Q105,5,FALSE))),AL13="",AM13&lt;&gt;""),ROUND((VLOOKUP(AK13,M6:Q105,5,FALSE)-AO13)/1000,3),IF(AND(NOT(ISNA(VLOOKUP(AK13,S6:W105,5,FALSE))),AL13="",AM13&lt;&gt;""),ROUND((VLOOKUP(AK13,S6:W105,5,FALSE)-AO13)/1000,3),IF(AND(NOT(ISNA(VLOOKUP(AK13,Y6:AC105,5,FALSE))),AL13="",AM13&lt;&gt;""),ROUND((VLOOKUP(AK13,Y6:AC105,5,FALSE)-AO13)/1000,3),IF(AND(NOT(ISNA(VLOOKUP(AK13,AE6:AI105,5,FALSE))),AL13="",AM13&lt;&gt;""),ROUND((VLOOKUP(AK13,AE6:AI105,5,FALSE)-AO13)/1000,3),IF(AND(NOT(ISNA(VLOOKUP(AK13,AK6:AO12,5,FALSE))),AL13="",AM13&lt;&gt;""),ROUND((VLOOKUP(AK13,AK6:AO12,5,FALSE)-AO13)/1000,3),"")))))))</f>
        <v/>
      </c>
      <c r="AQ13" s="19">
        <f>IF(AQ12="","",AQ12+1)</f>
        <v>707</v>
      </c>
      <c r="AR13" s="43"/>
      <c r="AS13" s="43"/>
      <c r="AT13" s="15" t="str">
        <f>IF(AND(AR13&lt;&gt;"",AS13&lt;&gt;""),ROUND(AR13,3)+ROUND(AT12,3)-ROUND(AS13,3),IF(AND(EXACT(UPPER(AQ13),"TBM"),AR13&lt;&gt;""),ROUND(AR13,3),IF(AR13="",AT12,IF(ISNA(VLOOKUP(AQ13,A6:E105,5,FALSE)),IF(ISNA(VLOOKUP(AQ13,G6:K105,5,FALSE)),IF(ISNA(VLOOKUP(AQ13,M6:Q105,5,FALSE)),IF(ISNA(VLOOKUP(AQ13,S6:W105,5,FALSE)),IF(ISNA(VLOOKUP(AQ13,Y6:AC105,5,FALSE)),IF(ISNA(VLOOKUP(AQ13,AE6:AI105,5,FALSE)),IF(ISNA(VLOOKUP(AQ13,AK6:AO105,5,FALSE)),IF(ISNA(VLOOKUP(AQ13,AQ6:AU12,5,FALSE)),"",ROUND(VLOOKUP(AQ13,AQ6:AU12,5,FALSE),0)/1000+ROUND(AR13,3)),ROUND(VLOOKUP(AQ13,AK6:AO105,5,FALSE),0)/1000+ROUND(AR13,3)),ROUND(VLOOKUP(AQ13,AE6:AI105,5,FALSE),0)/1000+ROUND(AR13,3)),ROUND(VLOOKUP(AQ13,Y6:AC105,5,FALSE),0)/1000+ROUND(AR13,3)),ROUND(VLOOKUP(AQ13,S6:W105,5,FALSE),0)/1000+ROUND(AR13,3)),ROUND(VLOOKUP(AQ13,M6:Q105,5,FALSE),0)/1000+ROUND(AR13,3)),ROUND(VLOOKUP(AQ13,G6:K105,5,FALSE),0)/1000+ROUND(AR13,3)),ROUND(VLOOKUP(AQ13,A6:E105,5,FALSE),0)/1000+ROUND(AR13,3)))))</f>
        <v/>
      </c>
      <c r="AU13" s="18" t="str">
        <f>IF(OR(NOT(EXACT(UPPER(AQ13),"TBM")),AR13=""),IF(AND(AR13&lt;&gt;"",AS13="",AT13&lt;&gt;""),"",IF(AND(AR13="",AS13&lt;&gt;"",AT13&lt;&gt;""),ROUND(ROUND(AT13,3)-ROUND(AS13,3),3)*1000,IF(AND(AR13&lt;&gt;"",AS13&lt;&gt;"",AT13&lt;&gt;""),ROUND(ROUND(AT12,3)-ROUND(AS13,3),3)*1000,""))),"")</f>
        <v/>
      </c>
      <c r="AV13" s="44" t="str">
        <f>IF(AND(NOT(ISNA(VLOOKUP(AQ13,A6:E105,5,FALSE))),AR13="",AS13&lt;&gt;""),ROUND((VLOOKUP(AQ13,A6:E105,5,FALSE)-AU13)/1000,3),IF(AND(NOT(ISNA(VLOOKUP(AQ13,G6:K105,5,FALSE))),AR13="",AS13&lt;&gt;""),ROUND((VLOOKUP(AQ13,G6:K105,5,FALSE)-AU13)/1000,3),IF(AND(NOT(ISNA(VLOOKUP(AQ13,M6:Q105,5,FALSE))),AR13="",AS13&lt;&gt;""),ROUND((VLOOKUP(AQ13,M6:Q105,5,FALSE)-AU13)/1000,3),IF(AND(NOT(ISNA(VLOOKUP(AQ13,S6:W105,5,FALSE))),AR13="",AS13&lt;&gt;""),ROUND((VLOOKUP(AQ13,S6:W105,5,FALSE)-AU13)/1000,3),IF(AND(NOT(ISNA(VLOOKUP(AQ13,Y6:AC105,5,FALSE))),AR13="",AS13&lt;&gt;""),ROUND((VLOOKUP(AQ13,Y6:AC105,5,FALSE)-AU13)/1000,3),IF(AND(NOT(ISNA(VLOOKUP(AQ13,AE6:AI105,5,FALSE))),AR13="",AS13&lt;&gt;""),ROUND((VLOOKUP(AQ13,AE6:AI105,5,FALSE)-AU13)/1000,3),IF(AND(NOT(ISNA(VLOOKUP(AQ13,AK6:AO105,5,FALSE))),AR13="",AS13&lt;&gt;""),ROUND((VLOOKUP(AQ13,AK6:AO105,5,FALSE)-AU13)/1000,3),IF(AND(NOT(ISNA(VLOOKUP(AQ13,AQ6:AU12,5,FALSE))),AR13="",AS13&lt;&gt;""),ROUND((VLOOKUP(AQ13,AQ6:AU12,5,FALSE)-AU13)/1000,3),""))))))))</f>
        <v/>
      </c>
      <c r="AW13" s="19">
        <f>IF(AW12="","",AW12+1)</f>
        <v>807</v>
      </c>
      <c r="AX13" s="43"/>
      <c r="AY13" s="43"/>
      <c r="AZ13" s="15" t="str">
        <f>IF(AND(AX13&lt;&gt;"",AY13&lt;&gt;""),ROUND(AX13,3)+ROUND(AZ12,3)-ROUND(AY13,3),IF(AND(EXACT(UPPER(AW13),"TBM"),AX13&lt;&gt;""),ROUND(AX13,3),IF(AX13="",AZ12,IF(ISNA(VLOOKUP(AW13,A6:E105,5,FALSE)),IF(ISNA(VLOOKUP(AW13,G6:K105,5,FALSE)),IF(ISNA(VLOOKUP(AW13,M6:Q105,5,FALSE)),IF(ISNA(VLOOKUP(AW13,S6:W105,5,FALSE)),IF(ISNA(VLOOKUP(AW13,Y6:AC105,5,FALSE)),IF(ISNA(VLOOKUP(AW13,AE6:AI105,5,FALSE)),IF(ISNA(VLOOKUP(AW13,AK6:AO105,5,FALSE)),IF(ISNA(VLOOKUP(AW13,AQ6:AU105,5,FALSE)),IF(ISNA(VLOOKUP(AW13,AW6:BA12,5,FALSE)),"",ROUND(VLOOKUP(AW13,AW6:BA12,5,FALSE),0)/1000+ROUND(AX13,3)),ROUND(VLOOKUP(AW13,AQ6:AU105,5,FALSE),0)/1000+ROUND(AX13,3)),ROUND(VLOOKUP(AW13,AK6:AO105,5,FALSE),0)/1000+ROUND(AX13,3)),ROUND(VLOOKUP(AW13,AE6:AI105,5,FALSE),0)/1000+ROUND(AX13,3)),ROUND(VLOOKUP(AW13,Y6:AC105,5,FALSE),0)/1000+ROUND(AX13,3)),ROUND(VLOOKUP(AW13,S6:W105,5,FALSE),0)/1000+ROUND(AX13,3)),ROUND(VLOOKUP(AW13,M6:Q105,5,FALSE),0)/1000+ROUND(AX13,3)),ROUND(VLOOKUP(AW13,G6:K105,5,FALSE),0)/1000+ROUND(AX13,3)),ROUND(VLOOKUP(AW13,A6:E105,5,FALSE),0)/1000+ROUND(AX13,3)))))</f>
        <v/>
      </c>
      <c r="BA13" s="18" t="str">
        <f>IF(OR(NOT(EXACT(UPPER(AW13),"TBM")),AX13=""),IF(AND(AX13&lt;&gt;"",AY13="",AZ13&lt;&gt;""),"",IF(AND(AX13="",AY13&lt;&gt;"",AZ13&lt;&gt;""),ROUND(ROUND(AZ13,3)-ROUND(AY13,3),3)*1000,IF(AND(AX13&lt;&gt;"",AY13&lt;&gt;"",AZ13&lt;&gt;""),ROUND(ROUND(AZ12,3)-ROUND(AY13,3),3)*1000,""))),"")</f>
        <v/>
      </c>
      <c r="BB13" s="44" t="str">
        <f>IF(AND(NOT(ISNA(VLOOKUP(AW13,A6:E105,5,FALSE))),AX13="",AY13&lt;&gt;""),ROUND((VLOOKUP(AW13,A6:E105,5,FALSE)-BA13)/1000,3),IF(AND(NOT(ISNA(VLOOKUP(AW13,G6:K105,5,FALSE))),AX13="",AY13&lt;&gt;""),ROUND((VLOOKUP(AW13,G6:K105,5,FALSE)-BA13)/1000,3),IF(AND(NOT(ISNA(VLOOKUP(AW13,M6:Q105,5,FALSE))),AX13="",AY13&lt;&gt;""),ROUND((VLOOKUP(AW13,M6:Q105,5,FALSE)-BA13)/1000,3),IF(AND(NOT(ISNA(VLOOKUP(AW13,S6:W105,5,FALSE))),AX13="",AY13&lt;&gt;""),ROUND((VLOOKUP(AW13,S6:W105,5,FALSE)-BA13)/1000,3),IF(AND(NOT(ISNA(VLOOKUP(AW13,Y6:AC105,5,FALSE))),AX13="",AY13&lt;&gt;""),ROUND((VLOOKUP(AW13,Y6:AC105,5,FALSE)-BA13)/1000,3),IF(AND(NOT(ISNA(VLOOKUP(AW13,AE6:AI105,5,FALSE))),AX13="",AY13&lt;&gt;""),ROUND((VLOOKUP(AW13,AE6:AI105,5,FALSE)-BA13)/1000,3),IF(AND(NOT(ISNA(VLOOKUP(AW13,AK6:AO105,5,FALSE))),AX13="",AY13&lt;&gt;""),ROUND((VLOOKUP(AW13,AK6:AO105,5,FALSE)-BA13)/1000,3),IF(AND(NOT(ISNA(VLOOKUP(AW13,AQ6:AU105,5,FALSE))),AX13="",AY13&lt;&gt;""),ROUND((VLOOKUP(AW13,AQ6:AU105,5,FALSE)-BA13)/1000,3),IF(AND(NOT(ISNA(VLOOKUP(AW13,AW6:BA12,5,FALSE))),AX13="",AY13&lt;&gt;""),ROUND((VLOOKUP(AW13,AW6:BA12,5,FALSE)-BA13)/1000,3),"")))))))))</f>
        <v/>
      </c>
      <c r="BC13" s="19">
        <f>IF(BC12="","",BC12+1)</f>
        <v>907</v>
      </c>
      <c r="BD13" s="43"/>
      <c r="BE13" s="43"/>
      <c r="BF13" s="15" t="str">
        <f>IF(AND(BD13&lt;&gt;"",BE13&lt;&gt;""),ROUND(BD13,3)+ROUND(BF12,3)-ROUND(BE13,3),IF(AND(EXACT(UPPER(BC13),"TBM"),BD13&lt;&gt;""),ROUND(BD13,3),IF(BD13="",BF12,IF(ISNA(VLOOKUP(BC13,A6:E105,5,FALSE)),IF(ISNA(VLOOKUP(BC13,G6:K105,5,FALSE)),IF(ISNA(VLOOKUP(BC13,M6:Q105,5,FALSE)),IF(ISNA(VLOOKUP(BC13,S6:W105,5,FALSE)),IF(ISNA(VLOOKUP(BC13,Y6:AC105,5,FALSE)),IF(ISNA(VLOOKUP(BC13,AE6:AI105,5,FALSE)),IF(ISNA(VLOOKUP(BC13,AK6:AO105,5,FALSE)),IF(ISNA(VLOOKUP(BC13,AQ6:AU105,5,FALSE)),IF(ISNA(VLOOKUP(BC13,AW6:BA105,5,FALSE)),IF(ISNA(VLOOKUP(BC13,BC6:BG12,5,FALSE)),"",ROUND(VLOOKUP(BC13,BC6:BG12,5,FALSE),0)/1000+ROUND(BD13,3)),ROUND(VLOOKUP(BC13,AW6:BA105,5,FALSE),0)/1000+ROUND(BD13,3)),ROUND(VLOOKUP(BC13,AQ6:AU105,5,FALSE),0)/1000+ROUND(BD13,3)),ROUND(VLOOKUP(BC13,AK6:AO105,5,FALSE),0)/1000+ROUND(BD13,3)),ROUND(VLOOKUP(BC13,AE6:AI105,5,FALSE),0)/1000+ROUND(BD13,3)),ROUND(VLOOKUP(BC13,Y6:AC105,5,FALSE),0)/1000+ROUND(BD13,3)),ROUND(VLOOKUP(BC13,S6:W105,5,FALSE),0)/1000+ROUND(BD13,3)),ROUND(VLOOKUP(BC13,M6:Q105,5,FALSE),0)/1000+ROUND(BD13,3)),ROUND(VLOOKUP(BC13,G6:K105,5,FALSE),0)/1000+ROUND(BD13,3)),ROUND(VLOOKUP(BC13,A6:E105,5,FALSE),0)/1000+ROUND(BD13,3)))))</f>
        <v/>
      </c>
      <c r="BG13" s="18" t="str">
        <f>IF(OR(NOT(EXACT(UPPER(BC13),"TBM")),BD13=""),IF(AND(BD13&lt;&gt;"",BE13="",BF13&lt;&gt;""),"",IF(AND(BD13="",BE13&lt;&gt;"",BF13&lt;&gt;""),ROUND(ROUND(BF13,3)-ROUND(BE13,3),3)*1000,IF(AND(BD13&lt;&gt;"",BE13&lt;&gt;"",BF13&lt;&gt;""),ROUND(ROUND(BF12,3)-ROUND(BE13,3),3)*1000,""))),"")</f>
        <v/>
      </c>
      <c r="BH13" s="44" t="str">
        <f>IF(AND(NOT(ISNA(VLOOKUP(BC13,A6:E105,5,FALSE))),BD13="",BE13&lt;&gt;""),ROUND((VLOOKUP(BC13,A6:E105,5,FALSE)-BG13)/1000,3),IF(AND(NOT(ISNA(VLOOKUP(BC13,G6:K105,5,FALSE))),BD13="",BE13&lt;&gt;""),ROUND((VLOOKUP(BC13,G6:K105,5,FALSE)-BG13)/1000,3),IF(AND(NOT(ISNA(VLOOKUP(BC13,M6:Q105,5,FALSE))),BD13="",BE13&lt;&gt;""),ROUND((VLOOKUP(BC13,M6:Q105,5,FALSE)-BG13)/1000,3),IF(AND(NOT(ISNA(VLOOKUP(BC13,S6:W105,5,FALSE))),BD13="",BE13&lt;&gt;""),ROUND((VLOOKUP(BC13,S6:W105,5,FALSE)-BG13)/1000,3),IF(AND(NOT(ISNA(VLOOKUP(BC13,Y6:AC105,5,FALSE))),BD13="",BE13&lt;&gt;""),ROUND((VLOOKUP(BC13,Y6:AC105,5,FALSE)-BG13)/1000,3),IF(AND(NOT(ISNA(VLOOKUP(BC13,AE6:AI105,5,FALSE))),BD13="",BE13&lt;&gt;""),ROUND((VLOOKUP(BC13,AE6:AI105,5,FALSE)-BG13)/1000,3),IF(AND(NOT(ISNA(VLOOKUP(BC13,AK6:AO105,5,FALSE))),BD13="",BE13&lt;&gt;""),ROUND((VLOOKUP(BC13,AK6:AO105,5,FALSE)-BG13)/1000,3),IF(AND(NOT(ISNA(VLOOKUP(BC13,AQ6:AU105,5,FALSE))),BD13="",BE13&lt;&gt;""),ROUND((VLOOKUP(BC13,AQ6:AU105,5,FALSE)-BG13)/1000,3),IF(AND(NOT(ISNA(VLOOKUP(BC13,AW6:BA105,5,FALSE))),BD13="",BE13&lt;&gt;""),ROUND((VLOOKUP(BC13,AW6:BA105,5,FALSE)-BG13)/1000,3),IF(AND(NOT(ISNA(VLOOKUP(BC13,BC6:BG12,5,FALSE))),BD13="",BE13&lt;&gt;""),ROUND((VLOOKUP(BC13,BC6:BG12,5,FALSE)-BG13)/1000,3),""))))))))))</f>
        <v/>
      </c>
    </row>
    <row r="14" spans="1:60" x14ac:dyDescent="0.25">
      <c r="A14" s="19">
        <f t="shared" si="3"/>
        <v>8</v>
      </c>
      <c r="B14" s="39"/>
      <c r="C14" s="39"/>
      <c r="D14" s="15" t="str">
        <f>IF(AND(B14&lt;&gt;"",C14&lt;&gt;""),ROUND(B14,3)+ROUND(D13,3)-ROUND(C14,3),IF(AND(EXACT(UPPER(A14),"TBM"),B14&lt;&gt;""),ROUND(B14,3),IF(B14="",D13,IF(ISNA(VLOOKUP(A14,A6:E13,5,FALSE)),"",ROUND(VLOOKUP(A14,A6:E13,5,FALSE),0)/1000+ROUND(B14,3)))))</f>
        <v/>
      </c>
      <c r="E14" s="21" t="str">
        <f t="shared" si="0"/>
        <v/>
      </c>
      <c r="F14" s="45" t="str">
        <f>IF(AND(NOT(ISNA(VLOOKUP(A14,A6:E13,5,FALSE))),B14="",C14&lt;&gt;""),ROUND((VLOOKUP(A14,A6:E13,5,FALSE)-E14)/1000,3),"")</f>
        <v/>
      </c>
      <c r="G14" s="19">
        <f t="shared" si="1"/>
        <v>108</v>
      </c>
      <c r="H14" s="39"/>
      <c r="I14" s="39"/>
      <c r="J14" s="15" t="str">
        <f>IF(AND(H14&lt;&gt;"",I14&lt;&gt;""),ROUND(H14,3)+ROUND(J13,3)-ROUND(I14,3),IF(AND(EXACT(UPPER(G14),"TBM"),H14&lt;&gt;""),ROUND(H14,3),IF(H14="",J13,IF(ISNA(VLOOKUP(G14,A6:E105,5,FALSE)),IF(ISNA(VLOOKUP(G14,G6:K13,5,FALSE)),"",ROUND(VLOOKUP(G14,G6:K13,5,FALSE),0)/1000+ROUND(H14,3)),ROUND(VLOOKUP(G14,A6:E105,5,FALSE),0)/1000+ROUND(H14,3)))))</f>
        <v/>
      </c>
      <c r="K14" s="18" t="str">
        <f t="shared" si="2"/>
        <v/>
      </c>
      <c r="L14" s="45" t="str">
        <f>IF(AND(NOT(ISNA(VLOOKUP(G14,A6:E105,5,FALSE))),H14="",I14&lt;&gt;""),ROUND((VLOOKUP(G14,A6:E105,5,FALSE)-K14)/1000,3),IF(AND(NOT(ISNA(VLOOKUP(G14,G6:K13,5,FALSE))),H14="",I14&lt;&gt;""),ROUND((VLOOKUP(G14,G6:K13,5,FALSE)-K14)/1000,3),""))</f>
        <v/>
      </c>
      <c r="M14" s="19">
        <f>IF(M13="","",M13+1)</f>
        <v>208</v>
      </c>
      <c r="N14" s="39"/>
      <c r="O14" s="39"/>
      <c r="P14" s="15" t="str">
        <f>IF(AND(N14&lt;&gt;"",O14&lt;&gt;""),ROUND(N14,3)+ROUND(P13,3)-ROUND(O14,3),IF(AND(EXACT(UPPER(M14),"TBM"),N14&lt;&gt;""),ROUND(N14,3),IF(N14="",P13,IF(ISNA(VLOOKUP(M14,A6:E105,5,FALSE)),IF(ISNA(VLOOKUP(M14,G6:K105,5,FALSE)),IF(ISNA(VLOOKUP(M14,M6:Q13,5,FALSE)),"",ROUND(VLOOKUP(M14,M6:Q13,5,FALSE),0)/1000+ROUND(N14,3)),ROUND(VLOOKUP(M14,G6:K105,5,FALSE),0)/1000+ROUND(N14,3)),ROUND(VLOOKUP(M14,A6:E105,5,FALSE),0)/1000+ROUND(N14,3)))))</f>
        <v/>
      </c>
      <c r="Q14" s="18" t="str">
        <f>IF(OR(NOT(EXACT(UPPER(M14),"TBM")),N14=""),IF(AND(N14&lt;&gt;"",O14="",P14&lt;&gt;""),"",IF(AND(N14="",O14&lt;&gt;"",P14&lt;&gt;""),ROUND(ROUND(P14,3)-ROUND(O14,3),3)*1000,IF(AND(N14&lt;&gt;"",O14&lt;&gt;"",P14&lt;&gt;""),ROUND(ROUND(P13,3)-ROUND(O14,3),3)*1000,""))),"")</f>
        <v/>
      </c>
      <c r="R14" s="45" t="str">
        <f>IF(AND(NOT(ISNA(VLOOKUP(M14,A6:E105,5,FALSE))),N14="",O14&lt;&gt;""),ROUND((VLOOKUP(M14,A6:E105,5,FALSE)-Q14)/1000,3),IF(AND(NOT(ISNA(VLOOKUP(M14,G6:K105,5,FALSE))),N14="",O14&lt;&gt;""),ROUND((VLOOKUP(M14,G6:K105,5,FALSE)-Q14)/1000,3),IF(AND(NOT(ISNA(VLOOKUP(M14,M6:Q13,5,FALSE))),N14="",O14&lt;&gt;""),ROUND((VLOOKUP(M14,M6:Q13,5,FALSE)-Q14)/1000,3),"")))</f>
        <v/>
      </c>
      <c r="S14" s="19">
        <f>IF(S13="","",S13+1)</f>
        <v>308</v>
      </c>
      <c r="T14" s="39"/>
      <c r="U14" s="39"/>
      <c r="V14" s="15" t="str">
        <f>IF(AND(T14&lt;&gt;"",U14&lt;&gt;""),ROUND(T14,3)+ROUND(V13,3)-ROUND(U14,3),IF(AND(EXACT(UPPER(S14),"TBM"),T14&lt;&gt;""),ROUND(T14,3),IF(T14="",V13,IF(ISNA(VLOOKUP(S14,A6:E105,5,FALSE)),IF(ISNA(VLOOKUP(S14,G6:K105,5,FALSE)),IF(ISNA(VLOOKUP(S14,M6:Q105,5,FALSE)),IF(ISNA(VLOOKUP(S14,S6:W13,5,FALSE)),"",ROUND(VLOOKUP(S14,S6:W13,5,FALSE),0)/1000+ROUND(T14,3)),ROUND(VLOOKUP(S14,M6:Q105,5,FALSE),0)/1000+ROUND(T14,3)),ROUND(VLOOKUP(S14,G6:K105,5,FALSE),0)/1000+ROUND(T14,3)),ROUND(VLOOKUP(S14,A6:E105,5,FALSE),0)/1000+ROUND(T14,3)))))</f>
        <v/>
      </c>
      <c r="W14" s="18" t="str">
        <f>IF(OR(NOT(EXACT(UPPER(S14),"TBM")),T14=""),IF(AND(T14&lt;&gt;"",U14="",V14&lt;&gt;""),"",IF(AND(T14="",U14&lt;&gt;"",V14&lt;&gt;""),ROUND(ROUND(V14,3)-ROUND(U14,3),3)*1000,IF(AND(T14&lt;&gt;"",U14&lt;&gt;"",V14&lt;&gt;""),ROUND(ROUND(V13,3)-ROUND(U14,3),3)*1000,""))),"")</f>
        <v/>
      </c>
      <c r="X14" s="45" t="str">
        <f>IF(AND(NOT(ISNA(VLOOKUP(S14,A6:E105,5,FALSE))),T14="",U14&lt;&gt;""),ROUND((VLOOKUP(S14,A6:E105,5,FALSE)-W14)/1000,3),IF(AND(NOT(ISNA(VLOOKUP(S14,G6:K105,5,FALSE))),T14="",U14&lt;&gt;""),ROUND((VLOOKUP(S14,G6:K105,5,FALSE)-W14)/1000,3),IF(AND(NOT(ISNA(VLOOKUP(S14,M6:Q105,5,FALSE))),T14="",U14&lt;&gt;""),ROUND((VLOOKUP(S14,M6:Q105,5,FALSE)-W14)/1000,3),IF(AND(NOT(ISNA(VLOOKUP(S14,S6:W13,5,FALSE))),T14="",U14&lt;&gt;""),ROUND((VLOOKUP(S14,S6:W13,5,FALSE)-W14)/1000,3),""))))</f>
        <v/>
      </c>
      <c r="Y14" s="19">
        <f>IF(Y13="","",Y13+1)</f>
        <v>408</v>
      </c>
      <c r="Z14" s="39"/>
      <c r="AA14" s="39"/>
      <c r="AB14" s="15" t="str">
        <f>IF(AND(Z14&lt;&gt;"",AA14&lt;&gt;""),ROUND(Z14,3)+ROUND(AB13,3)-ROUND(AA14,3),IF(AND(EXACT(UPPER(Y14),"TBM"),Z14&lt;&gt;""),ROUND(Z14,3),IF(Z14="",AB13,IF(ISNA(VLOOKUP(Y14,A6:E105,5,FALSE)),IF(ISNA(VLOOKUP(Y14,G6:K105,5,FALSE)),IF(ISNA(VLOOKUP(Y14,M6:Q105,5,FALSE)),IF(ISNA(VLOOKUP(Y14,S6:W105,5,FALSE)),IF(ISNA(VLOOKUP(Y14,Y6:AC13,5,FALSE)),"",ROUND(VLOOKUP(Y14,Y6:AC13,5,FALSE),0)/1000+ROUND(Z14,3)),ROUND(VLOOKUP(Y14,S6:W105,5,FALSE),0)/1000+ROUND(Z14,3)),ROUND(VLOOKUP(Y14,M6:Q105,5,FALSE),0)/1000+ROUND(Z14,3)),ROUND(VLOOKUP(Y14,G6:K105,5,FALSE),0)/1000+ROUND(Z14,3)),ROUND(VLOOKUP(Y14,A6:E105,5,FALSE),0)/1000+ROUND(Z14,3)))))</f>
        <v/>
      </c>
      <c r="AC14" s="18" t="str">
        <f>IF(OR(NOT(EXACT(UPPER(Y14),"TBM")),Z14=""),IF(AND(Z14&lt;&gt;"",AA14="",AB14&lt;&gt;""),"",IF(AND(Z14="",AA14&lt;&gt;"",AB14&lt;&gt;""),ROUND(ROUND(AB14,3)-ROUND(AA14,3),3)*1000,IF(AND(Z14&lt;&gt;"",AA14&lt;&gt;"",AB14&lt;&gt;""),ROUND(ROUND(AB13,3)-ROUND(AA14,3),3)*1000,""))),"")</f>
        <v/>
      </c>
      <c r="AD14" s="45" t="str">
        <f>IF(AND(NOT(ISNA(VLOOKUP(Y14,A6:E105,5,FALSE))),Z14="",AA14&lt;&gt;""),ROUND((VLOOKUP(Y14,A6:E105,5,FALSE)-AC14)/1000,3),IF(AND(NOT(ISNA(VLOOKUP(Y14,G6:K105,5,FALSE))),Z14="",AA14&lt;&gt;""),ROUND((VLOOKUP(Y14,G6:K105,5,FALSE)-AC14)/1000,3),IF(AND(NOT(ISNA(VLOOKUP(Y14,M6:Q105,5,FALSE))),Z14="",AA14&lt;&gt;""),ROUND((VLOOKUP(Y14,M6:Q105,5,FALSE)-AC14)/1000,3),IF(AND(NOT(ISNA(VLOOKUP(Y14,S6:W105,5,FALSE))),Z14="",AA14&lt;&gt;""),ROUND((VLOOKUP(Y14,S6:W105,5,FALSE)-AC14)/1000,3),IF(AND(NOT(ISNA(VLOOKUP(Y14,Y6:AC13,5,FALSE))),Z14="",AA14&lt;&gt;""),ROUND((VLOOKUP(Y14,Y6:AC13,5,FALSE)-AC14)/1000,3),"")))))</f>
        <v/>
      </c>
      <c r="AE14" s="19">
        <f>IF(AE13="","",AE13+1)</f>
        <v>508</v>
      </c>
      <c r="AF14" s="39"/>
      <c r="AG14" s="39"/>
      <c r="AH14" s="15" t="str">
        <f>IF(AND(AF14&lt;&gt;"",AG14&lt;&gt;""),ROUND(AF14,3)+ROUND(AH13,3)-ROUND(AG14,3),IF(AND(EXACT(UPPER(AE14),"TBM"),AF14&lt;&gt;""),ROUND(AF14,3),IF(AF14="",AH13,IF(ISNA(VLOOKUP(AE14,A6:E105,5,FALSE)),IF(ISNA(VLOOKUP(AE14,G6:K105,5,FALSE)),IF(ISNA(VLOOKUP(AE14,M6:Q105,5,FALSE)),IF(ISNA(VLOOKUP(AE14,S6:W105,5,FALSE)),IF(ISNA(VLOOKUP(AE14,Y6:AC105,5,FALSE)),IF(ISNA(VLOOKUP(AE14,AE6:AI13,5,FALSE)),"",ROUND(VLOOKUP(AE14,AE6:AI13,5,FALSE),0)/1000+ROUND(AF14,3)),ROUND(VLOOKUP(AE14,Y6:AC105,5,FALSE),0)/1000+ROUND(AF14,3)),ROUND(VLOOKUP(AE14,S6:W105,5,FALSE),0)/1000+ROUND(AF14,3)),ROUND(VLOOKUP(AE14,M6:Q105,5,FALSE),0)/1000+ROUND(AF14,3)),ROUND(VLOOKUP(AE14,G6:K105,5,FALSE),0)/1000+ROUND(AF14,3)),ROUND(VLOOKUP(AE14,A6:E105,5,FALSE),0)/1000+ROUND(AF14,3)))))</f>
        <v/>
      </c>
      <c r="AI14" s="18" t="str">
        <f>IF(OR(NOT(EXACT(UPPER(AE14),"TBM")),AF14=""),IF(AND(AF14&lt;&gt;"",AG14="",AH14&lt;&gt;""),"",IF(AND(AF14="",AG14&lt;&gt;"",AH14&lt;&gt;""),ROUND(ROUND(AH14,3)-ROUND(AG14,3),3)*1000,IF(AND(AF14&lt;&gt;"",AG14&lt;&gt;"",AH14&lt;&gt;""),ROUND(ROUND(AH13,3)-ROUND(AG14,3),3)*1000,""))),"")</f>
        <v/>
      </c>
      <c r="AJ14" s="45" t="str">
        <f>IF(AND(NOT(ISNA(VLOOKUP(AE14,A6:E105,5,FALSE))),AF14="",AG14&lt;&gt;""),ROUND((VLOOKUP(AE14,A6:E105,5,FALSE)-AI14)/1000,3),IF(AND(NOT(ISNA(VLOOKUP(AE14,G6:K105,5,FALSE))),AF14="",AG14&lt;&gt;""),ROUND((VLOOKUP(AE14,G6:K105,5,FALSE)-AI14)/1000,3),IF(AND(NOT(ISNA(VLOOKUP(AE14,M6:Q105,5,FALSE))),AF14="",AG14&lt;&gt;""),ROUND((VLOOKUP(AE14,M6:Q105,5,FALSE)-AI14)/1000,3),IF(AND(NOT(ISNA(VLOOKUP(AE14,S6:W105,5,FALSE))),AF14="",AG14&lt;&gt;""),ROUND((VLOOKUP(AE14,S6:W105,5,FALSE)-AI14)/1000,3),IF(AND(NOT(ISNA(VLOOKUP(AE14,Y6:AC105,5,FALSE))),AF14="",AG14&lt;&gt;""),ROUND((VLOOKUP(AE14,Y6:AC105,5,FALSE)-AI14)/1000,3),IF(AND(NOT(ISNA(VLOOKUP(AE14,AE6:AI13,5,FALSE))),AF14="",AG14&lt;&gt;""),ROUND((VLOOKUP(AE14,AE6:AI13,5,FALSE)-AI14)/1000,3),""))))))</f>
        <v/>
      </c>
      <c r="AK14" s="19">
        <f>IF(AK13="","",AK13+1)</f>
        <v>608</v>
      </c>
      <c r="AL14" s="39"/>
      <c r="AM14" s="39"/>
      <c r="AN14" s="15" t="str">
        <f>IF(AND(AL14&lt;&gt;"",AM14&lt;&gt;""),ROUND(AL14,3)+ROUND(AN13,3)-ROUND(AM14,3),IF(AND(EXACT(UPPER(AK14),"TBM"),AL14&lt;&gt;""),ROUND(AL14,3),IF(AL14="",AN13,IF(ISNA(VLOOKUP(AK14,A6:E105,5,FALSE)),IF(ISNA(VLOOKUP(AK14,G6:K105,5,FALSE)),IF(ISNA(VLOOKUP(AK14,M6:Q105,5,FALSE)),IF(ISNA(VLOOKUP(AK14,S6:W105,5,FALSE)),IF(ISNA(VLOOKUP(AK14,Y6:AC105,5,FALSE)),IF(ISNA(VLOOKUP(AK14,AE6:AI105,5,FALSE)),IF(ISNA(VLOOKUP(AK14,AK6:AO13,5,FALSE)),"",ROUND(VLOOKUP(AK14,AK6:AO13,5,FALSE),0)/1000+ROUND(AL14,3)),ROUND(VLOOKUP(AK14,AE6:AI105,5,FALSE),0)/1000+ROUND(AL14,3)),ROUND(VLOOKUP(AK14,Y6:AC105,5,FALSE),0)/1000+ROUND(AL14,3)),ROUND(VLOOKUP(AK14,S6:W105,5,FALSE),0)/1000+ROUND(AL14,3)),ROUND(VLOOKUP(AK14,M6:Q105,5,FALSE),0)/1000+ROUND(AL14,3)),ROUND(VLOOKUP(AK14,G6:K105,5,FALSE),0)/1000+ROUND(AL14,3)),ROUND(VLOOKUP(AK14,A6:E105,5,FALSE),0)/1000+ROUND(AL14,3)))))</f>
        <v/>
      </c>
      <c r="AO14" s="18" t="str">
        <f>IF(OR(NOT(EXACT(UPPER(AK14),"TBM")),AL14=""),IF(AND(AL14&lt;&gt;"",AM14="",AN14&lt;&gt;""),"",IF(AND(AL14="",AM14&lt;&gt;"",AN14&lt;&gt;""),ROUND(ROUND(AN14,3)-ROUND(AM14,3),3)*1000,IF(AND(AL14&lt;&gt;"",AM14&lt;&gt;"",AN14&lt;&gt;""),ROUND(ROUND(AN13,3)-ROUND(AM14,3),3)*1000,""))),"")</f>
        <v/>
      </c>
      <c r="AP14" s="45" t="str">
        <f>IF(AND(NOT(ISNA(VLOOKUP(AK14,A6:E105,5,FALSE))),AL14="",AM14&lt;&gt;""),ROUND((VLOOKUP(AK14,A6:E105,5,FALSE)-AO14)/1000,3),IF(AND(NOT(ISNA(VLOOKUP(AK14,G6:K105,5,FALSE))),AL14="",AM14&lt;&gt;""),ROUND((VLOOKUP(AK14,G6:K105,5,FALSE)-AO14)/1000,3),IF(AND(NOT(ISNA(VLOOKUP(AK14,M6:Q105,5,FALSE))),AL14="",AM14&lt;&gt;""),ROUND((VLOOKUP(AK14,M6:Q105,5,FALSE)-AO14)/1000,3),IF(AND(NOT(ISNA(VLOOKUP(AK14,S6:W105,5,FALSE))),AL14="",AM14&lt;&gt;""),ROUND((VLOOKUP(AK14,S6:W105,5,FALSE)-AO14)/1000,3),IF(AND(NOT(ISNA(VLOOKUP(AK14,Y6:AC105,5,FALSE))),AL14="",AM14&lt;&gt;""),ROUND((VLOOKUP(AK14,Y6:AC105,5,FALSE)-AO14)/1000,3),IF(AND(NOT(ISNA(VLOOKUP(AK14,AE6:AI105,5,FALSE))),AL14="",AM14&lt;&gt;""),ROUND((VLOOKUP(AK14,AE6:AI105,5,FALSE)-AO14)/1000,3),IF(AND(NOT(ISNA(VLOOKUP(AK14,AK6:AO13,5,FALSE))),AL14="",AM14&lt;&gt;""),ROUND((VLOOKUP(AK14,AK6:AO13,5,FALSE)-AO14)/1000,3),"")))))))</f>
        <v/>
      </c>
      <c r="AQ14" s="19">
        <f>IF(AQ13="","",AQ13+1)</f>
        <v>708</v>
      </c>
      <c r="AR14" s="39"/>
      <c r="AS14" s="39"/>
      <c r="AT14" s="15" t="str">
        <f>IF(AND(AR14&lt;&gt;"",AS14&lt;&gt;""),ROUND(AR14,3)+ROUND(AT13,3)-ROUND(AS14,3),IF(AND(EXACT(UPPER(AQ14),"TBM"),AR14&lt;&gt;""),ROUND(AR14,3),IF(AR14="",AT13,IF(ISNA(VLOOKUP(AQ14,A6:E105,5,FALSE)),IF(ISNA(VLOOKUP(AQ14,G6:K105,5,FALSE)),IF(ISNA(VLOOKUP(AQ14,M6:Q105,5,FALSE)),IF(ISNA(VLOOKUP(AQ14,S6:W105,5,FALSE)),IF(ISNA(VLOOKUP(AQ14,Y6:AC105,5,FALSE)),IF(ISNA(VLOOKUP(AQ14,AE6:AI105,5,FALSE)),IF(ISNA(VLOOKUP(AQ14,AK6:AO105,5,FALSE)),IF(ISNA(VLOOKUP(AQ14,AQ6:AU13,5,FALSE)),"",ROUND(VLOOKUP(AQ14,AQ6:AU13,5,FALSE),0)/1000+ROUND(AR14,3)),ROUND(VLOOKUP(AQ14,AK6:AO105,5,FALSE),0)/1000+ROUND(AR14,3)),ROUND(VLOOKUP(AQ14,AE6:AI105,5,FALSE),0)/1000+ROUND(AR14,3)),ROUND(VLOOKUP(AQ14,Y6:AC105,5,FALSE),0)/1000+ROUND(AR14,3)),ROUND(VLOOKUP(AQ14,S6:W105,5,FALSE),0)/1000+ROUND(AR14,3)),ROUND(VLOOKUP(AQ14,M6:Q105,5,FALSE),0)/1000+ROUND(AR14,3)),ROUND(VLOOKUP(AQ14,G6:K105,5,FALSE),0)/1000+ROUND(AR14,3)),ROUND(VLOOKUP(AQ14,A6:E105,5,FALSE),0)/1000+ROUND(AR14,3)))))</f>
        <v/>
      </c>
      <c r="AU14" s="18" t="str">
        <f>IF(OR(NOT(EXACT(UPPER(AQ14),"TBM")),AR14=""),IF(AND(AR14&lt;&gt;"",AS14="",AT14&lt;&gt;""),"",IF(AND(AR14="",AS14&lt;&gt;"",AT14&lt;&gt;""),ROUND(ROUND(AT14,3)-ROUND(AS14,3),3)*1000,IF(AND(AR14&lt;&gt;"",AS14&lt;&gt;"",AT14&lt;&gt;""),ROUND(ROUND(AT13,3)-ROUND(AS14,3),3)*1000,""))),"")</f>
        <v/>
      </c>
      <c r="AV14" s="45" t="str">
        <f>IF(AND(NOT(ISNA(VLOOKUP(AQ14,A6:E105,5,FALSE))),AR14="",AS14&lt;&gt;""),ROUND((VLOOKUP(AQ14,A6:E105,5,FALSE)-AU14)/1000,3),IF(AND(NOT(ISNA(VLOOKUP(AQ14,G6:K105,5,FALSE))),AR14="",AS14&lt;&gt;""),ROUND((VLOOKUP(AQ14,G6:K105,5,FALSE)-AU14)/1000,3),IF(AND(NOT(ISNA(VLOOKUP(AQ14,M6:Q105,5,FALSE))),AR14="",AS14&lt;&gt;""),ROUND((VLOOKUP(AQ14,M6:Q105,5,FALSE)-AU14)/1000,3),IF(AND(NOT(ISNA(VLOOKUP(AQ14,S6:W105,5,FALSE))),AR14="",AS14&lt;&gt;""),ROUND((VLOOKUP(AQ14,S6:W105,5,FALSE)-AU14)/1000,3),IF(AND(NOT(ISNA(VLOOKUP(AQ14,Y6:AC105,5,FALSE))),AR14="",AS14&lt;&gt;""),ROUND((VLOOKUP(AQ14,Y6:AC105,5,FALSE)-AU14)/1000,3),IF(AND(NOT(ISNA(VLOOKUP(AQ14,AE6:AI105,5,FALSE))),AR14="",AS14&lt;&gt;""),ROUND((VLOOKUP(AQ14,AE6:AI105,5,FALSE)-AU14)/1000,3),IF(AND(NOT(ISNA(VLOOKUP(AQ14,AK6:AO105,5,FALSE))),AR14="",AS14&lt;&gt;""),ROUND((VLOOKUP(AQ14,AK6:AO105,5,FALSE)-AU14)/1000,3),IF(AND(NOT(ISNA(VLOOKUP(AQ14,AQ6:AU13,5,FALSE))),AR14="",AS14&lt;&gt;""),ROUND((VLOOKUP(AQ14,AQ6:AU13,5,FALSE)-AU14)/1000,3),""))))))))</f>
        <v/>
      </c>
      <c r="AW14" s="19">
        <f>IF(AW13="","",AW13+1)</f>
        <v>808</v>
      </c>
      <c r="AX14" s="39"/>
      <c r="AY14" s="39"/>
      <c r="AZ14" s="15" t="str">
        <f>IF(AND(AX14&lt;&gt;"",AY14&lt;&gt;""),ROUND(AX14,3)+ROUND(AZ13,3)-ROUND(AY14,3),IF(AND(EXACT(UPPER(AW14),"TBM"),AX14&lt;&gt;""),ROUND(AX14,3),IF(AX14="",AZ13,IF(ISNA(VLOOKUP(AW14,A6:E105,5,FALSE)),IF(ISNA(VLOOKUP(AW14,G6:K105,5,FALSE)),IF(ISNA(VLOOKUP(AW14,M6:Q105,5,FALSE)),IF(ISNA(VLOOKUP(AW14,S6:W105,5,FALSE)),IF(ISNA(VLOOKUP(AW14,Y6:AC105,5,FALSE)),IF(ISNA(VLOOKUP(AW14,AE6:AI105,5,FALSE)),IF(ISNA(VLOOKUP(AW14,AK6:AO105,5,FALSE)),IF(ISNA(VLOOKUP(AW14,AQ6:AU105,5,FALSE)),IF(ISNA(VLOOKUP(AW14,AW6:BA13,5,FALSE)),"",ROUND(VLOOKUP(AW14,AW6:BA13,5,FALSE),0)/1000+ROUND(AX14,3)),ROUND(VLOOKUP(AW14,AQ6:AU105,5,FALSE),0)/1000+ROUND(AX14,3)),ROUND(VLOOKUP(AW14,AK6:AO105,5,FALSE),0)/1000+ROUND(AX14,3)),ROUND(VLOOKUP(AW14,AE6:AI105,5,FALSE),0)/1000+ROUND(AX14,3)),ROUND(VLOOKUP(AW14,Y6:AC105,5,FALSE),0)/1000+ROUND(AX14,3)),ROUND(VLOOKUP(AW14,S6:W105,5,FALSE),0)/1000+ROUND(AX14,3)),ROUND(VLOOKUP(AW14,M6:Q105,5,FALSE),0)/1000+ROUND(AX14,3)),ROUND(VLOOKUP(AW14,G6:K105,5,FALSE),0)/1000+ROUND(AX14,3)),ROUND(VLOOKUP(AW14,A6:E105,5,FALSE),0)/1000+ROUND(AX14,3)))))</f>
        <v/>
      </c>
      <c r="BA14" s="18" t="str">
        <f>IF(OR(NOT(EXACT(UPPER(AW14),"TBM")),AX14=""),IF(AND(AX14&lt;&gt;"",AY14="",AZ14&lt;&gt;""),"",IF(AND(AX14="",AY14&lt;&gt;"",AZ14&lt;&gt;""),ROUND(ROUND(AZ14,3)-ROUND(AY14,3),3)*1000,IF(AND(AX14&lt;&gt;"",AY14&lt;&gt;"",AZ14&lt;&gt;""),ROUND(ROUND(AZ13,3)-ROUND(AY14,3),3)*1000,""))),"")</f>
        <v/>
      </c>
      <c r="BB14" s="45" t="str">
        <f>IF(AND(NOT(ISNA(VLOOKUP(AW14,A6:E105,5,FALSE))),AX14="",AY14&lt;&gt;""),ROUND((VLOOKUP(AW14,A6:E105,5,FALSE)-BA14)/1000,3),IF(AND(NOT(ISNA(VLOOKUP(AW14,G6:K105,5,FALSE))),AX14="",AY14&lt;&gt;""),ROUND((VLOOKUP(AW14,G6:K105,5,FALSE)-BA14)/1000,3),IF(AND(NOT(ISNA(VLOOKUP(AW14,M6:Q105,5,FALSE))),AX14="",AY14&lt;&gt;""),ROUND((VLOOKUP(AW14,M6:Q105,5,FALSE)-BA14)/1000,3),IF(AND(NOT(ISNA(VLOOKUP(AW14,S6:W105,5,FALSE))),AX14="",AY14&lt;&gt;""),ROUND((VLOOKUP(AW14,S6:W105,5,FALSE)-BA14)/1000,3),IF(AND(NOT(ISNA(VLOOKUP(AW14,Y6:AC105,5,FALSE))),AX14="",AY14&lt;&gt;""),ROUND((VLOOKUP(AW14,Y6:AC105,5,FALSE)-BA14)/1000,3),IF(AND(NOT(ISNA(VLOOKUP(AW14,AE6:AI105,5,FALSE))),AX14="",AY14&lt;&gt;""),ROUND((VLOOKUP(AW14,AE6:AI105,5,FALSE)-BA14)/1000,3),IF(AND(NOT(ISNA(VLOOKUP(AW14,AK6:AO105,5,FALSE))),AX14="",AY14&lt;&gt;""),ROUND((VLOOKUP(AW14,AK6:AO105,5,FALSE)-BA14)/1000,3),IF(AND(NOT(ISNA(VLOOKUP(AW14,AQ6:AU105,5,FALSE))),AX14="",AY14&lt;&gt;""),ROUND((VLOOKUP(AW14,AQ6:AU105,5,FALSE)-BA14)/1000,3),IF(AND(NOT(ISNA(VLOOKUP(AW14,AW6:BA13,5,FALSE))),AX14="",AY14&lt;&gt;""),ROUND((VLOOKUP(AW14,AW6:BA13,5,FALSE)-BA14)/1000,3),"")))))))))</f>
        <v/>
      </c>
      <c r="BC14" s="19">
        <f>IF(BC13="","",BC13+1)</f>
        <v>908</v>
      </c>
      <c r="BD14" s="39"/>
      <c r="BE14" s="39"/>
      <c r="BF14" s="15" t="str">
        <f>IF(AND(BD14&lt;&gt;"",BE14&lt;&gt;""),ROUND(BD14,3)+ROUND(BF13,3)-ROUND(BE14,3),IF(AND(EXACT(UPPER(BC14),"TBM"),BD14&lt;&gt;""),ROUND(BD14,3),IF(BD14="",BF13,IF(ISNA(VLOOKUP(BC14,A6:E105,5,FALSE)),IF(ISNA(VLOOKUP(BC14,G6:K105,5,FALSE)),IF(ISNA(VLOOKUP(BC14,M6:Q105,5,FALSE)),IF(ISNA(VLOOKUP(BC14,S6:W105,5,FALSE)),IF(ISNA(VLOOKUP(BC14,Y6:AC105,5,FALSE)),IF(ISNA(VLOOKUP(BC14,AE6:AI105,5,FALSE)),IF(ISNA(VLOOKUP(BC14,AK6:AO105,5,FALSE)),IF(ISNA(VLOOKUP(BC14,AQ6:AU105,5,FALSE)),IF(ISNA(VLOOKUP(BC14,AW6:BA105,5,FALSE)),IF(ISNA(VLOOKUP(BC14,BC6:BG13,5,FALSE)),"",ROUND(VLOOKUP(BC14,BC6:BG13,5,FALSE),0)/1000+ROUND(BD14,3)),ROUND(VLOOKUP(BC14,AW6:BA105,5,FALSE),0)/1000+ROUND(BD14,3)),ROUND(VLOOKUP(BC14,AQ6:AU105,5,FALSE),0)/1000+ROUND(BD14,3)),ROUND(VLOOKUP(BC14,AK6:AO105,5,FALSE),0)/1000+ROUND(BD14,3)),ROUND(VLOOKUP(BC14,AE6:AI105,5,FALSE),0)/1000+ROUND(BD14,3)),ROUND(VLOOKUP(BC14,Y6:AC105,5,FALSE),0)/1000+ROUND(BD14,3)),ROUND(VLOOKUP(BC14,S6:W105,5,FALSE),0)/1000+ROUND(BD14,3)),ROUND(VLOOKUP(BC14,M6:Q105,5,FALSE),0)/1000+ROUND(BD14,3)),ROUND(VLOOKUP(BC14,G6:K105,5,FALSE),0)/1000+ROUND(BD14,3)),ROUND(VLOOKUP(BC14,A6:E105,5,FALSE),0)/1000+ROUND(BD14,3)))))</f>
        <v/>
      </c>
      <c r="BG14" s="18" t="str">
        <f>IF(OR(NOT(EXACT(UPPER(BC14),"TBM")),BD14=""),IF(AND(BD14&lt;&gt;"",BE14="",BF14&lt;&gt;""),"",IF(AND(BD14="",BE14&lt;&gt;"",BF14&lt;&gt;""),ROUND(ROUND(BF14,3)-ROUND(BE14,3),3)*1000,IF(AND(BD14&lt;&gt;"",BE14&lt;&gt;"",BF14&lt;&gt;""),ROUND(ROUND(BF13,3)-ROUND(BE14,3),3)*1000,""))),"")</f>
        <v/>
      </c>
      <c r="BH14" s="45" t="str">
        <f>IF(AND(NOT(ISNA(VLOOKUP(BC14,A6:E105,5,FALSE))),BD14="",BE14&lt;&gt;""),ROUND((VLOOKUP(BC14,A6:E105,5,FALSE)-BG14)/1000,3),IF(AND(NOT(ISNA(VLOOKUP(BC14,G6:K105,5,FALSE))),BD14="",BE14&lt;&gt;""),ROUND((VLOOKUP(BC14,G6:K105,5,FALSE)-BG14)/1000,3),IF(AND(NOT(ISNA(VLOOKUP(BC14,M6:Q105,5,FALSE))),BD14="",BE14&lt;&gt;""),ROUND((VLOOKUP(BC14,M6:Q105,5,FALSE)-BG14)/1000,3),IF(AND(NOT(ISNA(VLOOKUP(BC14,S6:W105,5,FALSE))),BD14="",BE14&lt;&gt;""),ROUND((VLOOKUP(BC14,S6:W105,5,FALSE)-BG14)/1000,3),IF(AND(NOT(ISNA(VLOOKUP(BC14,Y6:AC105,5,FALSE))),BD14="",BE14&lt;&gt;""),ROUND((VLOOKUP(BC14,Y6:AC105,5,FALSE)-BG14)/1000,3),IF(AND(NOT(ISNA(VLOOKUP(BC14,AE6:AI105,5,FALSE))),BD14="",BE14&lt;&gt;""),ROUND((VLOOKUP(BC14,AE6:AI105,5,FALSE)-BG14)/1000,3),IF(AND(NOT(ISNA(VLOOKUP(BC14,AK6:AO105,5,FALSE))),BD14="",BE14&lt;&gt;""),ROUND((VLOOKUP(BC14,AK6:AO105,5,FALSE)-BG14)/1000,3),IF(AND(NOT(ISNA(VLOOKUP(BC14,AQ6:AU105,5,FALSE))),BD14="",BE14&lt;&gt;""),ROUND((VLOOKUP(BC14,AQ6:AU105,5,FALSE)-BG14)/1000,3),IF(AND(NOT(ISNA(VLOOKUP(BC14,AW6:BA105,5,FALSE))),BD14="",BE14&lt;&gt;""),ROUND((VLOOKUP(BC14,AW6:BA105,5,FALSE)-BG14)/1000,3),IF(AND(NOT(ISNA(VLOOKUP(BC14,BC6:BG13,5,FALSE))),BD14="",BE14&lt;&gt;""),ROUND((VLOOKUP(BC14,BC6:BG13,5,FALSE)-BG14)/1000,3),""))))))))))</f>
        <v/>
      </c>
    </row>
    <row r="15" spans="1:60" x14ac:dyDescent="0.25">
      <c r="A15" s="81">
        <f t="shared" si="3"/>
        <v>9</v>
      </c>
      <c r="B15" s="82"/>
      <c r="C15" s="82"/>
      <c r="D15" s="83" t="str">
        <f>IF(AND(B15&lt;&gt;"",C15&lt;&gt;""),ROUND(B15,3)+ROUND(D14,3)-ROUND(C15,3),IF(AND(EXACT(UPPER(A15),"TBM"),B15&lt;&gt;""),ROUND(B15,3),IF(B15="",D14,IF(ISNA(VLOOKUP(A15,A6:E14,5,FALSE)),"",ROUND(VLOOKUP(A15,A6:E14,5,FALSE),0)/1000+ROUND(B15,3)))))</f>
        <v/>
      </c>
      <c r="E15" s="84" t="str">
        <f t="shared" si="0"/>
        <v/>
      </c>
      <c r="F15" s="85" t="str">
        <f>IF(AND(NOT(ISNA(VLOOKUP(A15,A6:E14,5,FALSE))),B15="",C15&lt;&gt;""),ROUND((VLOOKUP(A15,A6:E14,5,FALSE)-E15)/1000,3),"")</f>
        <v/>
      </c>
      <c r="G15" s="81">
        <f t="shared" si="1"/>
        <v>109</v>
      </c>
      <c r="H15" s="82"/>
      <c r="I15" s="82"/>
      <c r="J15" s="83" t="str">
        <f>IF(AND(H15&lt;&gt;"",I15&lt;&gt;""),ROUND(H15,3)+ROUND(J14,3)-ROUND(I15,3),IF(AND(EXACT(UPPER(G15),"TBM"),H15&lt;&gt;""),ROUND(H15,3),IF(H15="",J14,IF(ISNA(VLOOKUP(G15,A6:E105,5,FALSE)),IF(ISNA(VLOOKUP(G15,G6:K14,5,FALSE)),"",ROUND(VLOOKUP(G15,G6:K14,5,FALSE),0)/1000+ROUND(H15,3)),ROUND(VLOOKUP(G15,A6:E105,5,FALSE),0)/1000+ROUND(H15,3)))))</f>
        <v/>
      </c>
      <c r="K15" s="88" t="str">
        <f t="shared" si="2"/>
        <v/>
      </c>
      <c r="L15" s="85" t="str">
        <f>IF(AND(NOT(ISNA(VLOOKUP(G15,A6:E105,5,FALSE))),H15="",I15&lt;&gt;""),ROUND((VLOOKUP(G15,A6:E105,5,FALSE)-K15)/1000,3),IF(AND(NOT(ISNA(VLOOKUP(G15,G6:K14,5,FALSE))),H15="",I15&lt;&gt;""),ROUND((VLOOKUP(G15,G6:K14,5,FALSE)-K15)/1000,3),""))</f>
        <v/>
      </c>
      <c r="M15" s="81">
        <f>IF(M14="","",M14+1)</f>
        <v>209</v>
      </c>
      <c r="N15" s="82"/>
      <c r="O15" s="82"/>
      <c r="P15" s="83" t="str">
        <f>IF(AND(N15&lt;&gt;"",O15&lt;&gt;""),ROUND(N15,3)+ROUND(P14,3)-ROUND(O15,3),IF(AND(EXACT(UPPER(M15),"TBM"),N15&lt;&gt;""),ROUND(N15,3),IF(N15="",P14,IF(ISNA(VLOOKUP(M15,A6:E105,5,FALSE)),IF(ISNA(VLOOKUP(M15,G6:K105,5,FALSE)),IF(ISNA(VLOOKUP(M15,M6:Q14,5,FALSE)),"",ROUND(VLOOKUP(M15,M6:Q14,5,FALSE),0)/1000+ROUND(N15,3)),ROUND(VLOOKUP(M15,G6:K105,5,FALSE),0)/1000+ROUND(N15,3)),ROUND(VLOOKUP(M15,A6:E105,5,FALSE),0)/1000+ROUND(N15,3)))))</f>
        <v/>
      </c>
      <c r="Q15" s="88" t="str">
        <f>IF(OR(NOT(EXACT(UPPER(M15),"TBM")),N15=""),IF(AND(N15&lt;&gt;"",O15="",P15&lt;&gt;""),"",IF(AND(N15="",O15&lt;&gt;"",P15&lt;&gt;""),ROUND(ROUND(P15,3)-ROUND(O15,3),3)*1000,IF(AND(N15&lt;&gt;"",O15&lt;&gt;"",P15&lt;&gt;""),ROUND(ROUND(P14,3)-ROUND(O15,3),3)*1000,""))),"")</f>
        <v/>
      </c>
      <c r="R15" s="85" t="str">
        <f>IF(AND(NOT(ISNA(VLOOKUP(M15,A6:E105,5,FALSE))),N15="",O15&lt;&gt;""),ROUND((VLOOKUP(M15,A6:E105,5,FALSE)-Q15)/1000,3),IF(AND(NOT(ISNA(VLOOKUP(M15,G6:K105,5,FALSE))),N15="",O15&lt;&gt;""),ROUND((VLOOKUP(M15,G6:K105,5,FALSE)-Q15)/1000,3),IF(AND(NOT(ISNA(VLOOKUP(M15,M6:Q14,5,FALSE))),N15="",O15&lt;&gt;""),ROUND((VLOOKUP(M15,M6:Q14,5,FALSE)-Q15)/1000,3),"")))</f>
        <v/>
      </c>
      <c r="S15" s="81">
        <f>IF(S14="","",S14+1)</f>
        <v>309</v>
      </c>
      <c r="T15" s="82"/>
      <c r="U15" s="82"/>
      <c r="V15" s="83" t="str">
        <f>IF(AND(T15&lt;&gt;"",U15&lt;&gt;""),ROUND(T15,3)+ROUND(V14,3)-ROUND(U15,3),IF(AND(EXACT(UPPER(S15),"TBM"),T15&lt;&gt;""),ROUND(T15,3),IF(T15="",V14,IF(ISNA(VLOOKUP(S15,A6:E105,5,FALSE)),IF(ISNA(VLOOKUP(S15,G6:K105,5,FALSE)),IF(ISNA(VLOOKUP(S15,M6:Q105,5,FALSE)),IF(ISNA(VLOOKUP(S15,S6:W14,5,FALSE)),"",ROUND(VLOOKUP(S15,S6:W14,5,FALSE),0)/1000+ROUND(T15,3)),ROUND(VLOOKUP(S15,M6:Q105,5,FALSE),0)/1000+ROUND(T15,3)),ROUND(VLOOKUP(S15,G6:K105,5,FALSE),0)/1000+ROUND(T15,3)),ROUND(VLOOKUP(S15,A6:E105,5,FALSE),0)/1000+ROUND(T15,3)))))</f>
        <v/>
      </c>
      <c r="W15" s="88" t="str">
        <f>IF(OR(NOT(EXACT(UPPER(S15),"TBM")),T15=""),IF(AND(T15&lt;&gt;"",U15="",V15&lt;&gt;""),"",IF(AND(T15="",U15&lt;&gt;"",V15&lt;&gt;""),ROUND(ROUND(V15,3)-ROUND(U15,3),3)*1000,IF(AND(T15&lt;&gt;"",U15&lt;&gt;"",V15&lt;&gt;""),ROUND(ROUND(V14,3)-ROUND(U15,3),3)*1000,""))),"")</f>
        <v/>
      </c>
      <c r="X15" s="85" t="str">
        <f>IF(AND(NOT(ISNA(VLOOKUP(S15,A6:E105,5,FALSE))),T15="",U15&lt;&gt;""),ROUND((VLOOKUP(S15,A6:E105,5,FALSE)-W15)/1000,3),IF(AND(NOT(ISNA(VLOOKUP(S15,G6:K105,5,FALSE))),T15="",U15&lt;&gt;""),ROUND((VLOOKUP(S15,G6:K105,5,FALSE)-W15)/1000,3),IF(AND(NOT(ISNA(VLOOKUP(S15,M6:Q105,5,FALSE))),T15="",U15&lt;&gt;""),ROUND((VLOOKUP(S15,M6:Q105,5,FALSE)-W15)/1000,3),IF(AND(NOT(ISNA(VLOOKUP(S15,S6:W14,5,FALSE))),T15="",U15&lt;&gt;""),ROUND((VLOOKUP(S15,S6:W14,5,FALSE)-W15)/1000,3),""))))</f>
        <v/>
      </c>
      <c r="Y15" s="81">
        <f>IF(Y14="","",Y14+1)</f>
        <v>409</v>
      </c>
      <c r="Z15" s="82"/>
      <c r="AA15" s="82"/>
      <c r="AB15" s="83" t="str">
        <f>IF(AND(Z15&lt;&gt;"",AA15&lt;&gt;""),ROUND(Z15,3)+ROUND(AB14,3)-ROUND(AA15,3),IF(AND(EXACT(UPPER(Y15),"TBM"),Z15&lt;&gt;""),ROUND(Z15,3),IF(Z15="",AB14,IF(ISNA(VLOOKUP(Y15,A6:E105,5,FALSE)),IF(ISNA(VLOOKUP(Y15,G6:K105,5,FALSE)),IF(ISNA(VLOOKUP(Y15,M6:Q105,5,FALSE)),IF(ISNA(VLOOKUP(Y15,S6:W105,5,FALSE)),IF(ISNA(VLOOKUP(Y15,Y6:AC14,5,FALSE)),"",ROUND(VLOOKUP(Y15,Y6:AC14,5,FALSE),0)/1000+ROUND(Z15,3)),ROUND(VLOOKUP(Y15,S6:W105,5,FALSE),0)/1000+ROUND(Z15,3)),ROUND(VLOOKUP(Y15,M6:Q105,5,FALSE),0)/1000+ROUND(Z15,3)),ROUND(VLOOKUP(Y15,G6:K105,5,FALSE),0)/1000+ROUND(Z15,3)),ROUND(VLOOKUP(Y15,A6:E105,5,FALSE),0)/1000+ROUND(Z15,3)))))</f>
        <v/>
      </c>
      <c r="AC15" s="88" t="str">
        <f>IF(OR(NOT(EXACT(UPPER(Y15),"TBM")),Z15=""),IF(AND(Z15&lt;&gt;"",AA15="",AB15&lt;&gt;""),"",IF(AND(Z15="",AA15&lt;&gt;"",AB15&lt;&gt;""),ROUND(ROUND(AB15,3)-ROUND(AA15,3),3)*1000,IF(AND(Z15&lt;&gt;"",AA15&lt;&gt;"",AB15&lt;&gt;""),ROUND(ROUND(AB14,3)-ROUND(AA15,3),3)*1000,""))),"")</f>
        <v/>
      </c>
      <c r="AD15" s="85" t="str">
        <f>IF(AND(NOT(ISNA(VLOOKUP(Y15,A6:E105,5,FALSE))),Z15="",AA15&lt;&gt;""),ROUND((VLOOKUP(Y15,A6:E105,5,FALSE)-AC15)/1000,3),IF(AND(NOT(ISNA(VLOOKUP(Y15,G6:K105,5,FALSE))),Z15="",AA15&lt;&gt;""),ROUND((VLOOKUP(Y15,G6:K105,5,FALSE)-AC15)/1000,3),IF(AND(NOT(ISNA(VLOOKUP(Y15,M6:Q105,5,FALSE))),Z15="",AA15&lt;&gt;""),ROUND((VLOOKUP(Y15,M6:Q105,5,FALSE)-AC15)/1000,3),IF(AND(NOT(ISNA(VLOOKUP(Y15,S6:W105,5,FALSE))),Z15="",AA15&lt;&gt;""),ROUND((VLOOKUP(Y15,S6:W105,5,FALSE)-AC15)/1000,3),IF(AND(NOT(ISNA(VLOOKUP(Y15,Y6:AC14,5,FALSE))),Z15="",AA15&lt;&gt;""),ROUND((VLOOKUP(Y15,Y6:AC14,5,FALSE)-AC15)/1000,3),"")))))</f>
        <v/>
      </c>
      <c r="AE15" s="81">
        <f>IF(AE14="","",AE14+1)</f>
        <v>509</v>
      </c>
      <c r="AF15" s="82"/>
      <c r="AG15" s="82"/>
      <c r="AH15" s="83" t="str">
        <f>IF(AND(AF15&lt;&gt;"",AG15&lt;&gt;""),ROUND(AF15,3)+ROUND(AH14,3)-ROUND(AG15,3),IF(AND(EXACT(UPPER(AE15),"TBM"),AF15&lt;&gt;""),ROUND(AF15,3),IF(AF15="",AH14,IF(ISNA(VLOOKUP(AE15,A6:E105,5,FALSE)),IF(ISNA(VLOOKUP(AE15,G6:K105,5,FALSE)),IF(ISNA(VLOOKUP(AE15,M6:Q105,5,FALSE)),IF(ISNA(VLOOKUP(AE15,S6:W105,5,FALSE)),IF(ISNA(VLOOKUP(AE15,Y6:AC105,5,FALSE)),IF(ISNA(VLOOKUP(AE15,AE6:AI14,5,FALSE)),"",ROUND(VLOOKUP(AE15,AE6:AI14,5,FALSE),0)/1000+ROUND(AF15,3)),ROUND(VLOOKUP(AE15,Y6:AC105,5,FALSE),0)/1000+ROUND(AF15,3)),ROUND(VLOOKUP(AE15,S6:W105,5,FALSE),0)/1000+ROUND(AF15,3)),ROUND(VLOOKUP(AE15,M6:Q105,5,FALSE),0)/1000+ROUND(AF15,3)),ROUND(VLOOKUP(AE15,G6:K105,5,FALSE),0)/1000+ROUND(AF15,3)),ROUND(VLOOKUP(AE15,A6:E105,5,FALSE),0)/1000+ROUND(AF15,3)))))</f>
        <v/>
      </c>
      <c r="AI15" s="88" t="str">
        <f>IF(OR(NOT(EXACT(UPPER(AE15),"TBM")),AF15=""),IF(AND(AF15&lt;&gt;"",AG15="",AH15&lt;&gt;""),"",IF(AND(AF15="",AG15&lt;&gt;"",AH15&lt;&gt;""),ROUND(ROUND(AH15,3)-ROUND(AG15,3),3)*1000,IF(AND(AF15&lt;&gt;"",AG15&lt;&gt;"",AH15&lt;&gt;""),ROUND(ROUND(AH14,3)-ROUND(AG15,3),3)*1000,""))),"")</f>
        <v/>
      </c>
      <c r="AJ15" s="85" t="str">
        <f>IF(AND(NOT(ISNA(VLOOKUP(AE15,A6:E105,5,FALSE))),AF15="",AG15&lt;&gt;""),ROUND((VLOOKUP(AE15,A6:E105,5,FALSE)-AI15)/1000,3),IF(AND(NOT(ISNA(VLOOKUP(AE15,G6:K105,5,FALSE))),AF15="",AG15&lt;&gt;""),ROUND((VLOOKUP(AE15,G6:K105,5,FALSE)-AI15)/1000,3),IF(AND(NOT(ISNA(VLOOKUP(AE15,M6:Q105,5,FALSE))),AF15="",AG15&lt;&gt;""),ROUND((VLOOKUP(AE15,M6:Q105,5,FALSE)-AI15)/1000,3),IF(AND(NOT(ISNA(VLOOKUP(AE15,S6:W105,5,FALSE))),AF15="",AG15&lt;&gt;""),ROUND((VLOOKUP(AE15,S6:W105,5,FALSE)-AI15)/1000,3),IF(AND(NOT(ISNA(VLOOKUP(AE15,Y6:AC105,5,FALSE))),AF15="",AG15&lt;&gt;""),ROUND((VLOOKUP(AE15,Y6:AC105,5,FALSE)-AI15)/1000,3),IF(AND(NOT(ISNA(VLOOKUP(AE15,AE6:AI14,5,FALSE))),AF15="",AG15&lt;&gt;""),ROUND((VLOOKUP(AE15,AE6:AI14,5,FALSE)-AI15)/1000,3),""))))))</f>
        <v/>
      </c>
      <c r="AK15" s="81">
        <f>IF(AK14="","",AK14+1)</f>
        <v>609</v>
      </c>
      <c r="AL15" s="82"/>
      <c r="AM15" s="82"/>
      <c r="AN15" s="83" t="str">
        <f>IF(AND(AL15&lt;&gt;"",AM15&lt;&gt;""),ROUND(AL15,3)+ROUND(AN14,3)-ROUND(AM15,3),IF(AND(EXACT(UPPER(AK15),"TBM"),AL15&lt;&gt;""),ROUND(AL15,3),IF(AL15="",AN14,IF(ISNA(VLOOKUP(AK15,A6:E105,5,FALSE)),IF(ISNA(VLOOKUP(AK15,G6:K105,5,FALSE)),IF(ISNA(VLOOKUP(AK15,M6:Q105,5,FALSE)),IF(ISNA(VLOOKUP(AK15,S6:W105,5,FALSE)),IF(ISNA(VLOOKUP(AK15,Y6:AC105,5,FALSE)),IF(ISNA(VLOOKUP(AK15,AE6:AI105,5,FALSE)),IF(ISNA(VLOOKUP(AK15,AK6:AO14,5,FALSE)),"",ROUND(VLOOKUP(AK15,AK6:AO14,5,FALSE),0)/1000+ROUND(AL15,3)),ROUND(VLOOKUP(AK15,AE6:AI105,5,FALSE),0)/1000+ROUND(AL15,3)),ROUND(VLOOKUP(AK15,Y6:AC105,5,FALSE),0)/1000+ROUND(AL15,3)),ROUND(VLOOKUP(AK15,S6:W105,5,FALSE),0)/1000+ROUND(AL15,3)),ROUND(VLOOKUP(AK15,M6:Q105,5,FALSE),0)/1000+ROUND(AL15,3)),ROUND(VLOOKUP(AK15,G6:K105,5,FALSE),0)/1000+ROUND(AL15,3)),ROUND(VLOOKUP(AK15,A6:E105,5,FALSE),0)/1000+ROUND(AL15,3)))))</f>
        <v/>
      </c>
      <c r="AO15" s="88" t="str">
        <f>IF(OR(NOT(EXACT(UPPER(AK15),"TBM")),AL15=""),IF(AND(AL15&lt;&gt;"",AM15="",AN15&lt;&gt;""),"",IF(AND(AL15="",AM15&lt;&gt;"",AN15&lt;&gt;""),ROUND(ROUND(AN15,3)-ROUND(AM15,3),3)*1000,IF(AND(AL15&lt;&gt;"",AM15&lt;&gt;"",AN15&lt;&gt;""),ROUND(ROUND(AN14,3)-ROUND(AM15,3),3)*1000,""))),"")</f>
        <v/>
      </c>
      <c r="AP15" s="85" t="str">
        <f>IF(AND(NOT(ISNA(VLOOKUP(AK15,A6:E105,5,FALSE))),AL15="",AM15&lt;&gt;""),ROUND((VLOOKUP(AK15,A6:E105,5,FALSE)-AO15)/1000,3),IF(AND(NOT(ISNA(VLOOKUP(AK15,G6:K105,5,FALSE))),AL15="",AM15&lt;&gt;""),ROUND((VLOOKUP(AK15,G6:K105,5,FALSE)-AO15)/1000,3),IF(AND(NOT(ISNA(VLOOKUP(AK15,M6:Q105,5,FALSE))),AL15="",AM15&lt;&gt;""),ROUND((VLOOKUP(AK15,M6:Q105,5,FALSE)-AO15)/1000,3),IF(AND(NOT(ISNA(VLOOKUP(AK15,S6:W105,5,FALSE))),AL15="",AM15&lt;&gt;""),ROUND((VLOOKUP(AK15,S6:W105,5,FALSE)-AO15)/1000,3),IF(AND(NOT(ISNA(VLOOKUP(AK15,Y6:AC105,5,FALSE))),AL15="",AM15&lt;&gt;""),ROUND((VLOOKUP(AK15,Y6:AC105,5,FALSE)-AO15)/1000,3),IF(AND(NOT(ISNA(VLOOKUP(AK15,AE6:AI105,5,FALSE))),AL15="",AM15&lt;&gt;""),ROUND((VLOOKUP(AK15,AE6:AI105,5,FALSE)-AO15)/1000,3),IF(AND(NOT(ISNA(VLOOKUP(AK15,AK6:AO14,5,FALSE))),AL15="",AM15&lt;&gt;""),ROUND((VLOOKUP(AK15,AK6:AO14,5,FALSE)-AO15)/1000,3),"")))))))</f>
        <v/>
      </c>
      <c r="AQ15" s="81">
        <f>IF(AQ14="","",AQ14+1)</f>
        <v>709</v>
      </c>
      <c r="AR15" s="82"/>
      <c r="AS15" s="82"/>
      <c r="AT15" s="83" t="str">
        <f>IF(AND(AR15&lt;&gt;"",AS15&lt;&gt;""),ROUND(AR15,3)+ROUND(AT14,3)-ROUND(AS15,3),IF(AND(EXACT(UPPER(AQ15),"TBM"),AR15&lt;&gt;""),ROUND(AR15,3),IF(AR15="",AT14,IF(ISNA(VLOOKUP(AQ15,A6:E105,5,FALSE)),IF(ISNA(VLOOKUP(AQ15,G6:K105,5,FALSE)),IF(ISNA(VLOOKUP(AQ15,M6:Q105,5,FALSE)),IF(ISNA(VLOOKUP(AQ15,S6:W105,5,FALSE)),IF(ISNA(VLOOKUP(AQ15,Y6:AC105,5,FALSE)),IF(ISNA(VLOOKUP(AQ15,AE6:AI105,5,FALSE)),IF(ISNA(VLOOKUP(AQ15,AK6:AO105,5,FALSE)),IF(ISNA(VLOOKUP(AQ15,AQ6:AU14,5,FALSE)),"",ROUND(VLOOKUP(AQ15,AQ6:AU14,5,FALSE),0)/1000+ROUND(AR15,3)),ROUND(VLOOKUP(AQ15,AK6:AO105,5,FALSE),0)/1000+ROUND(AR15,3)),ROUND(VLOOKUP(AQ15,AE6:AI105,5,FALSE),0)/1000+ROUND(AR15,3)),ROUND(VLOOKUP(AQ15,Y6:AC105,5,FALSE),0)/1000+ROUND(AR15,3)),ROUND(VLOOKUP(AQ15,S6:W105,5,FALSE),0)/1000+ROUND(AR15,3)),ROUND(VLOOKUP(AQ15,M6:Q105,5,FALSE),0)/1000+ROUND(AR15,3)),ROUND(VLOOKUP(AQ15,G6:K105,5,FALSE),0)/1000+ROUND(AR15,3)),ROUND(VLOOKUP(AQ15,A6:E105,5,FALSE),0)/1000+ROUND(AR15,3)))))</f>
        <v/>
      </c>
      <c r="AU15" s="88" t="str">
        <f>IF(OR(NOT(EXACT(UPPER(AQ15),"TBM")),AR15=""),IF(AND(AR15&lt;&gt;"",AS15="",AT15&lt;&gt;""),"",IF(AND(AR15="",AS15&lt;&gt;"",AT15&lt;&gt;""),ROUND(ROUND(AT15,3)-ROUND(AS15,3),3)*1000,IF(AND(AR15&lt;&gt;"",AS15&lt;&gt;"",AT15&lt;&gt;""),ROUND(ROUND(AT14,3)-ROUND(AS15,3),3)*1000,""))),"")</f>
        <v/>
      </c>
      <c r="AV15" s="85" t="str">
        <f>IF(AND(NOT(ISNA(VLOOKUP(AQ15,A6:E105,5,FALSE))),AR15="",AS15&lt;&gt;""),ROUND((VLOOKUP(AQ15,A6:E105,5,FALSE)-AU15)/1000,3),IF(AND(NOT(ISNA(VLOOKUP(AQ15,G6:K105,5,FALSE))),AR15="",AS15&lt;&gt;""),ROUND((VLOOKUP(AQ15,G6:K105,5,FALSE)-AU15)/1000,3),IF(AND(NOT(ISNA(VLOOKUP(AQ15,M6:Q105,5,FALSE))),AR15="",AS15&lt;&gt;""),ROUND((VLOOKUP(AQ15,M6:Q105,5,FALSE)-AU15)/1000,3),IF(AND(NOT(ISNA(VLOOKUP(AQ15,S6:W105,5,FALSE))),AR15="",AS15&lt;&gt;""),ROUND((VLOOKUP(AQ15,S6:W105,5,FALSE)-AU15)/1000,3),IF(AND(NOT(ISNA(VLOOKUP(AQ15,Y6:AC105,5,FALSE))),AR15="",AS15&lt;&gt;""),ROUND((VLOOKUP(AQ15,Y6:AC105,5,FALSE)-AU15)/1000,3),IF(AND(NOT(ISNA(VLOOKUP(AQ15,AE6:AI105,5,FALSE))),AR15="",AS15&lt;&gt;""),ROUND((VLOOKUP(AQ15,AE6:AI105,5,FALSE)-AU15)/1000,3),IF(AND(NOT(ISNA(VLOOKUP(AQ15,AK6:AO105,5,FALSE))),AR15="",AS15&lt;&gt;""),ROUND((VLOOKUP(AQ15,AK6:AO105,5,FALSE)-AU15)/1000,3),IF(AND(NOT(ISNA(VLOOKUP(AQ15,AQ6:AU14,5,FALSE))),AR15="",AS15&lt;&gt;""),ROUND((VLOOKUP(AQ15,AQ6:AU14,5,FALSE)-AU15)/1000,3),""))))))))</f>
        <v/>
      </c>
      <c r="AW15" s="81">
        <f>IF(AW14="","",AW14+1)</f>
        <v>809</v>
      </c>
      <c r="AX15" s="82"/>
      <c r="AY15" s="82"/>
      <c r="AZ15" s="83" t="str">
        <f>IF(AND(AX15&lt;&gt;"",AY15&lt;&gt;""),ROUND(AX15,3)+ROUND(AZ14,3)-ROUND(AY15,3),IF(AND(EXACT(UPPER(AW15),"TBM"),AX15&lt;&gt;""),ROUND(AX15,3),IF(AX15="",AZ14,IF(ISNA(VLOOKUP(AW15,A6:E105,5,FALSE)),IF(ISNA(VLOOKUP(AW15,G6:K105,5,FALSE)),IF(ISNA(VLOOKUP(AW15,M6:Q105,5,FALSE)),IF(ISNA(VLOOKUP(AW15,S6:W105,5,FALSE)),IF(ISNA(VLOOKUP(AW15,Y6:AC105,5,FALSE)),IF(ISNA(VLOOKUP(AW15,AE6:AI105,5,FALSE)),IF(ISNA(VLOOKUP(AW15,AK6:AO105,5,FALSE)),IF(ISNA(VLOOKUP(AW15,AQ6:AU105,5,FALSE)),IF(ISNA(VLOOKUP(AW15,AW6:BA14,5,FALSE)),"",ROUND(VLOOKUP(AW15,AW6:BA14,5,FALSE),0)/1000+ROUND(AX15,3)),ROUND(VLOOKUP(AW15,AQ6:AU105,5,FALSE),0)/1000+ROUND(AX15,3)),ROUND(VLOOKUP(AW15,AK6:AO105,5,FALSE),0)/1000+ROUND(AX15,3)),ROUND(VLOOKUP(AW15,AE6:AI105,5,FALSE),0)/1000+ROUND(AX15,3)),ROUND(VLOOKUP(AW15,Y6:AC105,5,FALSE),0)/1000+ROUND(AX15,3)),ROUND(VLOOKUP(AW15,S6:W105,5,FALSE),0)/1000+ROUND(AX15,3)),ROUND(VLOOKUP(AW15,M6:Q105,5,FALSE),0)/1000+ROUND(AX15,3)),ROUND(VLOOKUP(AW15,G6:K105,5,FALSE),0)/1000+ROUND(AX15,3)),ROUND(VLOOKUP(AW15,A6:E105,5,FALSE),0)/1000+ROUND(AX15,3)))))</f>
        <v/>
      </c>
      <c r="BA15" s="88" t="str">
        <f>IF(OR(NOT(EXACT(UPPER(AW15),"TBM")),AX15=""),IF(AND(AX15&lt;&gt;"",AY15="",AZ15&lt;&gt;""),"",IF(AND(AX15="",AY15&lt;&gt;"",AZ15&lt;&gt;""),ROUND(ROUND(AZ15,3)-ROUND(AY15,3),3)*1000,IF(AND(AX15&lt;&gt;"",AY15&lt;&gt;"",AZ15&lt;&gt;""),ROUND(ROUND(AZ14,3)-ROUND(AY15,3),3)*1000,""))),"")</f>
        <v/>
      </c>
      <c r="BB15" s="85" t="str">
        <f>IF(AND(NOT(ISNA(VLOOKUP(AW15,A6:E105,5,FALSE))),AX15="",AY15&lt;&gt;""),ROUND((VLOOKUP(AW15,A6:E105,5,FALSE)-BA15)/1000,3),IF(AND(NOT(ISNA(VLOOKUP(AW15,G6:K105,5,FALSE))),AX15="",AY15&lt;&gt;""),ROUND((VLOOKUP(AW15,G6:K105,5,FALSE)-BA15)/1000,3),IF(AND(NOT(ISNA(VLOOKUP(AW15,M6:Q105,5,FALSE))),AX15="",AY15&lt;&gt;""),ROUND((VLOOKUP(AW15,M6:Q105,5,FALSE)-BA15)/1000,3),IF(AND(NOT(ISNA(VLOOKUP(AW15,S6:W105,5,FALSE))),AX15="",AY15&lt;&gt;""),ROUND((VLOOKUP(AW15,S6:W105,5,FALSE)-BA15)/1000,3),IF(AND(NOT(ISNA(VLOOKUP(AW15,Y6:AC105,5,FALSE))),AX15="",AY15&lt;&gt;""),ROUND((VLOOKUP(AW15,Y6:AC105,5,FALSE)-BA15)/1000,3),IF(AND(NOT(ISNA(VLOOKUP(AW15,AE6:AI105,5,FALSE))),AX15="",AY15&lt;&gt;""),ROUND((VLOOKUP(AW15,AE6:AI105,5,FALSE)-BA15)/1000,3),IF(AND(NOT(ISNA(VLOOKUP(AW15,AK6:AO105,5,FALSE))),AX15="",AY15&lt;&gt;""),ROUND((VLOOKUP(AW15,AK6:AO105,5,FALSE)-BA15)/1000,3),IF(AND(NOT(ISNA(VLOOKUP(AW15,AQ6:AU105,5,FALSE))),AX15="",AY15&lt;&gt;""),ROUND((VLOOKUP(AW15,AQ6:AU105,5,FALSE)-BA15)/1000,3),IF(AND(NOT(ISNA(VLOOKUP(AW15,AW6:BA14,5,FALSE))),AX15="",AY15&lt;&gt;""),ROUND((VLOOKUP(AW15,AW6:BA14,5,FALSE)-BA15)/1000,3),"")))))))))</f>
        <v/>
      </c>
      <c r="BC15" s="81">
        <f>IF(BC14="","",BC14+1)</f>
        <v>909</v>
      </c>
      <c r="BD15" s="82"/>
      <c r="BE15" s="82"/>
      <c r="BF15" s="83" t="str">
        <f>IF(AND(BD15&lt;&gt;"",BE15&lt;&gt;""),ROUND(BD15,3)+ROUND(BF14,3)-ROUND(BE15,3),IF(AND(EXACT(UPPER(BC15),"TBM"),BD15&lt;&gt;""),ROUND(BD15,3),IF(BD15="",BF14,IF(ISNA(VLOOKUP(BC15,A6:E105,5,FALSE)),IF(ISNA(VLOOKUP(BC15,G6:K105,5,FALSE)),IF(ISNA(VLOOKUP(BC15,M6:Q105,5,FALSE)),IF(ISNA(VLOOKUP(BC15,S6:W105,5,FALSE)),IF(ISNA(VLOOKUP(BC15,Y6:AC105,5,FALSE)),IF(ISNA(VLOOKUP(BC15,AE6:AI105,5,FALSE)),IF(ISNA(VLOOKUP(BC15,AK6:AO105,5,FALSE)),IF(ISNA(VLOOKUP(BC15,AQ6:AU105,5,FALSE)),IF(ISNA(VLOOKUP(BC15,AW6:BA105,5,FALSE)),IF(ISNA(VLOOKUP(BC15,BC6:BG14,5,FALSE)),"",ROUND(VLOOKUP(BC15,BC6:BG14,5,FALSE),0)/1000+ROUND(BD15,3)),ROUND(VLOOKUP(BC15,AW6:BA105,5,FALSE),0)/1000+ROUND(BD15,3)),ROUND(VLOOKUP(BC15,AQ6:AU105,5,FALSE),0)/1000+ROUND(BD15,3)),ROUND(VLOOKUP(BC15,AK6:AO105,5,FALSE),0)/1000+ROUND(BD15,3)),ROUND(VLOOKUP(BC15,AE6:AI105,5,FALSE),0)/1000+ROUND(BD15,3)),ROUND(VLOOKUP(BC15,Y6:AC105,5,FALSE),0)/1000+ROUND(BD15,3)),ROUND(VLOOKUP(BC15,S6:W105,5,FALSE),0)/1000+ROUND(BD15,3)),ROUND(VLOOKUP(BC15,M6:Q105,5,FALSE),0)/1000+ROUND(BD15,3)),ROUND(VLOOKUP(BC15,G6:K105,5,FALSE),0)/1000+ROUND(BD15,3)),ROUND(VLOOKUP(BC15,A6:E105,5,FALSE),0)/1000+ROUND(BD15,3)))))</f>
        <v/>
      </c>
      <c r="BG15" s="88" t="str">
        <f>IF(OR(NOT(EXACT(UPPER(BC15),"TBM")),BD15=""),IF(AND(BD15&lt;&gt;"",BE15="",BF15&lt;&gt;""),"",IF(AND(BD15="",BE15&lt;&gt;"",BF15&lt;&gt;""),ROUND(ROUND(BF15,3)-ROUND(BE15,3),3)*1000,IF(AND(BD15&lt;&gt;"",BE15&lt;&gt;"",BF15&lt;&gt;""),ROUND(ROUND(BF14,3)-ROUND(BE15,3),3)*1000,""))),"")</f>
        <v/>
      </c>
      <c r="BH15" s="85" t="str">
        <f>IF(AND(NOT(ISNA(VLOOKUP(BC15,A6:E105,5,FALSE))),BD15="",BE15&lt;&gt;""),ROUND((VLOOKUP(BC15,A6:E105,5,FALSE)-BG15)/1000,3),IF(AND(NOT(ISNA(VLOOKUP(BC15,G6:K105,5,FALSE))),BD15="",BE15&lt;&gt;""),ROUND((VLOOKUP(BC15,G6:K105,5,FALSE)-BG15)/1000,3),IF(AND(NOT(ISNA(VLOOKUP(BC15,M6:Q105,5,FALSE))),BD15="",BE15&lt;&gt;""),ROUND((VLOOKUP(BC15,M6:Q105,5,FALSE)-BG15)/1000,3),IF(AND(NOT(ISNA(VLOOKUP(BC15,S6:W105,5,FALSE))),BD15="",BE15&lt;&gt;""),ROUND((VLOOKUP(BC15,S6:W105,5,FALSE)-BG15)/1000,3),IF(AND(NOT(ISNA(VLOOKUP(BC15,Y6:AC105,5,FALSE))),BD15="",BE15&lt;&gt;""),ROUND((VLOOKUP(BC15,Y6:AC105,5,FALSE)-BG15)/1000,3),IF(AND(NOT(ISNA(VLOOKUP(BC15,AE6:AI105,5,FALSE))),BD15="",BE15&lt;&gt;""),ROUND((VLOOKUP(BC15,AE6:AI105,5,FALSE)-BG15)/1000,3),IF(AND(NOT(ISNA(VLOOKUP(BC15,AK6:AO105,5,FALSE))),BD15="",BE15&lt;&gt;""),ROUND((VLOOKUP(BC15,AK6:AO105,5,FALSE)-BG15)/1000,3),IF(AND(NOT(ISNA(VLOOKUP(BC15,AQ6:AU105,5,FALSE))),BD15="",BE15&lt;&gt;""),ROUND((VLOOKUP(BC15,AQ6:AU105,5,FALSE)-BG15)/1000,3),IF(AND(NOT(ISNA(VLOOKUP(BC15,AW6:BA105,5,FALSE))),BD15="",BE15&lt;&gt;""),ROUND((VLOOKUP(BC15,AW6:BA105,5,FALSE)-BG15)/1000,3),IF(AND(NOT(ISNA(VLOOKUP(BC15,BC6:BG14,5,FALSE))),BD15="",BE15&lt;&gt;""),ROUND((VLOOKUP(BC15,BC6:BG14,5,FALSE)-BG15)/1000,3),""))))))))))</f>
        <v/>
      </c>
    </row>
    <row r="16" spans="1:60" x14ac:dyDescent="0.25">
      <c r="A16" s="64">
        <f t="shared" si="3"/>
        <v>10</v>
      </c>
      <c r="B16" s="38"/>
      <c r="C16" s="38"/>
      <c r="D16" s="17" t="str">
        <f>IF(AND(B16&lt;&gt;"",C16&lt;&gt;""),ROUND(B16,3)+ROUND(D15,3)-ROUND(C16,3),IF(AND(EXACT(UPPER(A16),"TBM"),B16&lt;&gt;""),ROUND(B16,3),IF(B16="",D15,IF(ISNA(VLOOKUP(A16,A6:E15,5,FALSE)),"",ROUND(VLOOKUP(A16,A6:E15,5,FALSE),0)/1000+ROUND(B16,3)))))</f>
        <v/>
      </c>
      <c r="E16" s="22" t="str">
        <f t="shared" si="0"/>
        <v/>
      </c>
      <c r="F16" s="66" t="str">
        <f>IF(AND(NOT(ISNA(VLOOKUP(A16,A6:E15,5,FALSE))),B16="",C16&lt;&gt;""),ROUND((VLOOKUP(A16,A6:E15,5,FALSE)-E16)/1000,3),"")</f>
        <v/>
      </c>
      <c r="G16" s="64">
        <f t="shared" si="1"/>
        <v>110</v>
      </c>
      <c r="H16" s="38"/>
      <c r="I16" s="38"/>
      <c r="J16" s="17" t="str">
        <f>IF(AND(H16&lt;&gt;"",I16&lt;&gt;""),ROUND(H16,3)+ROUND(J15,3)-ROUND(I16,3),IF(AND(EXACT(UPPER(G16),"TBM"),H16&lt;&gt;""),ROUND(H16,3),IF(H16="",J15,IF(ISNA(VLOOKUP(G16,A6:E105,5,FALSE)),IF(ISNA(VLOOKUP(G16,G6:K15,5,FALSE)),"",ROUND(VLOOKUP(G16,G6:K15,5,FALSE),0)/1000+ROUND(H16,3)),ROUND(VLOOKUP(G16,A6:E105,5,FALSE),0)/1000+ROUND(H16,3)))))</f>
        <v/>
      </c>
      <c r="K16" s="18" t="str">
        <f t="shared" si="2"/>
        <v/>
      </c>
      <c r="L16" s="44" t="str">
        <f>IF(AND(NOT(ISNA(VLOOKUP(G16,A6:E105,5,FALSE))),H16="",I16&lt;&gt;""),ROUND((VLOOKUP(G16,A6:E105,5,FALSE)-K16)/1000,3),IF(AND(NOT(ISNA(VLOOKUP(G16,G6:K15,5,FALSE))),H16="",I16&lt;&gt;""),ROUND((VLOOKUP(G16,G6:K15,5,FALSE)-K16)/1000,3),""))</f>
        <v/>
      </c>
      <c r="M16" s="64">
        <f>IF(M15="","",M15+1)</f>
        <v>210</v>
      </c>
      <c r="N16" s="38"/>
      <c r="O16" s="38"/>
      <c r="P16" s="17" t="str">
        <f>IF(AND(N16&lt;&gt;"",O16&lt;&gt;""),ROUND(N16,3)+ROUND(P15,3)-ROUND(O16,3),IF(AND(EXACT(UPPER(M16),"TBM"),N16&lt;&gt;""),ROUND(N16,3),IF(N16="",P15,IF(ISNA(VLOOKUP(M16,A6:E105,5,FALSE)),IF(ISNA(VLOOKUP(M16,G6:K105,5,FALSE)),IF(ISNA(VLOOKUP(M16,M6:Q15,5,FALSE)),"",ROUND(VLOOKUP(M16,M6:Q15,5,FALSE),0)/1000+ROUND(N16,3)),ROUND(VLOOKUP(M16,G6:K105,5,FALSE),0)/1000+ROUND(N16,3)),ROUND(VLOOKUP(M16,A6:E105,5,FALSE),0)/1000+ROUND(N16,3)))))</f>
        <v/>
      </c>
      <c r="Q16" s="18" t="str">
        <f>IF(OR(NOT(EXACT(UPPER(M16),"TBM")),N16=""),IF(AND(N16&lt;&gt;"",O16="",P16&lt;&gt;""),"",IF(AND(N16="",O16&lt;&gt;"",P16&lt;&gt;""),ROUND(ROUND(P16,3)-ROUND(O16,3),3)*1000,IF(AND(N16&lt;&gt;"",O16&lt;&gt;"",P16&lt;&gt;""),ROUND(ROUND(P15,3)-ROUND(O16,3),3)*1000,""))),"")</f>
        <v/>
      </c>
      <c r="R16" s="44" t="str">
        <f>IF(AND(NOT(ISNA(VLOOKUP(M16,A6:E105,5,FALSE))),N16="",O16&lt;&gt;""),ROUND((VLOOKUP(M16,A6:E105,5,FALSE)-Q16)/1000,3),IF(AND(NOT(ISNA(VLOOKUP(M16,G6:K105,5,FALSE))),N16="",O16&lt;&gt;""),ROUND((VLOOKUP(M16,G6:K105,5,FALSE)-Q16)/1000,3),IF(AND(NOT(ISNA(VLOOKUP(M16,M6:Q15,5,FALSE))),N16="",O16&lt;&gt;""),ROUND((VLOOKUP(M16,M6:Q15,5,FALSE)-Q16)/1000,3),"")))</f>
        <v/>
      </c>
      <c r="S16" s="64">
        <f>IF(S15="","",S15+1)</f>
        <v>310</v>
      </c>
      <c r="T16" s="38"/>
      <c r="U16" s="38"/>
      <c r="V16" s="17" t="str">
        <f>IF(AND(T16&lt;&gt;"",U16&lt;&gt;""),ROUND(T16,3)+ROUND(V15,3)-ROUND(U16,3),IF(AND(EXACT(UPPER(S16),"TBM"),T16&lt;&gt;""),ROUND(T16,3),IF(T16="",V15,IF(ISNA(VLOOKUP(S16,A6:E105,5,FALSE)),IF(ISNA(VLOOKUP(S16,G6:K105,5,FALSE)),IF(ISNA(VLOOKUP(S16,M6:Q105,5,FALSE)),IF(ISNA(VLOOKUP(S16,S6:W15,5,FALSE)),"",ROUND(VLOOKUP(S16,S6:W15,5,FALSE),0)/1000+ROUND(T16,3)),ROUND(VLOOKUP(S16,M6:Q105,5,FALSE),0)/1000+ROUND(T16,3)),ROUND(VLOOKUP(S16,G6:K105,5,FALSE),0)/1000+ROUND(T16,3)),ROUND(VLOOKUP(S16,A6:E105,5,FALSE),0)/1000+ROUND(T16,3)))))</f>
        <v/>
      </c>
      <c r="W16" s="18" t="str">
        <f>IF(OR(NOT(EXACT(UPPER(S16),"TBM")),T16=""),IF(AND(T16&lt;&gt;"",U16="",V16&lt;&gt;""),"",IF(AND(T16="",U16&lt;&gt;"",V16&lt;&gt;""),ROUND(ROUND(V16,3)-ROUND(U16,3),3)*1000,IF(AND(T16&lt;&gt;"",U16&lt;&gt;"",V16&lt;&gt;""),ROUND(ROUND(V15,3)-ROUND(U16,3),3)*1000,""))),"")</f>
        <v/>
      </c>
      <c r="X16" s="44" t="str">
        <f>IF(AND(NOT(ISNA(VLOOKUP(S16,A6:E105,5,FALSE))),T16="",U16&lt;&gt;""),ROUND((VLOOKUP(S16,A6:E105,5,FALSE)-W16)/1000,3),IF(AND(NOT(ISNA(VLOOKUP(S16,G6:K105,5,FALSE))),T16="",U16&lt;&gt;""),ROUND((VLOOKUP(S16,G6:K105,5,FALSE)-W16)/1000,3),IF(AND(NOT(ISNA(VLOOKUP(S16,M6:Q105,5,FALSE))),T16="",U16&lt;&gt;""),ROUND((VLOOKUP(S16,M6:Q105,5,FALSE)-W16)/1000,3),IF(AND(NOT(ISNA(VLOOKUP(S16,S6:W15,5,FALSE))),T16="",U16&lt;&gt;""),ROUND((VLOOKUP(S16,S6:W15,5,FALSE)-W16)/1000,3),""))))</f>
        <v/>
      </c>
      <c r="Y16" s="64">
        <f>IF(Y15="","",Y15+1)</f>
        <v>410</v>
      </c>
      <c r="Z16" s="38"/>
      <c r="AA16" s="38"/>
      <c r="AB16" s="17" t="str">
        <f>IF(AND(Z16&lt;&gt;"",AA16&lt;&gt;""),ROUND(Z16,3)+ROUND(AB15,3)-ROUND(AA16,3),IF(AND(EXACT(UPPER(Y16),"TBM"),Z16&lt;&gt;""),ROUND(Z16,3),IF(Z16="",AB15,IF(ISNA(VLOOKUP(Y16,A6:E105,5,FALSE)),IF(ISNA(VLOOKUP(Y16,G6:K105,5,FALSE)),IF(ISNA(VLOOKUP(Y16,M6:Q105,5,FALSE)),IF(ISNA(VLOOKUP(Y16,S6:W105,5,FALSE)),IF(ISNA(VLOOKUP(Y16,Y6:AC15,5,FALSE)),"",ROUND(VLOOKUP(Y16,Y6:AC15,5,FALSE),0)/1000+ROUND(Z16,3)),ROUND(VLOOKUP(Y16,S6:W105,5,FALSE),0)/1000+ROUND(Z16,3)),ROUND(VLOOKUP(Y16,M6:Q105,5,FALSE),0)/1000+ROUND(Z16,3)),ROUND(VLOOKUP(Y16,G6:K105,5,FALSE),0)/1000+ROUND(Z16,3)),ROUND(VLOOKUP(Y16,A6:E105,5,FALSE),0)/1000+ROUND(Z16,3)))))</f>
        <v/>
      </c>
      <c r="AC16" s="18" t="str">
        <f>IF(OR(NOT(EXACT(UPPER(Y16),"TBM")),Z16=""),IF(AND(Z16&lt;&gt;"",AA16="",AB16&lt;&gt;""),"",IF(AND(Z16="",AA16&lt;&gt;"",AB16&lt;&gt;""),ROUND(ROUND(AB16,3)-ROUND(AA16,3),3)*1000,IF(AND(Z16&lt;&gt;"",AA16&lt;&gt;"",AB16&lt;&gt;""),ROUND(ROUND(AB15,3)-ROUND(AA16,3),3)*1000,""))),"")</f>
        <v/>
      </c>
      <c r="AD16" s="44" t="str">
        <f>IF(AND(NOT(ISNA(VLOOKUP(Y16,A6:E105,5,FALSE))),Z16="",AA16&lt;&gt;""),ROUND((VLOOKUP(Y16,A6:E105,5,FALSE)-AC16)/1000,3),IF(AND(NOT(ISNA(VLOOKUP(Y16,G6:K105,5,FALSE))),Z16="",AA16&lt;&gt;""),ROUND((VLOOKUP(Y16,G6:K105,5,FALSE)-AC16)/1000,3),IF(AND(NOT(ISNA(VLOOKUP(Y16,M6:Q105,5,FALSE))),Z16="",AA16&lt;&gt;""),ROUND((VLOOKUP(Y16,M6:Q105,5,FALSE)-AC16)/1000,3),IF(AND(NOT(ISNA(VLOOKUP(Y16,S6:W105,5,FALSE))),Z16="",AA16&lt;&gt;""),ROUND((VLOOKUP(Y16,S6:W105,5,FALSE)-AC16)/1000,3),IF(AND(NOT(ISNA(VLOOKUP(Y16,Y6:AC15,5,FALSE))),Z16="",AA16&lt;&gt;""),ROUND((VLOOKUP(Y16,Y6:AC15,5,FALSE)-AC16)/1000,3),"")))))</f>
        <v/>
      </c>
      <c r="AE16" s="64">
        <f>IF(AE15="","",AE15+1)</f>
        <v>510</v>
      </c>
      <c r="AF16" s="38"/>
      <c r="AG16" s="38"/>
      <c r="AH16" s="17" t="str">
        <f>IF(AND(AF16&lt;&gt;"",AG16&lt;&gt;""),ROUND(AF16,3)+ROUND(AH15,3)-ROUND(AG16,3),IF(AND(EXACT(UPPER(AE16),"TBM"),AF16&lt;&gt;""),ROUND(AF16,3),IF(AF16="",AH15,IF(ISNA(VLOOKUP(AE16,A6:E105,5,FALSE)),IF(ISNA(VLOOKUP(AE16,G6:K105,5,FALSE)),IF(ISNA(VLOOKUP(AE16,M6:Q105,5,FALSE)),IF(ISNA(VLOOKUP(AE16,S6:W105,5,FALSE)),IF(ISNA(VLOOKUP(AE16,Y6:AC105,5,FALSE)),IF(ISNA(VLOOKUP(AE16,AE6:AI15,5,FALSE)),"",ROUND(VLOOKUP(AE16,AE6:AI15,5,FALSE),0)/1000+ROUND(AF16,3)),ROUND(VLOOKUP(AE16,Y6:AC105,5,FALSE),0)/1000+ROUND(AF16,3)),ROUND(VLOOKUP(AE16,S6:W105,5,FALSE),0)/1000+ROUND(AF16,3)),ROUND(VLOOKUP(AE16,M6:Q105,5,FALSE),0)/1000+ROUND(AF16,3)),ROUND(VLOOKUP(AE16,G6:K105,5,FALSE),0)/1000+ROUND(AF16,3)),ROUND(VLOOKUP(AE16,A6:E105,5,FALSE),0)/1000+ROUND(AF16,3)))))</f>
        <v/>
      </c>
      <c r="AI16" s="18" t="str">
        <f>IF(OR(NOT(EXACT(UPPER(AE16),"TBM")),AF16=""),IF(AND(AF16&lt;&gt;"",AG16="",AH16&lt;&gt;""),"",IF(AND(AF16="",AG16&lt;&gt;"",AH16&lt;&gt;""),ROUND(ROUND(AH16,3)-ROUND(AG16,3),3)*1000,IF(AND(AF16&lt;&gt;"",AG16&lt;&gt;"",AH16&lt;&gt;""),ROUND(ROUND(AH15,3)-ROUND(AG16,3),3)*1000,""))),"")</f>
        <v/>
      </c>
      <c r="AJ16" s="44" t="str">
        <f>IF(AND(NOT(ISNA(VLOOKUP(AE16,A6:E105,5,FALSE))),AF16="",AG16&lt;&gt;""),ROUND((VLOOKUP(AE16,A6:E105,5,FALSE)-AI16)/1000,3),IF(AND(NOT(ISNA(VLOOKUP(AE16,G6:K105,5,FALSE))),AF16="",AG16&lt;&gt;""),ROUND((VLOOKUP(AE16,G6:K105,5,FALSE)-AI16)/1000,3),IF(AND(NOT(ISNA(VLOOKUP(AE16,M6:Q105,5,FALSE))),AF16="",AG16&lt;&gt;""),ROUND((VLOOKUP(AE16,M6:Q105,5,FALSE)-AI16)/1000,3),IF(AND(NOT(ISNA(VLOOKUP(AE16,S6:W105,5,FALSE))),AF16="",AG16&lt;&gt;""),ROUND((VLOOKUP(AE16,S6:W105,5,FALSE)-AI16)/1000,3),IF(AND(NOT(ISNA(VLOOKUP(AE16,Y6:AC105,5,FALSE))),AF16="",AG16&lt;&gt;""),ROUND((VLOOKUP(AE16,Y6:AC105,5,FALSE)-AI16)/1000,3),IF(AND(NOT(ISNA(VLOOKUP(AE16,AE6:AI15,5,FALSE))),AF16="",AG16&lt;&gt;""),ROUND((VLOOKUP(AE16,AE6:AI15,5,FALSE)-AI16)/1000,3),""))))))</f>
        <v/>
      </c>
      <c r="AK16" s="64">
        <f>IF(AK15="","",AK15+1)</f>
        <v>610</v>
      </c>
      <c r="AL16" s="38"/>
      <c r="AM16" s="38"/>
      <c r="AN16" s="17" t="str">
        <f>IF(AND(AL16&lt;&gt;"",AM16&lt;&gt;""),ROUND(AL16,3)+ROUND(AN15,3)-ROUND(AM16,3),IF(AND(EXACT(UPPER(AK16),"TBM"),AL16&lt;&gt;""),ROUND(AL16,3),IF(AL16="",AN15,IF(ISNA(VLOOKUP(AK16,A6:E105,5,FALSE)),IF(ISNA(VLOOKUP(AK16,G6:K105,5,FALSE)),IF(ISNA(VLOOKUP(AK16,M6:Q105,5,FALSE)),IF(ISNA(VLOOKUP(AK16,S6:W105,5,FALSE)),IF(ISNA(VLOOKUP(AK16,Y6:AC105,5,FALSE)),IF(ISNA(VLOOKUP(AK16,AE6:AI105,5,FALSE)),IF(ISNA(VLOOKUP(AK16,AK6:AO15,5,FALSE)),"",ROUND(VLOOKUP(AK16,AK6:AO15,5,FALSE),0)/1000+ROUND(AL16,3)),ROUND(VLOOKUP(AK16,AE6:AI105,5,FALSE),0)/1000+ROUND(AL16,3)),ROUND(VLOOKUP(AK16,Y6:AC105,5,FALSE),0)/1000+ROUND(AL16,3)),ROUND(VLOOKUP(AK16,S6:W105,5,FALSE),0)/1000+ROUND(AL16,3)),ROUND(VLOOKUP(AK16,M6:Q105,5,FALSE),0)/1000+ROUND(AL16,3)),ROUND(VLOOKUP(AK16,G6:K105,5,FALSE),0)/1000+ROUND(AL16,3)),ROUND(VLOOKUP(AK16,A6:E105,5,FALSE),0)/1000+ROUND(AL16,3)))))</f>
        <v/>
      </c>
      <c r="AO16" s="18" t="str">
        <f>IF(OR(NOT(EXACT(UPPER(AK16),"TBM")),AL16=""),IF(AND(AL16&lt;&gt;"",AM16="",AN16&lt;&gt;""),"",IF(AND(AL16="",AM16&lt;&gt;"",AN16&lt;&gt;""),ROUND(ROUND(AN16,3)-ROUND(AM16,3),3)*1000,IF(AND(AL16&lt;&gt;"",AM16&lt;&gt;"",AN16&lt;&gt;""),ROUND(ROUND(AN15,3)-ROUND(AM16,3),3)*1000,""))),"")</f>
        <v/>
      </c>
      <c r="AP16" s="44" t="str">
        <f>IF(AND(NOT(ISNA(VLOOKUP(AK16,A6:E105,5,FALSE))),AL16="",AM16&lt;&gt;""),ROUND((VLOOKUP(AK16,A6:E105,5,FALSE)-AO16)/1000,3),IF(AND(NOT(ISNA(VLOOKUP(AK16,G6:K105,5,FALSE))),AL16="",AM16&lt;&gt;""),ROUND((VLOOKUP(AK16,G6:K105,5,FALSE)-AO16)/1000,3),IF(AND(NOT(ISNA(VLOOKUP(AK16,M6:Q105,5,FALSE))),AL16="",AM16&lt;&gt;""),ROUND((VLOOKUP(AK16,M6:Q105,5,FALSE)-AO16)/1000,3),IF(AND(NOT(ISNA(VLOOKUP(AK16,S6:W105,5,FALSE))),AL16="",AM16&lt;&gt;""),ROUND((VLOOKUP(AK16,S6:W105,5,FALSE)-AO16)/1000,3),IF(AND(NOT(ISNA(VLOOKUP(AK16,Y6:AC105,5,FALSE))),AL16="",AM16&lt;&gt;""),ROUND((VLOOKUP(AK16,Y6:AC105,5,FALSE)-AO16)/1000,3),IF(AND(NOT(ISNA(VLOOKUP(AK16,AE6:AI105,5,FALSE))),AL16="",AM16&lt;&gt;""),ROUND((VLOOKUP(AK16,AE6:AI105,5,FALSE)-AO16)/1000,3),IF(AND(NOT(ISNA(VLOOKUP(AK16,AK6:AO15,5,FALSE))),AL16="",AM16&lt;&gt;""),ROUND((VLOOKUP(AK16,AK6:AO15,5,FALSE)-AO16)/1000,3),"")))))))</f>
        <v/>
      </c>
      <c r="AQ16" s="64">
        <f>IF(AQ15="","",AQ15+1)</f>
        <v>710</v>
      </c>
      <c r="AR16" s="38"/>
      <c r="AS16" s="38"/>
      <c r="AT16" s="17" t="str">
        <f>IF(AND(AR16&lt;&gt;"",AS16&lt;&gt;""),ROUND(AR16,3)+ROUND(AT15,3)-ROUND(AS16,3),IF(AND(EXACT(UPPER(AQ16),"TBM"),AR16&lt;&gt;""),ROUND(AR16,3),IF(AR16="",AT15,IF(ISNA(VLOOKUP(AQ16,A6:E105,5,FALSE)),IF(ISNA(VLOOKUP(AQ16,G6:K105,5,FALSE)),IF(ISNA(VLOOKUP(AQ16,M6:Q105,5,FALSE)),IF(ISNA(VLOOKUP(AQ16,S6:W105,5,FALSE)),IF(ISNA(VLOOKUP(AQ16,Y6:AC105,5,FALSE)),IF(ISNA(VLOOKUP(AQ16,AE6:AI105,5,FALSE)),IF(ISNA(VLOOKUP(AQ16,AK6:AO105,5,FALSE)),IF(ISNA(VLOOKUP(AQ16,AQ6:AU15,5,FALSE)),"",ROUND(VLOOKUP(AQ16,AQ6:AU15,5,FALSE),0)/1000+ROUND(AR16,3)),ROUND(VLOOKUP(AQ16,AK6:AO105,5,FALSE),0)/1000+ROUND(AR16,3)),ROUND(VLOOKUP(AQ16,AE6:AI105,5,FALSE),0)/1000+ROUND(AR16,3)),ROUND(VLOOKUP(AQ16,Y6:AC105,5,FALSE),0)/1000+ROUND(AR16,3)),ROUND(VLOOKUP(AQ16,S6:W105,5,FALSE),0)/1000+ROUND(AR16,3)),ROUND(VLOOKUP(AQ16,M6:Q105,5,FALSE),0)/1000+ROUND(AR16,3)),ROUND(VLOOKUP(AQ16,G6:K105,5,FALSE),0)/1000+ROUND(AR16,3)),ROUND(VLOOKUP(AQ16,A6:E105,5,FALSE),0)/1000+ROUND(AR16,3)))))</f>
        <v/>
      </c>
      <c r="AU16" s="18" t="str">
        <f>IF(OR(NOT(EXACT(UPPER(AQ16),"TBM")),AR16=""),IF(AND(AR16&lt;&gt;"",AS16="",AT16&lt;&gt;""),"",IF(AND(AR16="",AS16&lt;&gt;"",AT16&lt;&gt;""),ROUND(ROUND(AT16,3)-ROUND(AS16,3),3)*1000,IF(AND(AR16&lt;&gt;"",AS16&lt;&gt;"",AT16&lt;&gt;""),ROUND(ROUND(AT15,3)-ROUND(AS16,3),3)*1000,""))),"")</f>
        <v/>
      </c>
      <c r="AV16" s="44" t="str">
        <f>IF(AND(NOT(ISNA(VLOOKUP(AQ16,A6:E105,5,FALSE))),AR16="",AS16&lt;&gt;""),ROUND((VLOOKUP(AQ16,A6:E105,5,FALSE)-AU16)/1000,3),IF(AND(NOT(ISNA(VLOOKUP(AQ16,G6:K105,5,FALSE))),AR16="",AS16&lt;&gt;""),ROUND((VLOOKUP(AQ16,G6:K105,5,FALSE)-AU16)/1000,3),IF(AND(NOT(ISNA(VLOOKUP(AQ16,M6:Q105,5,FALSE))),AR16="",AS16&lt;&gt;""),ROUND((VLOOKUP(AQ16,M6:Q105,5,FALSE)-AU16)/1000,3),IF(AND(NOT(ISNA(VLOOKUP(AQ16,S6:W105,5,FALSE))),AR16="",AS16&lt;&gt;""),ROUND((VLOOKUP(AQ16,S6:W105,5,FALSE)-AU16)/1000,3),IF(AND(NOT(ISNA(VLOOKUP(AQ16,Y6:AC105,5,FALSE))),AR16="",AS16&lt;&gt;""),ROUND((VLOOKUP(AQ16,Y6:AC105,5,FALSE)-AU16)/1000,3),IF(AND(NOT(ISNA(VLOOKUP(AQ16,AE6:AI105,5,FALSE))),AR16="",AS16&lt;&gt;""),ROUND((VLOOKUP(AQ16,AE6:AI105,5,FALSE)-AU16)/1000,3),IF(AND(NOT(ISNA(VLOOKUP(AQ16,AK6:AO105,5,FALSE))),AR16="",AS16&lt;&gt;""),ROUND((VLOOKUP(AQ16,AK6:AO105,5,FALSE)-AU16)/1000,3),IF(AND(NOT(ISNA(VLOOKUP(AQ16,AQ6:AU15,5,FALSE))),AR16="",AS16&lt;&gt;""),ROUND((VLOOKUP(AQ16,AQ6:AU15,5,FALSE)-AU16)/1000,3),""))))))))</f>
        <v/>
      </c>
      <c r="AW16" s="64">
        <f>IF(AW15="","",AW15+1)</f>
        <v>810</v>
      </c>
      <c r="AX16" s="38"/>
      <c r="AY16" s="38"/>
      <c r="AZ16" s="17" t="str">
        <f>IF(AND(AX16&lt;&gt;"",AY16&lt;&gt;""),ROUND(AX16,3)+ROUND(AZ15,3)-ROUND(AY16,3),IF(AND(EXACT(UPPER(AW16),"TBM"),AX16&lt;&gt;""),ROUND(AX16,3),IF(AX16="",AZ15,IF(ISNA(VLOOKUP(AW16,A6:E105,5,FALSE)),IF(ISNA(VLOOKUP(AW16,G6:K105,5,FALSE)),IF(ISNA(VLOOKUP(AW16,M6:Q105,5,FALSE)),IF(ISNA(VLOOKUP(AW16,S6:W105,5,FALSE)),IF(ISNA(VLOOKUP(AW16,Y6:AC105,5,FALSE)),IF(ISNA(VLOOKUP(AW16,AE6:AI105,5,FALSE)),IF(ISNA(VLOOKUP(AW16,AK6:AO105,5,FALSE)),IF(ISNA(VLOOKUP(AW16,AQ6:AU105,5,FALSE)),IF(ISNA(VLOOKUP(AW16,AW6:BA15,5,FALSE)),"",ROUND(VLOOKUP(AW16,AW6:BA15,5,FALSE),0)/1000+ROUND(AX16,3)),ROUND(VLOOKUP(AW16,AQ6:AU105,5,FALSE),0)/1000+ROUND(AX16,3)),ROUND(VLOOKUP(AW16,AK6:AO105,5,FALSE),0)/1000+ROUND(AX16,3)),ROUND(VLOOKUP(AW16,AE6:AI105,5,FALSE),0)/1000+ROUND(AX16,3)),ROUND(VLOOKUP(AW16,Y6:AC105,5,FALSE),0)/1000+ROUND(AX16,3)),ROUND(VLOOKUP(AW16,S6:W105,5,FALSE),0)/1000+ROUND(AX16,3)),ROUND(VLOOKUP(AW16,M6:Q105,5,FALSE),0)/1000+ROUND(AX16,3)),ROUND(VLOOKUP(AW16,G6:K105,5,FALSE),0)/1000+ROUND(AX16,3)),ROUND(VLOOKUP(AW16,A6:E105,5,FALSE),0)/1000+ROUND(AX16,3)))))</f>
        <v/>
      </c>
      <c r="BA16" s="18" t="str">
        <f>IF(OR(NOT(EXACT(UPPER(AW16),"TBM")),AX16=""),IF(AND(AX16&lt;&gt;"",AY16="",AZ16&lt;&gt;""),"",IF(AND(AX16="",AY16&lt;&gt;"",AZ16&lt;&gt;""),ROUND(ROUND(AZ16,3)-ROUND(AY16,3),3)*1000,IF(AND(AX16&lt;&gt;"",AY16&lt;&gt;"",AZ16&lt;&gt;""),ROUND(ROUND(AZ15,3)-ROUND(AY16,3),3)*1000,""))),"")</f>
        <v/>
      </c>
      <c r="BB16" s="44" t="str">
        <f>IF(AND(NOT(ISNA(VLOOKUP(AW16,A6:E105,5,FALSE))),AX16="",AY16&lt;&gt;""),ROUND((VLOOKUP(AW16,A6:E105,5,FALSE)-BA16)/1000,3),IF(AND(NOT(ISNA(VLOOKUP(AW16,G6:K105,5,FALSE))),AX16="",AY16&lt;&gt;""),ROUND((VLOOKUP(AW16,G6:K105,5,FALSE)-BA16)/1000,3),IF(AND(NOT(ISNA(VLOOKUP(AW16,M6:Q105,5,FALSE))),AX16="",AY16&lt;&gt;""),ROUND((VLOOKUP(AW16,M6:Q105,5,FALSE)-BA16)/1000,3),IF(AND(NOT(ISNA(VLOOKUP(AW16,S6:W105,5,FALSE))),AX16="",AY16&lt;&gt;""),ROUND((VLOOKUP(AW16,S6:W105,5,FALSE)-BA16)/1000,3),IF(AND(NOT(ISNA(VLOOKUP(AW16,Y6:AC105,5,FALSE))),AX16="",AY16&lt;&gt;""),ROUND((VLOOKUP(AW16,Y6:AC105,5,FALSE)-BA16)/1000,3),IF(AND(NOT(ISNA(VLOOKUP(AW16,AE6:AI105,5,FALSE))),AX16="",AY16&lt;&gt;""),ROUND((VLOOKUP(AW16,AE6:AI105,5,FALSE)-BA16)/1000,3),IF(AND(NOT(ISNA(VLOOKUP(AW16,AK6:AO105,5,FALSE))),AX16="",AY16&lt;&gt;""),ROUND((VLOOKUP(AW16,AK6:AO105,5,FALSE)-BA16)/1000,3),IF(AND(NOT(ISNA(VLOOKUP(AW16,AQ6:AU105,5,FALSE))),AX16="",AY16&lt;&gt;""),ROUND((VLOOKUP(AW16,AQ6:AU105,5,FALSE)-BA16)/1000,3),IF(AND(NOT(ISNA(VLOOKUP(AW16,AW6:BA15,5,FALSE))),AX16="",AY16&lt;&gt;""),ROUND((VLOOKUP(AW16,AW6:BA15,5,FALSE)-BA16)/1000,3),"")))))))))</f>
        <v/>
      </c>
      <c r="BC16" s="64">
        <f>IF(BC15="","",BC15+1)</f>
        <v>910</v>
      </c>
      <c r="BD16" s="38"/>
      <c r="BE16" s="38"/>
      <c r="BF16" s="17" t="str">
        <f>IF(AND(BD16&lt;&gt;"",BE16&lt;&gt;""),ROUND(BD16,3)+ROUND(BF15,3)-ROUND(BE16,3),IF(AND(EXACT(UPPER(BC16),"TBM"),BD16&lt;&gt;""),ROUND(BD16,3),IF(BD16="",BF15,IF(ISNA(VLOOKUP(BC16,A6:E105,5,FALSE)),IF(ISNA(VLOOKUP(BC16,G6:K105,5,FALSE)),IF(ISNA(VLOOKUP(BC16,M6:Q105,5,FALSE)),IF(ISNA(VLOOKUP(BC16,S6:W105,5,FALSE)),IF(ISNA(VLOOKUP(BC16,Y6:AC105,5,FALSE)),IF(ISNA(VLOOKUP(BC16,AE6:AI105,5,FALSE)),IF(ISNA(VLOOKUP(BC16,AK6:AO105,5,FALSE)),IF(ISNA(VLOOKUP(BC16,AQ6:AU105,5,FALSE)),IF(ISNA(VLOOKUP(BC16,AW6:BA105,5,FALSE)),IF(ISNA(VLOOKUP(BC16,BC6:BG15,5,FALSE)),"",ROUND(VLOOKUP(BC16,BC6:BG15,5,FALSE),0)/1000+ROUND(BD16,3)),ROUND(VLOOKUP(BC16,AW6:BA105,5,FALSE),0)/1000+ROUND(BD16,3)),ROUND(VLOOKUP(BC16,AQ6:AU105,5,FALSE),0)/1000+ROUND(BD16,3)),ROUND(VLOOKUP(BC16,AK6:AO105,5,FALSE),0)/1000+ROUND(BD16,3)),ROUND(VLOOKUP(BC16,AE6:AI105,5,FALSE),0)/1000+ROUND(BD16,3)),ROUND(VLOOKUP(BC16,Y6:AC105,5,FALSE),0)/1000+ROUND(BD16,3)),ROUND(VLOOKUP(BC16,S6:W105,5,FALSE),0)/1000+ROUND(BD16,3)),ROUND(VLOOKUP(BC16,M6:Q105,5,FALSE),0)/1000+ROUND(BD16,3)),ROUND(VLOOKUP(BC16,G6:K105,5,FALSE),0)/1000+ROUND(BD16,3)),ROUND(VLOOKUP(BC16,A6:E105,5,FALSE),0)/1000+ROUND(BD16,3)))))</f>
        <v/>
      </c>
      <c r="BG16" s="18" t="str">
        <f>IF(OR(NOT(EXACT(UPPER(BC16),"TBM")),BD16=""),IF(AND(BD16&lt;&gt;"",BE16="",BF16&lt;&gt;""),"",IF(AND(BD16="",BE16&lt;&gt;"",BF16&lt;&gt;""),ROUND(ROUND(BF16,3)-ROUND(BE16,3),3)*1000,IF(AND(BD16&lt;&gt;"",BE16&lt;&gt;"",BF16&lt;&gt;""),ROUND(ROUND(BF15,3)-ROUND(BE16,3),3)*1000,""))),"")</f>
        <v/>
      </c>
      <c r="BH16" s="44" t="str">
        <f>IF(AND(NOT(ISNA(VLOOKUP(BC16,A6:E105,5,FALSE))),BD16="",BE16&lt;&gt;""),ROUND((VLOOKUP(BC16,A6:E105,5,FALSE)-BG16)/1000,3),IF(AND(NOT(ISNA(VLOOKUP(BC16,G6:K105,5,FALSE))),BD16="",BE16&lt;&gt;""),ROUND((VLOOKUP(BC16,G6:K105,5,FALSE)-BG16)/1000,3),IF(AND(NOT(ISNA(VLOOKUP(BC16,M6:Q105,5,FALSE))),BD16="",BE16&lt;&gt;""),ROUND((VLOOKUP(BC16,M6:Q105,5,FALSE)-BG16)/1000,3),IF(AND(NOT(ISNA(VLOOKUP(BC16,S6:W105,5,FALSE))),BD16="",BE16&lt;&gt;""),ROUND((VLOOKUP(BC16,S6:W105,5,FALSE)-BG16)/1000,3),IF(AND(NOT(ISNA(VLOOKUP(BC16,Y6:AC105,5,FALSE))),BD16="",BE16&lt;&gt;""),ROUND((VLOOKUP(BC16,Y6:AC105,5,FALSE)-BG16)/1000,3),IF(AND(NOT(ISNA(VLOOKUP(BC16,AE6:AI105,5,FALSE))),BD16="",BE16&lt;&gt;""),ROUND((VLOOKUP(BC16,AE6:AI105,5,FALSE)-BG16)/1000,3),IF(AND(NOT(ISNA(VLOOKUP(BC16,AK6:AO105,5,FALSE))),BD16="",BE16&lt;&gt;""),ROUND((VLOOKUP(BC16,AK6:AO105,5,FALSE)-BG16)/1000,3),IF(AND(NOT(ISNA(VLOOKUP(BC16,AQ6:AU105,5,FALSE))),BD16="",BE16&lt;&gt;""),ROUND((VLOOKUP(BC16,AQ6:AU105,5,FALSE)-BG16)/1000,3),IF(AND(NOT(ISNA(VLOOKUP(BC16,AW6:BA105,5,FALSE))),BD16="",BE16&lt;&gt;""),ROUND((VLOOKUP(BC16,AW6:BA105,5,FALSE)-BG16)/1000,3),IF(AND(NOT(ISNA(VLOOKUP(BC16,BC6:BG15,5,FALSE))),BD16="",BE16&lt;&gt;""),ROUND((VLOOKUP(BC16,BC6:BG15,5,FALSE)-BG16)/1000,3),""))))))))))</f>
        <v/>
      </c>
    </row>
    <row r="17" spans="1:60" x14ac:dyDescent="0.25">
      <c r="A17" s="19">
        <f t="shared" si="3"/>
        <v>11</v>
      </c>
      <c r="B17" s="39"/>
      <c r="C17" s="39"/>
      <c r="D17" s="15" t="str">
        <f>IF(AND(B17&lt;&gt;"",C17&lt;&gt;""),ROUND(B17,3)+ROUND(D16,3)-ROUND(C17,3),IF(AND(EXACT(UPPER(A17),"TBM"),B17&lt;&gt;""),ROUND(B17,3),IF(B17="",D16,IF(ISNA(VLOOKUP(A17,A6:E16,5,FALSE)),"",ROUND(VLOOKUP(A17,A6:E16,5,FALSE),0)/1000+ROUND(B17,3)))))</f>
        <v/>
      </c>
      <c r="E17" s="21" t="str">
        <f t="shared" si="0"/>
        <v/>
      </c>
      <c r="F17" s="45" t="str">
        <f>IF(AND(NOT(ISNA(VLOOKUP(A17,A6:E16,5,FALSE))),B17="",C17&lt;&gt;""),ROUND((VLOOKUP(A17,A6:E16,5,FALSE)-E17)/1000,3),"")</f>
        <v/>
      </c>
      <c r="G17" s="19">
        <f t="shared" si="1"/>
        <v>111</v>
      </c>
      <c r="H17" s="39"/>
      <c r="I17" s="39"/>
      <c r="J17" s="15" t="str">
        <f>IF(AND(H17&lt;&gt;"",I17&lt;&gt;""),ROUND(H17,3)+ROUND(J16,3)-ROUND(I17,3),IF(AND(EXACT(UPPER(G17),"TBM"),H17&lt;&gt;""),ROUND(H17,3),IF(H17="",J16,IF(ISNA(VLOOKUP(G17,A6:E105,5,FALSE)),IF(ISNA(VLOOKUP(G17,G6:K16,5,FALSE)),"",ROUND(VLOOKUP(G17,G6:K16,5,FALSE),0)/1000+ROUND(H17,3)),ROUND(VLOOKUP(G17,A6:E105,5,FALSE),0)/1000+ROUND(H17,3)))))</f>
        <v/>
      </c>
      <c r="K17" s="18" t="str">
        <f t="shared" si="2"/>
        <v/>
      </c>
      <c r="L17" s="45" t="str">
        <f>IF(AND(NOT(ISNA(VLOOKUP(G17,A6:E105,5,FALSE))),H17="",I17&lt;&gt;""),ROUND((VLOOKUP(G17,A6:E105,5,FALSE)-K17)/1000,3),IF(AND(NOT(ISNA(VLOOKUP(G17,G6:K16,5,FALSE))),H17="",I17&lt;&gt;""),ROUND((VLOOKUP(G17,G6:K16,5,FALSE)-K17)/1000,3),""))</f>
        <v/>
      </c>
      <c r="M17" s="19">
        <f>IF(M16="","",M16+1)</f>
        <v>211</v>
      </c>
      <c r="N17" s="39"/>
      <c r="O17" s="39"/>
      <c r="P17" s="15" t="str">
        <f>IF(AND(N17&lt;&gt;"",O17&lt;&gt;""),ROUND(N17,3)+ROUND(P16,3)-ROUND(O17,3),IF(AND(EXACT(UPPER(M17),"TBM"),N17&lt;&gt;""),ROUND(N17,3),IF(N17="",P16,IF(ISNA(VLOOKUP(M17,A6:E105,5,FALSE)),IF(ISNA(VLOOKUP(M17,G6:K105,5,FALSE)),IF(ISNA(VLOOKUP(M17,M6:Q16,5,FALSE)),"",ROUND(VLOOKUP(M17,M6:Q16,5,FALSE),0)/1000+ROUND(N17,3)),ROUND(VLOOKUP(M17,G6:K105,5,FALSE),0)/1000+ROUND(N17,3)),ROUND(VLOOKUP(M17,A6:E105,5,FALSE),0)/1000+ROUND(N17,3)))))</f>
        <v/>
      </c>
      <c r="Q17" s="18" t="str">
        <f>IF(OR(NOT(EXACT(UPPER(M17),"TBM")),N17=""),IF(AND(N17&lt;&gt;"",O17="",P17&lt;&gt;""),"",IF(AND(N17="",O17&lt;&gt;"",P17&lt;&gt;""),ROUND(ROUND(P17,3)-ROUND(O17,3),3)*1000,IF(AND(N17&lt;&gt;"",O17&lt;&gt;"",P17&lt;&gt;""),ROUND(ROUND(P16,3)-ROUND(O17,3),3)*1000,""))),"")</f>
        <v/>
      </c>
      <c r="R17" s="45" t="str">
        <f>IF(AND(NOT(ISNA(VLOOKUP(M17,A6:E105,5,FALSE))),N17="",O17&lt;&gt;""),ROUND((VLOOKUP(M17,A6:E105,5,FALSE)-Q17)/1000,3),IF(AND(NOT(ISNA(VLOOKUP(M17,G6:K105,5,FALSE))),N17="",O17&lt;&gt;""),ROUND((VLOOKUP(M17,G6:K105,5,FALSE)-Q17)/1000,3),IF(AND(NOT(ISNA(VLOOKUP(M17,M6:Q16,5,FALSE))),N17="",O17&lt;&gt;""),ROUND((VLOOKUP(M17,M6:Q16,5,FALSE)-Q17)/1000,3),"")))</f>
        <v/>
      </c>
      <c r="S17" s="19">
        <f>IF(S16="","",S16+1)</f>
        <v>311</v>
      </c>
      <c r="T17" s="39"/>
      <c r="U17" s="39"/>
      <c r="V17" s="15" t="str">
        <f>IF(AND(T17&lt;&gt;"",U17&lt;&gt;""),ROUND(T17,3)+ROUND(V16,3)-ROUND(U17,3),IF(AND(EXACT(UPPER(S17),"TBM"),T17&lt;&gt;""),ROUND(T17,3),IF(T17="",V16,IF(ISNA(VLOOKUP(S17,A6:E105,5,FALSE)),IF(ISNA(VLOOKUP(S17,G6:K105,5,FALSE)),IF(ISNA(VLOOKUP(S17,M6:Q105,5,FALSE)),IF(ISNA(VLOOKUP(S17,S6:W16,5,FALSE)),"",ROUND(VLOOKUP(S17,S6:W16,5,FALSE),0)/1000+ROUND(T17,3)),ROUND(VLOOKUP(S17,M6:Q105,5,FALSE),0)/1000+ROUND(T17,3)),ROUND(VLOOKUP(S17,G6:K105,5,FALSE),0)/1000+ROUND(T17,3)),ROUND(VLOOKUP(S17,A6:E105,5,FALSE),0)/1000+ROUND(T17,3)))))</f>
        <v/>
      </c>
      <c r="W17" s="18" t="str">
        <f>IF(OR(NOT(EXACT(UPPER(S17),"TBM")),T17=""),IF(AND(T17&lt;&gt;"",U17="",V17&lt;&gt;""),"",IF(AND(T17="",U17&lt;&gt;"",V17&lt;&gt;""),ROUND(ROUND(V17,3)-ROUND(U17,3),3)*1000,IF(AND(T17&lt;&gt;"",U17&lt;&gt;"",V17&lt;&gt;""),ROUND(ROUND(V16,3)-ROUND(U17,3),3)*1000,""))),"")</f>
        <v/>
      </c>
      <c r="X17" s="45" t="str">
        <f>IF(AND(NOT(ISNA(VLOOKUP(S17,A6:E105,5,FALSE))),T17="",U17&lt;&gt;""),ROUND((VLOOKUP(S17,A6:E105,5,FALSE)-W17)/1000,3),IF(AND(NOT(ISNA(VLOOKUP(S17,G6:K105,5,FALSE))),T17="",U17&lt;&gt;""),ROUND((VLOOKUP(S17,G6:K105,5,FALSE)-W17)/1000,3),IF(AND(NOT(ISNA(VLOOKUP(S17,M6:Q105,5,FALSE))),T17="",U17&lt;&gt;""),ROUND((VLOOKUP(S17,M6:Q105,5,FALSE)-W17)/1000,3),IF(AND(NOT(ISNA(VLOOKUP(S17,S6:W16,5,FALSE))),T17="",U17&lt;&gt;""),ROUND((VLOOKUP(S17,S6:W16,5,FALSE)-W17)/1000,3),""))))</f>
        <v/>
      </c>
      <c r="Y17" s="19">
        <f>IF(Y16="","",Y16+1)</f>
        <v>411</v>
      </c>
      <c r="Z17" s="39"/>
      <c r="AA17" s="39"/>
      <c r="AB17" s="15" t="str">
        <f>IF(AND(Z17&lt;&gt;"",AA17&lt;&gt;""),ROUND(Z17,3)+ROUND(AB16,3)-ROUND(AA17,3),IF(AND(EXACT(UPPER(Y17),"TBM"),Z17&lt;&gt;""),ROUND(Z17,3),IF(Z17="",AB16,IF(ISNA(VLOOKUP(Y17,A6:E105,5,FALSE)),IF(ISNA(VLOOKUP(Y17,G6:K105,5,FALSE)),IF(ISNA(VLOOKUP(Y17,M6:Q105,5,FALSE)),IF(ISNA(VLOOKUP(Y17,S6:W105,5,FALSE)),IF(ISNA(VLOOKUP(Y17,Y6:AC16,5,FALSE)),"",ROUND(VLOOKUP(Y17,Y6:AC16,5,FALSE),0)/1000+ROUND(Z17,3)),ROUND(VLOOKUP(Y17,S6:W105,5,FALSE),0)/1000+ROUND(Z17,3)),ROUND(VLOOKUP(Y17,M6:Q105,5,FALSE),0)/1000+ROUND(Z17,3)),ROUND(VLOOKUP(Y17,G6:K105,5,FALSE),0)/1000+ROUND(Z17,3)),ROUND(VLOOKUP(Y17,A6:E105,5,FALSE),0)/1000+ROUND(Z17,3)))))</f>
        <v/>
      </c>
      <c r="AC17" s="18" t="str">
        <f>IF(OR(NOT(EXACT(UPPER(Y17),"TBM")),Z17=""),IF(AND(Z17&lt;&gt;"",AA17="",AB17&lt;&gt;""),"",IF(AND(Z17="",AA17&lt;&gt;"",AB17&lt;&gt;""),ROUND(ROUND(AB17,3)-ROUND(AA17,3),3)*1000,IF(AND(Z17&lt;&gt;"",AA17&lt;&gt;"",AB17&lt;&gt;""),ROUND(ROUND(AB16,3)-ROUND(AA17,3),3)*1000,""))),"")</f>
        <v/>
      </c>
      <c r="AD17" s="45" t="str">
        <f>IF(AND(NOT(ISNA(VLOOKUP(Y17,A6:E105,5,FALSE))),Z17="",AA17&lt;&gt;""),ROUND((VLOOKUP(Y17,A6:E105,5,FALSE)-AC17)/1000,3),IF(AND(NOT(ISNA(VLOOKUP(Y17,G6:K105,5,FALSE))),Z17="",AA17&lt;&gt;""),ROUND((VLOOKUP(Y17,G6:K105,5,FALSE)-AC17)/1000,3),IF(AND(NOT(ISNA(VLOOKUP(Y17,M6:Q105,5,FALSE))),Z17="",AA17&lt;&gt;""),ROUND((VLOOKUP(Y17,M6:Q105,5,FALSE)-AC17)/1000,3),IF(AND(NOT(ISNA(VLOOKUP(Y17,S6:W105,5,FALSE))),Z17="",AA17&lt;&gt;""),ROUND((VLOOKUP(Y17,S6:W105,5,FALSE)-AC17)/1000,3),IF(AND(NOT(ISNA(VLOOKUP(Y17,Y6:AC16,5,FALSE))),Z17="",AA17&lt;&gt;""),ROUND((VLOOKUP(Y17,Y6:AC16,5,FALSE)-AC17)/1000,3),"")))))</f>
        <v/>
      </c>
      <c r="AE17" s="19">
        <f>IF(AE16="","",AE16+1)</f>
        <v>511</v>
      </c>
      <c r="AF17" s="39"/>
      <c r="AG17" s="39"/>
      <c r="AH17" s="15" t="str">
        <f>IF(AND(AF17&lt;&gt;"",AG17&lt;&gt;""),ROUND(AF17,3)+ROUND(AH16,3)-ROUND(AG17,3),IF(AND(EXACT(UPPER(AE17),"TBM"),AF17&lt;&gt;""),ROUND(AF17,3),IF(AF17="",AH16,IF(ISNA(VLOOKUP(AE17,A6:E105,5,FALSE)),IF(ISNA(VLOOKUP(AE17,G6:K105,5,FALSE)),IF(ISNA(VLOOKUP(AE17,M6:Q105,5,FALSE)),IF(ISNA(VLOOKUP(AE17,S6:W105,5,FALSE)),IF(ISNA(VLOOKUP(AE17,Y6:AC105,5,FALSE)),IF(ISNA(VLOOKUP(AE17,AE6:AI16,5,FALSE)),"",ROUND(VLOOKUP(AE17,AE6:AI16,5,FALSE),0)/1000+ROUND(AF17,3)),ROUND(VLOOKUP(AE17,Y6:AC105,5,FALSE),0)/1000+ROUND(AF17,3)),ROUND(VLOOKUP(AE17,S6:W105,5,FALSE),0)/1000+ROUND(AF17,3)),ROUND(VLOOKUP(AE17,M6:Q105,5,FALSE),0)/1000+ROUND(AF17,3)),ROUND(VLOOKUP(AE17,G6:K105,5,FALSE),0)/1000+ROUND(AF17,3)),ROUND(VLOOKUP(AE17,A6:E105,5,FALSE),0)/1000+ROUND(AF17,3)))))</f>
        <v/>
      </c>
      <c r="AI17" s="18" t="str">
        <f>IF(OR(NOT(EXACT(UPPER(AE17),"TBM")),AF17=""),IF(AND(AF17&lt;&gt;"",AG17="",AH17&lt;&gt;""),"",IF(AND(AF17="",AG17&lt;&gt;"",AH17&lt;&gt;""),ROUND(ROUND(AH17,3)-ROUND(AG17,3),3)*1000,IF(AND(AF17&lt;&gt;"",AG17&lt;&gt;"",AH17&lt;&gt;""),ROUND(ROUND(AH16,3)-ROUND(AG17,3),3)*1000,""))),"")</f>
        <v/>
      </c>
      <c r="AJ17" s="45" t="str">
        <f>IF(AND(NOT(ISNA(VLOOKUP(AE17,A6:E105,5,FALSE))),AF17="",AG17&lt;&gt;""),ROUND((VLOOKUP(AE17,A6:E105,5,FALSE)-AI17)/1000,3),IF(AND(NOT(ISNA(VLOOKUP(AE17,G6:K105,5,FALSE))),AF17="",AG17&lt;&gt;""),ROUND((VLOOKUP(AE17,G6:K105,5,FALSE)-AI17)/1000,3),IF(AND(NOT(ISNA(VLOOKUP(AE17,M6:Q105,5,FALSE))),AF17="",AG17&lt;&gt;""),ROUND((VLOOKUP(AE17,M6:Q105,5,FALSE)-AI17)/1000,3),IF(AND(NOT(ISNA(VLOOKUP(AE17,S6:W105,5,FALSE))),AF17="",AG17&lt;&gt;""),ROUND((VLOOKUP(AE17,S6:W105,5,FALSE)-AI17)/1000,3),IF(AND(NOT(ISNA(VLOOKUP(AE17,Y6:AC105,5,FALSE))),AF17="",AG17&lt;&gt;""),ROUND((VLOOKUP(AE17,Y6:AC105,5,FALSE)-AI17)/1000,3),IF(AND(NOT(ISNA(VLOOKUP(AE17,AE6:AI16,5,FALSE))),AF17="",AG17&lt;&gt;""),ROUND((VLOOKUP(AE17,AE6:AI16,5,FALSE)-AI17)/1000,3),""))))))</f>
        <v/>
      </c>
      <c r="AK17" s="19">
        <f>IF(AK16="","",AK16+1)</f>
        <v>611</v>
      </c>
      <c r="AL17" s="39"/>
      <c r="AM17" s="39"/>
      <c r="AN17" s="15" t="str">
        <f>IF(AND(AL17&lt;&gt;"",AM17&lt;&gt;""),ROUND(AL17,3)+ROUND(AN16,3)-ROUND(AM17,3),IF(AND(EXACT(UPPER(AK17),"TBM"),AL17&lt;&gt;""),ROUND(AL17,3),IF(AL17="",AN16,IF(ISNA(VLOOKUP(AK17,A6:E105,5,FALSE)),IF(ISNA(VLOOKUP(AK17,G6:K105,5,FALSE)),IF(ISNA(VLOOKUP(AK17,M6:Q105,5,FALSE)),IF(ISNA(VLOOKUP(AK17,S6:W105,5,FALSE)),IF(ISNA(VLOOKUP(AK17,Y6:AC105,5,FALSE)),IF(ISNA(VLOOKUP(AK17,AE6:AI105,5,FALSE)),IF(ISNA(VLOOKUP(AK17,AK6:AO16,5,FALSE)),"",ROUND(VLOOKUP(AK17,AK6:AO16,5,FALSE),0)/1000+ROUND(AL17,3)),ROUND(VLOOKUP(AK17,AE6:AI105,5,FALSE),0)/1000+ROUND(AL17,3)),ROUND(VLOOKUP(AK17,Y6:AC105,5,FALSE),0)/1000+ROUND(AL17,3)),ROUND(VLOOKUP(AK17,S6:W105,5,FALSE),0)/1000+ROUND(AL17,3)),ROUND(VLOOKUP(AK17,M6:Q105,5,FALSE),0)/1000+ROUND(AL17,3)),ROUND(VLOOKUP(AK17,G6:K105,5,FALSE),0)/1000+ROUND(AL17,3)),ROUND(VLOOKUP(AK17,A6:E105,5,FALSE),0)/1000+ROUND(AL17,3)))))</f>
        <v/>
      </c>
      <c r="AO17" s="18" t="str">
        <f>IF(OR(NOT(EXACT(UPPER(AK17),"TBM")),AL17=""),IF(AND(AL17&lt;&gt;"",AM17="",AN17&lt;&gt;""),"",IF(AND(AL17="",AM17&lt;&gt;"",AN17&lt;&gt;""),ROUND(ROUND(AN17,3)-ROUND(AM17,3),3)*1000,IF(AND(AL17&lt;&gt;"",AM17&lt;&gt;"",AN17&lt;&gt;""),ROUND(ROUND(AN16,3)-ROUND(AM17,3),3)*1000,""))),"")</f>
        <v/>
      </c>
      <c r="AP17" s="45" t="str">
        <f>IF(AND(NOT(ISNA(VLOOKUP(AK17,A6:E105,5,FALSE))),AL17="",AM17&lt;&gt;""),ROUND((VLOOKUP(AK17,A6:E105,5,FALSE)-AO17)/1000,3),IF(AND(NOT(ISNA(VLOOKUP(AK17,G6:K105,5,FALSE))),AL17="",AM17&lt;&gt;""),ROUND((VLOOKUP(AK17,G6:K105,5,FALSE)-AO17)/1000,3),IF(AND(NOT(ISNA(VLOOKUP(AK17,M6:Q105,5,FALSE))),AL17="",AM17&lt;&gt;""),ROUND((VLOOKUP(AK17,M6:Q105,5,FALSE)-AO17)/1000,3),IF(AND(NOT(ISNA(VLOOKUP(AK17,S6:W105,5,FALSE))),AL17="",AM17&lt;&gt;""),ROUND((VLOOKUP(AK17,S6:W105,5,FALSE)-AO17)/1000,3),IF(AND(NOT(ISNA(VLOOKUP(AK17,Y6:AC105,5,FALSE))),AL17="",AM17&lt;&gt;""),ROUND((VLOOKUP(AK17,Y6:AC105,5,FALSE)-AO17)/1000,3),IF(AND(NOT(ISNA(VLOOKUP(AK17,AE6:AI105,5,FALSE))),AL17="",AM17&lt;&gt;""),ROUND((VLOOKUP(AK17,AE6:AI105,5,FALSE)-AO17)/1000,3),IF(AND(NOT(ISNA(VLOOKUP(AK17,AK6:AO16,5,FALSE))),AL17="",AM17&lt;&gt;""),ROUND((VLOOKUP(AK17,AK6:AO16,5,FALSE)-AO17)/1000,3),"")))))))</f>
        <v/>
      </c>
      <c r="AQ17" s="19">
        <f>IF(AQ16="","",AQ16+1)</f>
        <v>711</v>
      </c>
      <c r="AR17" s="39"/>
      <c r="AS17" s="39"/>
      <c r="AT17" s="15" t="str">
        <f>IF(AND(AR17&lt;&gt;"",AS17&lt;&gt;""),ROUND(AR17,3)+ROUND(AT16,3)-ROUND(AS17,3),IF(AND(EXACT(UPPER(AQ17),"TBM"),AR17&lt;&gt;""),ROUND(AR17,3),IF(AR17="",AT16,IF(ISNA(VLOOKUP(AQ17,A6:E105,5,FALSE)),IF(ISNA(VLOOKUP(AQ17,G6:K105,5,FALSE)),IF(ISNA(VLOOKUP(AQ17,M6:Q105,5,FALSE)),IF(ISNA(VLOOKUP(AQ17,S6:W105,5,FALSE)),IF(ISNA(VLOOKUP(AQ17,Y6:AC105,5,FALSE)),IF(ISNA(VLOOKUP(AQ17,AE6:AI105,5,FALSE)),IF(ISNA(VLOOKUP(AQ17,AK6:AO105,5,FALSE)),IF(ISNA(VLOOKUP(AQ17,AQ6:AU16,5,FALSE)),"",ROUND(VLOOKUP(AQ17,AQ6:AU16,5,FALSE),0)/1000+ROUND(AR17,3)),ROUND(VLOOKUP(AQ17,AK6:AO105,5,FALSE),0)/1000+ROUND(AR17,3)),ROUND(VLOOKUP(AQ17,AE6:AI105,5,FALSE),0)/1000+ROUND(AR17,3)),ROUND(VLOOKUP(AQ17,Y6:AC105,5,FALSE),0)/1000+ROUND(AR17,3)),ROUND(VLOOKUP(AQ17,S6:W105,5,FALSE),0)/1000+ROUND(AR17,3)),ROUND(VLOOKUP(AQ17,M6:Q105,5,FALSE),0)/1000+ROUND(AR17,3)),ROUND(VLOOKUP(AQ17,G6:K105,5,FALSE),0)/1000+ROUND(AR17,3)),ROUND(VLOOKUP(AQ17,A6:E105,5,FALSE),0)/1000+ROUND(AR17,3)))))</f>
        <v/>
      </c>
      <c r="AU17" s="18" t="str">
        <f>IF(OR(NOT(EXACT(UPPER(AQ17),"TBM")),AR17=""),IF(AND(AR17&lt;&gt;"",AS17="",AT17&lt;&gt;""),"",IF(AND(AR17="",AS17&lt;&gt;"",AT17&lt;&gt;""),ROUND(ROUND(AT17,3)-ROUND(AS17,3),3)*1000,IF(AND(AR17&lt;&gt;"",AS17&lt;&gt;"",AT17&lt;&gt;""),ROUND(ROUND(AT16,3)-ROUND(AS17,3),3)*1000,""))),"")</f>
        <v/>
      </c>
      <c r="AV17" s="45" t="str">
        <f>IF(AND(NOT(ISNA(VLOOKUP(AQ17,A6:E105,5,FALSE))),AR17="",AS17&lt;&gt;""),ROUND((VLOOKUP(AQ17,A6:E105,5,FALSE)-AU17)/1000,3),IF(AND(NOT(ISNA(VLOOKUP(AQ17,G6:K105,5,FALSE))),AR17="",AS17&lt;&gt;""),ROUND((VLOOKUP(AQ17,G6:K105,5,FALSE)-AU17)/1000,3),IF(AND(NOT(ISNA(VLOOKUP(AQ17,M6:Q105,5,FALSE))),AR17="",AS17&lt;&gt;""),ROUND((VLOOKUP(AQ17,M6:Q105,5,FALSE)-AU17)/1000,3),IF(AND(NOT(ISNA(VLOOKUP(AQ17,S6:W105,5,FALSE))),AR17="",AS17&lt;&gt;""),ROUND((VLOOKUP(AQ17,S6:W105,5,FALSE)-AU17)/1000,3),IF(AND(NOT(ISNA(VLOOKUP(AQ17,Y6:AC105,5,FALSE))),AR17="",AS17&lt;&gt;""),ROUND((VLOOKUP(AQ17,Y6:AC105,5,FALSE)-AU17)/1000,3),IF(AND(NOT(ISNA(VLOOKUP(AQ17,AE6:AI105,5,FALSE))),AR17="",AS17&lt;&gt;""),ROUND((VLOOKUP(AQ17,AE6:AI105,5,FALSE)-AU17)/1000,3),IF(AND(NOT(ISNA(VLOOKUP(AQ17,AK6:AO105,5,FALSE))),AR17="",AS17&lt;&gt;""),ROUND((VLOOKUP(AQ17,AK6:AO105,5,FALSE)-AU17)/1000,3),IF(AND(NOT(ISNA(VLOOKUP(AQ17,AQ6:AU16,5,FALSE))),AR17="",AS17&lt;&gt;""),ROUND((VLOOKUP(AQ17,AQ6:AU16,5,FALSE)-AU17)/1000,3),""))))))))</f>
        <v/>
      </c>
      <c r="AW17" s="19">
        <f>IF(AW16="","",AW16+1)</f>
        <v>811</v>
      </c>
      <c r="AX17" s="39"/>
      <c r="AY17" s="39"/>
      <c r="AZ17" s="15" t="str">
        <f>IF(AND(AX17&lt;&gt;"",AY17&lt;&gt;""),ROUND(AX17,3)+ROUND(AZ16,3)-ROUND(AY17,3),IF(AND(EXACT(UPPER(AW17),"TBM"),AX17&lt;&gt;""),ROUND(AX17,3),IF(AX17="",AZ16,IF(ISNA(VLOOKUP(AW17,A6:E105,5,FALSE)),IF(ISNA(VLOOKUP(AW17,G6:K105,5,FALSE)),IF(ISNA(VLOOKUP(AW17,M6:Q105,5,FALSE)),IF(ISNA(VLOOKUP(AW17,S6:W105,5,FALSE)),IF(ISNA(VLOOKUP(AW17,Y6:AC105,5,FALSE)),IF(ISNA(VLOOKUP(AW17,AE6:AI105,5,FALSE)),IF(ISNA(VLOOKUP(AW17,AK6:AO105,5,FALSE)),IF(ISNA(VLOOKUP(AW17,AQ6:AU105,5,FALSE)),IF(ISNA(VLOOKUP(AW17,AW6:BA16,5,FALSE)),"",ROUND(VLOOKUP(AW17,AW6:BA16,5,FALSE),0)/1000+ROUND(AX17,3)),ROUND(VLOOKUP(AW17,AQ6:AU105,5,FALSE),0)/1000+ROUND(AX17,3)),ROUND(VLOOKUP(AW17,AK6:AO105,5,FALSE),0)/1000+ROUND(AX17,3)),ROUND(VLOOKUP(AW17,AE6:AI105,5,FALSE),0)/1000+ROUND(AX17,3)),ROUND(VLOOKUP(AW17,Y6:AC105,5,FALSE),0)/1000+ROUND(AX17,3)),ROUND(VLOOKUP(AW17,S6:W105,5,FALSE),0)/1000+ROUND(AX17,3)),ROUND(VLOOKUP(AW17,M6:Q105,5,FALSE),0)/1000+ROUND(AX17,3)),ROUND(VLOOKUP(AW17,G6:K105,5,FALSE),0)/1000+ROUND(AX17,3)),ROUND(VLOOKUP(AW17,A6:E105,5,FALSE),0)/1000+ROUND(AX17,3)))))</f>
        <v/>
      </c>
      <c r="BA17" s="18" t="str">
        <f>IF(OR(NOT(EXACT(UPPER(AW17),"TBM")),AX17=""),IF(AND(AX17&lt;&gt;"",AY17="",AZ17&lt;&gt;""),"",IF(AND(AX17="",AY17&lt;&gt;"",AZ17&lt;&gt;""),ROUND(ROUND(AZ17,3)-ROUND(AY17,3),3)*1000,IF(AND(AX17&lt;&gt;"",AY17&lt;&gt;"",AZ17&lt;&gt;""),ROUND(ROUND(AZ16,3)-ROUND(AY17,3),3)*1000,""))),"")</f>
        <v/>
      </c>
      <c r="BB17" s="45" t="str">
        <f>IF(AND(NOT(ISNA(VLOOKUP(AW17,A6:E105,5,FALSE))),AX17="",AY17&lt;&gt;""),ROUND((VLOOKUP(AW17,A6:E105,5,FALSE)-BA17)/1000,3),IF(AND(NOT(ISNA(VLOOKUP(AW17,G6:K105,5,FALSE))),AX17="",AY17&lt;&gt;""),ROUND((VLOOKUP(AW17,G6:K105,5,FALSE)-BA17)/1000,3),IF(AND(NOT(ISNA(VLOOKUP(AW17,M6:Q105,5,FALSE))),AX17="",AY17&lt;&gt;""),ROUND((VLOOKUP(AW17,M6:Q105,5,FALSE)-BA17)/1000,3),IF(AND(NOT(ISNA(VLOOKUP(AW17,S6:W105,5,FALSE))),AX17="",AY17&lt;&gt;""),ROUND((VLOOKUP(AW17,S6:W105,5,FALSE)-BA17)/1000,3),IF(AND(NOT(ISNA(VLOOKUP(AW17,Y6:AC105,5,FALSE))),AX17="",AY17&lt;&gt;""),ROUND((VLOOKUP(AW17,Y6:AC105,5,FALSE)-BA17)/1000,3),IF(AND(NOT(ISNA(VLOOKUP(AW17,AE6:AI105,5,FALSE))),AX17="",AY17&lt;&gt;""),ROUND((VLOOKUP(AW17,AE6:AI105,5,FALSE)-BA17)/1000,3),IF(AND(NOT(ISNA(VLOOKUP(AW17,AK6:AO105,5,FALSE))),AX17="",AY17&lt;&gt;""),ROUND((VLOOKUP(AW17,AK6:AO105,5,FALSE)-BA17)/1000,3),IF(AND(NOT(ISNA(VLOOKUP(AW17,AQ6:AU105,5,FALSE))),AX17="",AY17&lt;&gt;""),ROUND((VLOOKUP(AW17,AQ6:AU105,5,FALSE)-BA17)/1000,3),IF(AND(NOT(ISNA(VLOOKUP(AW17,AW6:BA16,5,FALSE))),AX17="",AY17&lt;&gt;""),ROUND((VLOOKUP(AW17,AW6:BA16,5,FALSE)-BA17)/1000,3),"")))))))))</f>
        <v/>
      </c>
      <c r="BC17" s="19">
        <f>IF(BC16="","",BC16+1)</f>
        <v>911</v>
      </c>
      <c r="BD17" s="39"/>
      <c r="BE17" s="39"/>
      <c r="BF17" s="15" t="str">
        <f>IF(AND(BD17&lt;&gt;"",BE17&lt;&gt;""),ROUND(BD17,3)+ROUND(BF16,3)-ROUND(BE17,3),IF(AND(EXACT(UPPER(BC17),"TBM"),BD17&lt;&gt;""),ROUND(BD17,3),IF(BD17="",BF16,IF(ISNA(VLOOKUP(BC17,A6:E105,5,FALSE)),IF(ISNA(VLOOKUP(BC17,G6:K105,5,FALSE)),IF(ISNA(VLOOKUP(BC17,M6:Q105,5,FALSE)),IF(ISNA(VLOOKUP(BC17,S6:W105,5,FALSE)),IF(ISNA(VLOOKUP(BC17,Y6:AC105,5,FALSE)),IF(ISNA(VLOOKUP(BC17,AE6:AI105,5,FALSE)),IF(ISNA(VLOOKUP(BC17,AK6:AO105,5,FALSE)),IF(ISNA(VLOOKUP(BC17,AQ6:AU105,5,FALSE)),IF(ISNA(VLOOKUP(BC17,AW6:BA105,5,FALSE)),IF(ISNA(VLOOKUP(BC17,BC6:BG16,5,FALSE)),"",ROUND(VLOOKUP(BC17,BC6:BG16,5,FALSE),0)/1000+ROUND(BD17,3)),ROUND(VLOOKUP(BC17,AW6:BA105,5,FALSE),0)/1000+ROUND(BD17,3)),ROUND(VLOOKUP(BC17,AQ6:AU105,5,FALSE),0)/1000+ROUND(BD17,3)),ROUND(VLOOKUP(BC17,AK6:AO105,5,FALSE),0)/1000+ROUND(BD17,3)),ROUND(VLOOKUP(BC17,AE6:AI105,5,FALSE),0)/1000+ROUND(BD17,3)),ROUND(VLOOKUP(BC17,Y6:AC105,5,FALSE),0)/1000+ROUND(BD17,3)),ROUND(VLOOKUP(BC17,S6:W105,5,FALSE),0)/1000+ROUND(BD17,3)),ROUND(VLOOKUP(BC17,M6:Q105,5,FALSE),0)/1000+ROUND(BD17,3)),ROUND(VLOOKUP(BC17,G6:K105,5,FALSE),0)/1000+ROUND(BD17,3)),ROUND(VLOOKUP(BC17,A6:E105,5,FALSE),0)/1000+ROUND(BD17,3)))))</f>
        <v/>
      </c>
      <c r="BG17" s="18" t="str">
        <f>IF(OR(NOT(EXACT(UPPER(BC17),"TBM")),BD17=""),IF(AND(BD17&lt;&gt;"",BE17="",BF17&lt;&gt;""),"",IF(AND(BD17="",BE17&lt;&gt;"",BF17&lt;&gt;""),ROUND(ROUND(BF17,3)-ROUND(BE17,3),3)*1000,IF(AND(BD17&lt;&gt;"",BE17&lt;&gt;"",BF17&lt;&gt;""),ROUND(ROUND(BF16,3)-ROUND(BE17,3),3)*1000,""))),"")</f>
        <v/>
      </c>
      <c r="BH17" s="45" t="str">
        <f>IF(AND(NOT(ISNA(VLOOKUP(BC17,A6:E105,5,FALSE))),BD17="",BE17&lt;&gt;""),ROUND((VLOOKUP(BC17,A6:E105,5,FALSE)-BG17)/1000,3),IF(AND(NOT(ISNA(VLOOKUP(BC17,G6:K105,5,FALSE))),BD17="",BE17&lt;&gt;""),ROUND((VLOOKUP(BC17,G6:K105,5,FALSE)-BG17)/1000,3),IF(AND(NOT(ISNA(VLOOKUP(BC17,M6:Q105,5,FALSE))),BD17="",BE17&lt;&gt;""),ROUND((VLOOKUP(BC17,M6:Q105,5,FALSE)-BG17)/1000,3),IF(AND(NOT(ISNA(VLOOKUP(BC17,S6:W105,5,FALSE))),BD17="",BE17&lt;&gt;""),ROUND((VLOOKUP(BC17,S6:W105,5,FALSE)-BG17)/1000,3),IF(AND(NOT(ISNA(VLOOKUP(BC17,Y6:AC105,5,FALSE))),BD17="",BE17&lt;&gt;""),ROUND((VLOOKUP(BC17,Y6:AC105,5,FALSE)-BG17)/1000,3),IF(AND(NOT(ISNA(VLOOKUP(BC17,AE6:AI105,5,FALSE))),BD17="",BE17&lt;&gt;""),ROUND((VLOOKUP(BC17,AE6:AI105,5,FALSE)-BG17)/1000,3),IF(AND(NOT(ISNA(VLOOKUP(BC17,AK6:AO105,5,FALSE))),BD17="",BE17&lt;&gt;""),ROUND((VLOOKUP(BC17,AK6:AO105,5,FALSE)-BG17)/1000,3),IF(AND(NOT(ISNA(VLOOKUP(BC17,AQ6:AU105,5,FALSE))),BD17="",BE17&lt;&gt;""),ROUND((VLOOKUP(BC17,AQ6:AU105,5,FALSE)-BG17)/1000,3),IF(AND(NOT(ISNA(VLOOKUP(BC17,AW6:BA105,5,FALSE))),BD17="",BE17&lt;&gt;""),ROUND((VLOOKUP(BC17,AW6:BA105,5,FALSE)-BG17)/1000,3),IF(AND(NOT(ISNA(VLOOKUP(BC17,BC6:BG16,5,FALSE))),BD17="",BE17&lt;&gt;""),ROUND((VLOOKUP(BC17,BC6:BG16,5,FALSE)-BG17)/1000,3),""))))))))))</f>
        <v/>
      </c>
    </row>
    <row r="18" spans="1:60" x14ac:dyDescent="0.25">
      <c r="A18" s="19">
        <f t="shared" si="3"/>
        <v>12</v>
      </c>
      <c r="B18" s="39"/>
      <c r="C18" s="39"/>
      <c r="D18" s="15" t="str">
        <f>IF(AND(B18&lt;&gt;"",C18&lt;&gt;""),ROUND(B18,3)+ROUND(D17,3)-ROUND(C18,3),IF(AND(EXACT(UPPER(A18),"TBM"),B18&lt;&gt;""),ROUND(B18,3),IF(B18="",D17,IF(ISNA(VLOOKUP(A18,A6:E17,5,FALSE)),"",ROUND(VLOOKUP(A18,A6:E17,5,FALSE),0)/1000+ROUND(B18,3)))))</f>
        <v/>
      </c>
      <c r="E18" s="22" t="str">
        <f t="shared" si="0"/>
        <v/>
      </c>
      <c r="F18" s="44" t="str">
        <f>IF(AND(NOT(ISNA(VLOOKUP(A18,A6:E17,5,FALSE))),B18="",C18&lt;&gt;""),ROUND((VLOOKUP(A18,A6:E17,5,FALSE)-E18)/1000,3),"")</f>
        <v/>
      </c>
      <c r="G18" s="19">
        <f t="shared" si="1"/>
        <v>112</v>
      </c>
      <c r="H18" s="43"/>
      <c r="I18" s="43"/>
      <c r="J18" s="15" t="str">
        <f>IF(AND(H18&lt;&gt;"",I18&lt;&gt;""),ROUND(H18,3)+ROUND(J17,3)-ROUND(I18,3),IF(AND(EXACT(UPPER(G18),"TBM"),H18&lt;&gt;""),ROUND(H18,3),IF(H18="",J17,IF(ISNA(VLOOKUP(G18,A6:E105,5,FALSE)),IF(ISNA(VLOOKUP(G18,G6:K17,5,FALSE)),"",ROUND(VLOOKUP(G18,G6:K17,5,FALSE),0)/1000+ROUND(H18,3)),ROUND(VLOOKUP(G18,A6:E105,5,FALSE),0)/1000+ROUND(H18,3)))))</f>
        <v/>
      </c>
      <c r="K18" s="18" t="str">
        <f t="shared" si="2"/>
        <v/>
      </c>
      <c r="L18" s="44" t="str">
        <f>IF(AND(NOT(ISNA(VLOOKUP(G18,A6:E105,5,FALSE))),H18="",I18&lt;&gt;""),ROUND((VLOOKUP(G18,A6:E105,5,FALSE)-K18)/1000,3),IF(AND(NOT(ISNA(VLOOKUP(G18,G6:K17,5,FALSE))),H18="",I18&lt;&gt;""),ROUND((VLOOKUP(G18,G6:K17,5,FALSE)-K18)/1000,3),""))</f>
        <v/>
      </c>
      <c r="M18" s="19">
        <f>IF(M17="","",M17+1)</f>
        <v>212</v>
      </c>
      <c r="N18" s="43"/>
      <c r="O18" s="43"/>
      <c r="P18" s="15" t="str">
        <f>IF(AND(N18&lt;&gt;"",O18&lt;&gt;""),ROUND(N18,3)+ROUND(P17,3)-ROUND(O18,3),IF(AND(EXACT(UPPER(M18),"TBM"),N18&lt;&gt;""),ROUND(N18,3),IF(N18="",P17,IF(ISNA(VLOOKUP(M18,A6:E105,5,FALSE)),IF(ISNA(VLOOKUP(M18,G6:K105,5,FALSE)),IF(ISNA(VLOOKUP(M18,M6:Q17,5,FALSE)),"",ROUND(VLOOKUP(M18,M6:Q17,5,FALSE),0)/1000+ROUND(N18,3)),ROUND(VLOOKUP(M18,G6:K105,5,FALSE),0)/1000+ROUND(N18,3)),ROUND(VLOOKUP(M18,A6:E105,5,FALSE),0)/1000+ROUND(N18,3)))))</f>
        <v/>
      </c>
      <c r="Q18" s="18" t="str">
        <f>IF(OR(NOT(EXACT(UPPER(M18),"TBM")),N18=""),IF(AND(N18&lt;&gt;"",O18="",P18&lt;&gt;""),"",IF(AND(N18="",O18&lt;&gt;"",P18&lt;&gt;""),ROUND(ROUND(P18,3)-ROUND(O18,3),3)*1000,IF(AND(N18&lt;&gt;"",O18&lt;&gt;"",P18&lt;&gt;""),ROUND(ROUND(P17,3)-ROUND(O18,3),3)*1000,""))),"")</f>
        <v/>
      </c>
      <c r="R18" s="44" t="str">
        <f>IF(AND(NOT(ISNA(VLOOKUP(M18,A6:E105,5,FALSE))),N18="",O18&lt;&gt;""),ROUND((VLOOKUP(M18,A6:E105,5,FALSE)-Q18)/1000,3),IF(AND(NOT(ISNA(VLOOKUP(M18,G6:K105,5,FALSE))),N18="",O18&lt;&gt;""),ROUND((VLOOKUP(M18,G6:K105,5,FALSE)-Q18)/1000,3),IF(AND(NOT(ISNA(VLOOKUP(M18,M6:Q17,5,FALSE))),N18="",O18&lt;&gt;""),ROUND((VLOOKUP(M18,M6:Q17,5,FALSE)-Q18)/1000,3),"")))</f>
        <v/>
      </c>
      <c r="S18" s="19">
        <f>IF(S17="","",S17+1)</f>
        <v>312</v>
      </c>
      <c r="T18" s="43"/>
      <c r="U18" s="43"/>
      <c r="V18" s="15" t="str">
        <f>IF(AND(T18&lt;&gt;"",U18&lt;&gt;""),ROUND(T18,3)+ROUND(V17,3)-ROUND(U18,3),IF(AND(EXACT(UPPER(S18),"TBM"),T18&lt;&gt;""),ROUND(T18,3),IF(T18="",V17,IF(ISNA(VLOOKUP(S18,A6:E105,5,FALSE)),IF(ISNA(VLOOKUP(S18,G6:K105,5,FALSE)),IF(ISNA(VLOOKUP(S18,M6:Q105,5,FALSE)),IF(ISNA(VLOOKUP(S18,S6:W17,5,FALSE)),"",ROUND(VLOOKUP(S18,S6:W17,5,FALSE),0)/1000+ROUND(T18,3)),ROUND(VLOOKUP(S18,M6:Q105,5,FALSE),0)/1000+ROUND(T18,3)),ROUND(VLOOKUP(S18,G6:K105,5,FALSE),0)/1000+ROUND(T18,3)),ROUND(VLOOKUP(S18,A6:E105,5,FALSE),0)/1000+ROUND(T18,3)))))</f>
        <v/>
      </c>
      <c r="W18" s="18" t="str">
        <f>IF(OR(NOT(EXACT(UPPER(S18),"TBM")),T18=""),IF(AND(T18&lt;&gt;"",U18="",V18&lt;&gt;""),"",IF(AND(T18="",U18&lt;&gt;"",V18&lt;&gt;""),ROUND(ROUND(V18,3)-ROUND(U18,3),3)*1000,IF(AND(T18&lt;&gt;"",U18&lt;&gt;"",V18&lt;&gt;""),ROUND(ROUND(V17,3)-ROUND(U18,3),3)*1000,""))),"")</f>
        <v/>
      </c>
      <c r="X18" s="44" t="str">
        <f>IF(AND(NOT(ISNA(VLOOKUP(S18,A6:E105,5,FALSE))),T18="",U18&lt;&gt;""),ROUND((VLOOKUP(S18,A6:E105,5,FALSE)-W18)/1000,3),IF(AND(NOT(ISNA(VLOOKUP(S18,G6:K105,5,FALSE))),T18="",U18&lt;&gt;""),ROUND((VLOOKUP(S18,G6:K105,5,FALSE)-W18)/1000,3),IF(AND(NOT(ISNA(VLOOKUP(S18,M6:Q105,5,FALSE))),T18="",U18&lt;&gt;""),ROUND((VLOOKUP(S18,M6:Q105,5,FALSE)-W18)/1000,3),IF(AND(NOT(ISNA(VLOOKUP(S18,S6:W17,5,FALSE))),T18="",U18&lt;&gt;""),ROUND((VLOOKUP(S18,S6:W17,5,FALSE)-W18)/1000,3),""))))</f>
        <v/>
      </c>
      <c r="Y18" s="19">
        <f>IF(Y17="","",Y17+1)</f>
        <v>412</v>
      </c>
      <c r="Z18" s="43"/>
      <c r="AA18" s="43"/>
      <c r="AB18" s="15" t="str">
        <f>IF(AND(Z18&lt;&gt;"",AA18&lt;&gt;""),ROUND(Z18,3)+ROUND(AB17,3)-ROUND(AA18,3),IF(AND(EXACT(UPPER(Y18),"TBM"),Z18&lt;&gt;""),ROUND(Z18,3),IF(Z18="",AB17,IF(ISNA(VLOOKUP(Y18,A6:E105,5,FALSE)),IF(ISNA(VLOOKUP(Y18,G6:K105,5,FALSE)),IF(ISNA(VLOOKUP(Y18,M6:Q105,5,FALSE)),IF(ISNA(VLOOKUP(Y18,S6:W105,5,FALSE)),IF(ISNA(VLOOKUP(Y18,Y6:AC17,5,FALSE)),"",ROUND(VLOOKUP(Y18,Y6:AC17,5,FALSE),0)/1000+ROUND(Z18,3)),ROUND(VLOOKUP(Y18,S6:W105,5,FALSE),0)/1000+ROUND(Z18,3)),ROUND(VLOOKUP(Y18,M6:Q105,5,FALSE),0)/1000+ROUND(Z18,3)),ROUND(VLOOKUP(Y18,G6:K105,5,FALSE),0)/1000+ROUND(Z18,3)),ROUND(VLOOKUP(Y18,A6:E105,5,FALSE),0)/1000+ROUND(Z18,3)))))</f>
        <v/>
      </c>
      <c r="AC18" s="18" t="str">
        <f>IF(OR(NOT(EXACT(UPPER(Y18),"TBM")),Z18=""),IF(AND(Z18&lt;&gt;"",AA18="",AB18&lt;&gt;""),"",IF(AND(Z18="",AA18&lt;&gt;"",AB18&lt;&gt;""),ROUND(ROUND(AB18,3)-ROUND(AA18,3),3)*1000,IF(AND(Z18&lt;&gt;"",AA18&lt;&gt;"",AB18&lt;&gt;""),ROUND(ROUND(AB17,3)-ROUND(AA18,3),3)*1000,""))),"")</f>
        <v/>
      </c>
      <c r="AD18" s="44" t="str">
        <f>IF(AND(NOT(ISNA(VLOOKUP(Y18,A6:E105,5,FALSE))),Z18="",AA18&lt;&gt;""),ROUND((VLOOKUP(Y18,A6:E105,5,FALSE)-AC18)/1000,3),IF(AND(NOT(ISNA(VLOOKUP(Y18,G6:K105,5,FALSE))),Z18="",AA18&lt;&gt;""),ROUND((VLOOKUP(Y18,G6:K105,5,FALSE)-AC18)/1000,3),IF(AND(NOT(ISNA(VLOOKUP(Y18,M6:Q105,5,FALSE))),Z18="",AA18&lt;&gt;""),ROUND((VLOOKUP(Y18,M6:Q105,5,FALSE)-AC18)/1000,3),IF(AND(NOT(ISNA(VLOOKUP(Y18,S6:W105,5,FALSE))),Z18="",AA18&lt;&gt;""),ROUND((VLOOKUP(Y18,S6:W105,5,FALSE)-AC18)/1000,3),IF(AND(NOT(ISNA(VLOOKUP(Y18,Y6:AC17,5,FALSE))),Z18="",AA18&lt;&gt;""),ROUND((VLOOKUP(Y18,Y6:AC17,5,FALSE)-AC18)/1000,3),"")))))</f>
        <v/>
      </c>
      <c r="AE18" s="19">
        <f>IF(AE17="","",AE17+1)</f>
        <v>512</v>
      </c>
      <c r="AF18" s="43"/>
      <c r="AG18" s="43"/>
      <c r="AH18" s="15" t="str">
        <f>IF(AND(AF18&lt;&gt;"",AG18&lt;&gt;""),ROUND(AF18,3)+ROUND(AH17,3)-ROUND(AG18,3),IF(AND(EXACT(UPPER(AE18),"TBM"),AF18&lt;&gt;""),ROUND(AF18,3),IF(AF18="",AH17,IF(ISNA(VLOOKUP(AE18,A6:E105,5,FALSE)),IF(ISNA(VLOOKUP(AE18,G6:K105,5,FALSE)),IF(ISNA(VLOOKUP(AE18,M6:Q105,5,FALSE)),IF(ISNA(VLOOKUP(AE18,S6:W105,5,FALSE)),IF(ISNA(VLOOKUP(AE18,Y6:AC105,5,FALSE)),IF(ISNA(VLOOKUP(AE18,AE6:AI17,5,FALSE)),"",ROUND(VLOOKUP(AE18,AE6:AI17,5,FALSE),0)/1000+ROUND(AF18,3)),ROUND(VLOOKUP(AE18,Y6:AC105,5,FALSE),0)/1000+ROUND(AF18,3)),ROUND(VLOOKUP(AE18,S6:W105,5,FALSE),0)/1000+ROUND(AF18,3)),ROUND(VLOOKUP(AE18,M6:Q105,5,FALSE),0)/1000+ROUND(AF18,3)),ROUND(VLOOKUP(AE18,G6:K105,5,FALSE),0)/1000+ROUND(AF18,3)),ROUND(VLOOKUP(AE18,A6:E105,5,FALSE),0)/1000+ROUND(AF18,3)))))</f>
        <v/>
      </c>
      <c r="AI18" s="18" t="str">
        <f>IF(OR(NOT(EXACT(UPPER(AE18),"TBM")),AF18=""),IF(AND(AF18&lt;&gt;"",AG18="",AH18&lt;&gt;""),"",IF(AND(AF18="",AG18&lt;&gt;"",AH18&lt;&gt;""),ROUND(ROUND(AH18,3)-ROUND(AG18,3),3)*1000,IF(AND(AF18&lt;&gt;"",AG18&lt;&gt;"",AH18&lt;&gt;""),ROUND(ROUND(AH17,3)-ROUND(AG18,3),3)*1000,""))),"")</f>
        <v/>
      </c>
      <c r="AJ18" s="44" t="str">
        <f>IF(AND(NOT(ISNA(VLOOKUP(AE18,A6:E105,5,FALSE))),AF18="",AG18&lt;&gt;""),ROUND((VLOOKUP(AE18,A6:E105,5,FALSE)-AI18)/1000,3),IF(AND(NOT(ISNA(VLOOKUP(AE18,G6:K105,5,FALSE))),AF18="",AG18&lt;&gt;""),ROUND((VLOOKUP(AE18,G6:K105,5,FALSE)-AI18)/1000,3),IF(AND(NOT(ISNA(VLOOKUP(AE18,M6:Q105,5,FALSE))),AF18="",AG18&lt;&gt;""),ROUND((VLOOKUP(AE18,M6:Q105,5,FALSE)-AI18)/1000,3),IF(AND(NOT(ISNA(VLOOKUP(AE18,S6:W105,5,FALSE))),AF18="",AG18&lt;&gt;""),ROUND((VLOOKUP(AE18,S6:W105,5,FALSE)-AI18)/1000,3),IF(AND(NOT(ISNA(VLOOKUP(AE18,Y6:AC105,5,FALSE))),AF18="",AG18&lt;&gt;""),ROUND((VLOOKUP(AE18,Y6:AC105,5,FALSE)-AI18)/1000,3),IF(AND(NOT(ISNA(VLOOKUP(AE18,AE6:AI17,5,FALSE))),AF18="",AG18&lt;&gt;""),ROUND((VLOOKUP(AE18,AE6:AI17,5,FALSE)-AI18)/1000,3),""))))))</f>
        <v/>
      </c>
      <c r="AK18" s="19">
        <f>IF(AK17="","",AK17+1)</f>
        <v>612</v>
      </c>
      <c r="AL18" s="43"/>
      <c r="AM18" s="43"/>
      <c r="AN18" s="15" t="str">
        <f>IF(AND(AL18&lt;&gt;"",AM18&lt;&gt;""),ROUND(AL18,3)+ROUND(AN17,3)-ROUND(AM18,3),IF(AND(EXACT(UPPER(AK18),"TBM"),AL18&lt;&gt;""),ROUND(AL18,3),IF(AL18="",AN17,IF(ISNA(VLOOKUP(AK18,A6:E105,5,FALSE)),IF(ISNA(VLOOKUP(AK18,G6:K105,5,FALSE)),IF(ISNA(VLOOKUP(AK18,M6:Q105,5,FALSE)),IF(ISNA(VLOOKUP(AK18,S6:W105,5,FALSE)),IF(ISNA(VLOOKUP(AK18,Y6:AC105,5,FALSE)),IF(ISNA(VLOOKUP(AK18,AE6:AI105,5,FALSE)),IF(ISNA(VLOOKUP(AK18,AK6:AO17,5,FALSE)),"",ROUND(VLOOKUP(AK18,AK6:AO17,5,FALSE),0)/1000+ROUND(AL18,3)),ROUND(VLOOKUP(AK18,AE6:AI105,5,FALSE),0)/1000+ROUND(AL18,3)),ROUND(VLOOKUP(AK18,Y6:AC105,5,FALSE),0)/1000+ROUND(AL18,3)),ROUND(VLOOKUP(AK18,S6:W105,5,FALSE),0)/1000+ROUND(AL18,3)),ROUND(VLOOKUP(AK18,M6:Q105,5,FALSE),0)/1000+ROUND(AL18,3)),ROUND(VLOOKUP(AK18,G6:K105,5,FALSE),0)/1000+ROUND(AL18,3)),ROUND(VLOOKUP(AK18,A6:E105,5,FALSE),0)/1000+ROUND(AL18,3)))))</f>
        <v/>
      </c>
      <c r="AO18" s="18" t="str">
        <f>IF(OR(NOT(EXACT(UPPER(AK18),"TBM")),AL18=""),IF(AND(AL18&lt;&gt;"",AM18="",AN18&lt;&gt;""),"",IF(AND(AL18="",AM18&lt;&gt;"",AN18&lt;&gt;""),ROUND(ROUND(AN18,3)-ROUND(AM18,3),3)*1000,IF(AND(AL18&lt;&gt;"",AM18&lt;&gt;"",AN18&lt;&gt;""),ROUND(ROUND(AN17,3)-ROUND(AM18,3),3)*1000,""))),"")</f>
        <v/>
      </c>
      <c r="AP18" s="44" t="str">
        <f>IF(AND(NOT(ISNA(VLOOKUP(AK18,A6:E105,5,FALSE))),AL18="",AM18&lt;&gt;""),ROUND((VLOOKUP(AK18,A6:E105,5,FALSE)-AO18)/1000,3),IF(AND(NOT(ISNA(VLOOKUP(AK18,G6:K105,5,FALSE))),AL18="",AM18&lt;&gt;""),ROUND((VLOOKUP(AK18,G6:K105,5,FALSE)-AO18)/1000,3),IF(AND(NOT(ISNA(VLOOKUP(AK18,M6:Q105,5,FALSE))),AL18="",AM18&lt;&gt;""),ROUND((VLOOKUP(AK18,M6:Q105,5,FALSE)-AO18)/1000,3),IF(AND(NOT(ISNA(VLOOKUP(AK18,S6:W105,5,FALSE))),AL18="",AM18&lt;&gt;""),ROUND((VLOOKUP(AK18,S6:W105,5,FALSE)-AO18)/1000,3),IF(AND(NOT(ISNA(VLOOKUP(AK18,Y6:AC105,5,FALSE))),AL18="",AM18&lt;&gt;""),ROUND((VLOOKUP(AK18,Y6:AC105,5,FALSE)-AO18)/1000,3),IF(AND(NOT(ISNA(VLOOKUP(AK18,AE6:AI105,5,FALSE))),AL18="",AM18&lt;&gt;""),ROUND((VLOOKUP(AK18,AE6:AI105,5,FALSE)-AO18)/1000,3),IF(AND(NOT(ISNA(VLOOKUP(AK18,AK6:AO17,5,FALSE))),AL18="",AM18&lt;&gt;""),ROUND((VLOOKUP(AK18,AK6:AO17,5,FALSE)-AO18)/1000,3),"")))))))</f>
        <v/>
      </c>
      <c r="AQ18" s="19">
        <f>IF(AQ17="","",AQ17+1)</f>
        <v>712</v>
      </c>
      <c r="AR18" s="43"/>
      <c r="AS18" s="43"/>
      <c r="AT18" s="15" t="str">
        <f>IF(AND(AR18&lt;&gt;"",AS18&lt;&gt;""),ROUND(AR18,3)+ROUND(AT17,3)-ROUND(AS18,3),IF(AND(EXACT(UPPER(AQ18),"TBM"),AR18&lt;&gt;""),ROUND(AR18,3),IF(AR18="",AT17,IF(ISNA(VLOOKUP(AQ18,A6:E105,5,FALSE)),IF(ISNA(VLOOKUP(AQ18,G6:K105,5,FALSE)),IF(ISNA(VLOOKUP(AQ18,M6:Q105,5,FALSE)),IF(ISNA(VLOOKUP(AQ18,S6:W105,5,FALSE)),IF(ISNA(VLOOKUP(AQ18,Y6:AC105,5,FALSE)),IF(ISNA(VLOOKUP(AQ18,AE6:AI105,5,FALSE)),IF(ISNA(VLOOKUP(AQ18,AK6:AO105,5,FALSE)),IF(ISNA(VLOOKUP(AQ18,AQ6:AU17,5,FALSE)),"",ROUND(VLOOKUP(AQ18,AQ6:AU17,5,FALSE),0)/1000+ROUND(AR18,3)),ROUND(VLOOKUP(AQ18,AK6:AO105,5,FALSE),0)/1000+ROUND(AR18,3)),ROUND(VLOOKUP(AQ18,AE6:AI105,5,FALSE),0)/1000+ROUND(AR18,3)),ROUND(VLOOKUP(AQ18,Y6:AC105,5,FALSE),0)/1000+ROUND(AR18,3)),ROUND(VLOOKUP(AQ18,S6:W105,5,FALSE),0)/1000+ROUND(AR18,3)),ROUND(VLOOKUP(AQ18,M6:Q105,5,FALSE),0)/1000+ROUND(AR18,3)),ROUND(VLOOKUP(AQ18,G6:K105,5,FALSE),0)/1000+ROUND(AR18,3)),ROUND(VLOOKUP(AQ18,A6:E105,5,FALSE),0)/1000+ROUND(AR18,3)))))</f>
        <v/>
      </c>
      <c r="AU18" s="18" t="str">
        <f>IF(OR(NOT(EXACT(UPPER(AQ18),"TBM")),AR18=""),IF(AND(AR18&lt;&gt;"",AS18="",AT18&lt;&gt;""),"",IF(AND(AR18="",AS18&lt;&gt;"",AT18&lt;&gt;""),ROUND(ROUND(AT18,3)-ROUND(AS18,3),3)*1000,IF(AND(AR18&lt;&gt;"",AS18&lt;&gt;"",AT18&lt;&gt;""),ROUND(ROUND(AT17,3)-ROUND(AS18,3),3)*1000,""))),"")</f>
        <v/>
      </c>
      <c r="AV18" s="44" t="str">
        <f>IF(AND(NOT(ISNA(VLOOKUP(AQ18,A6:E105,5,FALSE))),AR18="",AS18&lt;&gt;""),ROUND((VLOOKUP(AQ18,A6:E105,5,FALSE)-AU18)/1000,3),IF(AND(NOT(ISNA(VLOOKUP(AQ18,G6:K105,5,FALSE))),AR18="",AS18&lt;&gt;""),ROUND((VLOOKUP(AQ18,G6:K105,5,FALSE)-AU18)/1000,3),IF(AND(NOT(ISNA(VLOOKUP(AQ18,M6:Q105,5,FALSE))),AR18="",AS18&lt;&gt;""),ROUND((VLOOKUP(AQ18,M6:Q105,5,FALSE)-AU18)/1000,3),IF(AND(NOT(ISNA(VLOOKUP(AQ18,S6:W105,5,FALSE))),AR18="",AS18&lt;&gt;""),ROUND((VLOOKUP(AQ18,S6:W105,5,FALSE)-AU18)/1000,3),IF(AND(NOT(ISNA(VLOOKUP(AQ18,Y6:AC105,5,FALSE))),AR18="",AS18&lt;&gt;""),ROUND((VLOOKUP(AQ18,Y6:AC105,5,FALSE)-AU18)/1000,3),IF(AND(NOT(ISNA(VLOOKUP(AQ18,AE6:AI105,5,FALSE))),AR18="",AS18&lt;&gt;""),ROUND((VLOOKUP(AQ18,AE6:AI105,5,FALSE)-AU18)/1000,3),IF(AND(NOT(ISNA(VLOOKUP(AQ18,AK6:AO105,5,FALSE))),AR18="",AS18&lt;&gt;""),ROUND((VLOOKUP(AQ18,AK6:AO105,5,FALSE)-AU18)/1000,3),IF(AND(NOT(ISNA(VLOOKUP(AQ18,AQ6:AU17,5,FALSE))),AR18="",AS18&lt;&gt;""),ROUND((VLOOKUP(AQ18,AQ6:AU17,5,FALSE)-AU18)/1000,3),""))))))))</f>
        <v/>
      </c>
      <c r="AW18" s="19">
        <f>IF(AW17="","",AW17+1)</f>
        <v>812</v>
      </c>
      <c r="AX18" s="43"/>
      <c r="AY18" s="43"/>
      <c r="AZ18" s="15" t="str">
        <f>IF(AND(AX18&lt;&gt;"",AY18&lt;&gt;""),ROUND(AX18,3)+ROUND(AZ17,3)-ROUND(AY18,3),IF(AND(EXACT(UPPER(AW18),"TBM"),AX18&lt;&gt;""),ROUND(AX18,3),IF(AX18="",AZ17,IF(ISNA(VLOOKUP(AW18,A6:E105,5,FALSE)),IF(ISNA(VLOOKUP(AW18,G6:K105,5,FALSE)),IF(ISNA(VLOOKUP(AW18,M6:Q105,5,FALSE)),IF(ISNA(VLOOKUP(AW18,S6:W105,5,FALSE)),IF(ISNA(VLOOKUP(AW18,Y6:AC105,5,FALSE)),IF(ISNA(VLOOKUP(AW18,AE6:AI105,5,FALSE)),IF(ISNA(VLOOKUP(AW18,AK6:AO105,5,FALSE)),IF(ISNA(VLOOKUP(AW18,AQ6:AU105,5,FALSE)),IF(ISNA(VLOOKUP(AW18,AW6:BA17,5,FALSE)),"",ROUND(VLOOKUP(AW18,AW6:BA17,5,FALSE),0)/1000+ROUND(AX18,3)),ROUND(VLOOKUP(AW18,AQ6:AU105,5,FALSE),0)/1000+ROUND(AX18,3)),ROUND(VLOOKUP(AW18,AK6:AO105,5,FALSE),0)/1000+ROUND(AX18,3)),ROUND(VLOOKUP(AW18,AE6:AI105,5,FALSE),0)/1000+ROUND(AX18,3)),ROUND(VLOOKUP(AW18,Y6:AC105,5,FALSE),0)/1000+ROUND(AX18,3)),ROUND(VLOOKUP(AW18,S6:W105,5,FALSE),0)/1000+ROUND(AX18,3)),ROUND(VLOOKUP(AW18,M6:Q105,5,FALSE),0)/1000+ROUND(AX18,3)),ROUND(VLOOKUP(AW18,G6:K105,5,FALSE),0)/1000+ROUND(AX18,3)),ROUND(VLOOKUP(AW18,A6:E105,5,FALSE),0)/1000+ROUND(AX18,3)))))</f>
        <v/>
      </c>
      <c r="BA18" s="18" t="str">
        <f>IF(OR(NOT(EXACT(UPPER(AW18),"TBM")),AX18=""),IF(AND(AX18&lt;&gt;"",AY18="",AZ18&lt;&gt;""),"",IF(AND(AX18="",AY18&lt;&gt;"",AZ18&lt;&gt;""),ROUND(ROUND(AZ18,3)-ROUND(AY18,3),3)*1000,IF(AND(AX18&lt;&gt;"",AY18&lt;&gt;"",AZ18&lt;&gt;""),ROUND(ROUND(AZ17,3)-ROUND(AY18,3),3)*1000,""))),"")</f>
        <v/>
      </c>
      <c r="BB18" s="44" t="str">
        <f>IF(AND(NOT(ISNA(VLOOKUP(AW18,A6:E105,5,FALSE))),AX18="",AY18&lt;&gt;""),ROUND((VLOOKUP(AW18,A6:E105,5,FALSE)-BA18)/1000,3),IF(AND(NOT(ISNA(VLOOKUP(AW18,G6:K105,5,FALSE))),AX18="",AY18&lt;&gt;""),ROUND((VLOOKUP(AW18,G6:K105,5,FALSE)-BA18)/1000,3),IF(AND(NOT(ISNA(VLOOKUP(AW18,M6:Q105,5,FALSE))),AX18="",AY18&lt;&gt;""),ROUND((VLOOKUP(AW18,M6:Q105,5,FALSE)-BA18)/1000,3),IF(AND(NOT(ISNA(VLOOKUP(AW18,S6:W105,5,FALSE))),AX18="",AY18&lt;&gt;""),ROUND((VLOOKUP(AW18,S6:W105,5,FALSE)-BA18)/1000,3),IF(AND(NOT(ISNA(VLOOKUP(AW18,Y6:AC105,5,FALSE))),AX18="",AY18&lt;&gt;""),ROUND((VLOOKUP(AW18,Y6:AC105,5,FALSE)-BA18)/1000,3),IF(AND(NOT(ISNA(VLOOKUP(AW18,AE6:AI105,5,FALSE))),AX18="",AY18&lt;&gt;""),ROUND((VLOOKUP(AW18,AE6:AI105,5,FALSE)-BA18)/1000,3),IF(AND(NOT(ISNA(VLOOKUP(AW18,AK6:AO105,5,FALSE))),AX18="",AY18&lt;&gt;""),ROUND((VLOOKUP(AW18,AK6:AO105,5,FALSE)-BA18)/1000,3),IF(AND(NOT(ISNA(VLOOKUP(AW18,AQ6:AU105,5,FALSE))),AX18="",AY18&lt;&gt;""),ROUND((VLOOKUP(AW18,AQ6:AU105,5,FALSE)-BA18)/1000,3),IF(AND(NOT(ISNA(VLOOKUP(AW18,AW6:BA17,5,FALSE))),AX18="",AY18&lt;&gt;""),ROUND((VLOOKUP(AW18,AW6:BA17,5,FALSE)-BA18)/1000,3),"")))))))))</f>
        <v/>
      </c>
      <c r="BC18" s="19">
        <f>IF(BC17="","",BC17+1)</f>
        <v>912</v>
      </c>
      <c r="BD18" s="43"/>
      <c r="BE18" s="43"/>
      <c r="BF18" s="15" t="str">
        <f>IF(AND(BD18&lt;&gt;"",BE18&lt;&gt;""),ROUND(BD18,3)+ROUND(BF17,3)-ROUND(BE18,3),IF(AND(EXACT(UPPER(BC18),"TBM"),BD18&lt;&gt;""),ROUND(BD18,3),IF(BD18="",BF17,IF(ISNA(VLOOKUP(BC18,A6:E105,5,FALSE)),IF(ISNA(VLOOKUP(BC18,G6:K105,5,FALSE)),IF(ISNA(VLOOKUP(BC18,M6:Q105,5,FALSE)),IF(ISNA(VLOOKUP(BC18,S6:W105,5,FALSE)),IF(ISNA(VLOOKUP(BC18,Y6:AC105,5,FALSE)),IF(ISNA(VLOOKUP(BC18,AE6:AI105,5,FALSE)),IF(ISNA(VLOOKUP(BC18,AK6:AO105,5,FALSE)),IF(ISNA(VLOOKUP(BC18,AQ6:AU105,5,FALSE)),IF(ISNA(VLOOKUP(BC18,AW6:BA105,5,FALSE)),IF(ISNA(VLOOKUP(BC18,BC6:BG17,5,FALSE)),"",ROUND(VLOOKUP(BC18,BC6:BG17,5,FALSE),0)/1000+ROUND(BD18,3)),ROUND(VLOOKUP(BC18,AW6:BA105,5,FALSE),0)/1000+ROUND(BD18,3)),ROUND(VLOOKUP(BC18,AQ6:AU105,5,FALSE),0)/1000+ROUND(BD18,3)),ROUND(VLOOKUP(BC18,AK6:AO105,5,FALSE),0)/1000+ROUND(BD18,3)),ROUND(VLOOKUP(BC18,AE6:AI105,5,FALSE),0)/1000+ROUND(BD18,3)),ROUND(VLOOKUP(BC18,Y6:AC105,5,FALSE),0)/1000+ROUND(BD18,3)),ROUND(VLOOKUP(BC18,S6:W105,5,FALSE),0)/1000+ROUND(BD18,3)),ROUND(VLOOKUP(BC18,M6:Q105,5,FALSE),0)/1000+ROUND(BD18,3)),ROUND(VLOOKUP(BC18,G6:K105,5,FALSE),0)/1000+ROUND(BD18,3)),ROUND(VLOOKUP(BC18,A6:E105,5,FALSE),0)/1000+ROUND(BD18,3)))))</f>
        <v/>
      </c>
      <c r="BG18" s="18" t="str">
        <f>IF(OR(NOT(EXACT(UPPER(BC18),"TBM")),BD18=""),IF(AND(BD18&lt;&gt;"",BE18="",BF18&lt;&gt;""),"",IF(AND(BD18="",BE18&lt;&gt;"",BF18&lt;&gt;""),ROUND(ROUND(BF18,3)-ROUND(BE18,3),3)*1000,IF(AND(BD18&lt;&gt;"",BE18&lt;&gt;"",BF18&lt;&gt;""),ROUND(ROUND(BF17,3)-ROUND(BE18,3),3)*1000,""))),"")</f>
        <v/>
      </c>
      <c r="BH18" s="44" t="str">
        <f>IF(AND(NOT(ISNA(VLOOKUP(BC18,A6:E105,5,FALSE))),BD18="",BE18&lt;&gt;""),ROUND((VLOOKUP(BC18,A6:E105,5,FALSE)-BG18)/1000,3),IF(AND(NOT(ISNA(VLOOKUP(BC18,G6:K105,5,FALSE))),BD18="",BE18&lt;&gt;""),ROUND((VLOOKUP(BC18,G6:K105,5,FALSE)-BG18)/1000,3),IF(AND(NOT(ISNA(VLOOKUP(BC18,M6:Q105,5,FALSE))),BD18="",BE18&lt;&gt;""),ROUND((VLOOKUP(BC18,M6:Q105,5,FALSE)-BG18)/1000,3),IF(AND(NOT(ISNA(VLOOKUP(BC18,S6:W105,5,FALSE))),BD18="",BE18&lt;&gt;""),ROUND((VLOOKUP(BC18,S6:W105,5,FALSE)-BG18)/1000,3),IF(AND(NOT(ISNA(VLOOKUP(BC18,Y6:AC105,5,FALSE))),BD18="",BE18&lt;&gt;""),ROUND((VLOOKUP(BC18,Y6:AC105,5,FALSE)-BG18)/1000,3),IF(AND(NOT(ISNA(VLOOKUP(BC18,AE6:AI105,5,FALSE))),BD18="",BE18&lt;&gt;""),ROUND((VLOOKUP(BC18,AE6:AI105,5,FALSE)-BG18)/1000,3),IF(AND(NOT(ISNA(VLOOKUP(BC18,AK6:AO105,5,FALSE))),BD18="",BE18&lt;&gt;""),ROUND((VLOOKUP(BC18,AK6:AO105,5,FALSE)-BG18)/1000,3),IF(AND(NOT(ISNA(VLOOKUP(BC18,AQ6:AU105,5,FALSE))),BD18="",BE18&lt;&gt;""),ROUND((VLOOKUP(BC18,AQ6:AU105,5,FALSE)-BG18)/1000,3),IF(AND(NOT(ISNA(VLOOKUP(BC18,AW6:BA105,5,FALSE))),BD18="",BE18&lt;&gt;""),ROUND((VLOOKUP(BC18,AW6:BA105,5,FALSE)-BG18)/1000,3),IF(AND(NOT(ISNA(VLOOKUP(BC18,BC6:BG17,5,FALSE))),BD18="",BE18&lt;&gt;""),ROUND((VLOOKUP(BC18,BC6:BG17,5,FALSE)-BG18)/1000,3),""))))))))))</f>
        <v/>
      </c>
    </row>
    <row r="19" spans="1:60" x14ac:dyDescent="0.25">
      <c r="A19" s="19">
        <f t="shared" si="3"/>
        <v>13</v>
      </c>
      <c r="B19" s="39"/>
      <c r="C19" s="39"/>
      <c r="D19" s="15" t="str">
        <f>IF(AND(B19&lt;&gt;"",C19&lt;&gt;""),ROUND(B19,3)+ROUND(D18,3)-ROUND(C19,3),IF(AND(EXACT(UPPER(A19),"TBM"),B19&lt;&gt;""),ROUND(B19,3),IF(B19="",D18,IF(ISNA(VLOOKUP(A19,A6:E18,5,FALSE)),"",ROUND(VLOOKUP(A19,A6:E18,5,FALSE),0)/1000+ROUND(B19,3)))))</f>
        <v/>
      </c>
      <c r="E19" s="21" t="str">
        <f t="shared" si="0"/>
        <v/>
      </c>
      <c r="F19" s="45" t="str">
        <f>IF(AND(NOT(ISNA(VLOOKUP(A19,A6:E18,5,FALSE))),B19="",C19&lt;&gt;""),ROUND((VLOOKUP(A19,A6:E18,5,FALSE)-E19)/1000,3),"")</f>
        <v/>
      </c>
      <c r="G19" s="19">
        <f t="shared" si="1"/>
        <v>113</v>
      </c>
      <c r="H19" s="39"/>
      <c r="I19" s="39"/>
      <c r="J19" s="15" t="str">
        <f>IF(AND(H19&lt;&gt;"",I19&lt;&gt;""),ROUND(H19,3)+ROUND(J18,3)-ROUND(I19,3),IF(AND(EXACT(UPPER(G19),"TBM"),H19&lt;&gt;""),ROUND(H19,3),IF(H19="",J18,IF(ISNA(VLOOKUP(G19,A6:E105,5,FALSE)),IF(ISNA(VLOOKUP(G19,G6:K18,5,FALSE)),"",ROUND(VLOOKUP(G19,G6:K18,5,FALSE),0)/1000+ROUND(H19,3)),ROUND(VLOOKUP(G19,A6:E105,5,FALSE),0)/1000+ROUND(H19,3)))))</f>
        <v/>
      </c>
      <c r="K19" s="18" t="str">
        <f t="shared" si="2"/>
        <v/>
      </c>
      <c r="L19" s="45" t="str">
        <f>IF(AND(NOT(ISNA(VLOOKUP(G19,A6:E105,5,FALSE))),H19="",I19&lt;&gt;""),ROUND((VLOOKUP(G19,A6:E105,5,FALSE)-K19)/1000,3),IF(AND(NOT(ISNA(VLOOKUP(G19,G6:K18,5,FALSE))),H19="",I19&lt;&gt;""),ROUND((VLOOKUP(G19,G6:K18,5,FALSE)-K19)/1000,3),""))</f>
        <v/>
      </c>
      <c r="M19" s="19">
        <f>IF(M18="","",M18+1)</f>
        <v>213</v>
      </c>
      <c r="N19" s="39"/>
      <c r="O19" s="39"/>
      <c r="P19" s="15" t="str">
        <f>IF(AND(N19&lt;&gt;"",O19&lt;&gt;""),ROUND(N19,3)+ROUND(P18,3)-ROUND(O19,3),IF(AND(EXACT(UPPER(M19),"TBM"),N19&lt;&gt;""),ROUND(N19,3),IF(N19="",P18,IF(ISNA(VLOOKUP(M19,A6:E105,5,FALSE)),IF(ISNA(VLOOKUP(M19,G6:K105,5,FALSE)),IF(ISNA(VLOOKUP(M19,M6:Q18,5,FALSE)),"",ROUND(VLOOKUP(M19,M6:Q18,5,FALSE),0)/1000+ROUND(N19,3)),ROUND(VLOOKUP(M19,G6:K105,5,FALSE),0)/1000+ROUND(N19,3)),ROUND(VLOOKUP(M19,A6:E105,5,FALSE),0)/1000+ROUND(N19,3)))))</f>
        <v/>
      </c>
      <c r="Q19" s="18" t="str">
        <f>IF(OR(NOT(EXACT(UPPER(M19),"TBM")),N19=""),IF(AND(N19&lt;&gt;"",O19="",P19&lt;&gt;""),"",IF(AND(N19="",O19&lt;&gt;"",P19&lt;&gt;""),ROUND(ROUND(P19,3)-ROUND(O19,3),3)*1000,IF(AND(N19&lt;&gt;"",O19&lt;&gt;"",P19&lt;&gt;""),ROUND(ROUND(P18,3)-ROUND(O19,3),3)*1000,""))),"")</f>
        <v/>
      </c>
      <c r="R19" s="45" t="str">
        <f>IF(AND(NOT(ISNA(VLOOKUP(M19,A6:E105,5,FALSE))),N19="",O19&lt;&gt;""),ROUND((VLOOKUP(M19,A6:E105,5,FALSE)-Q19)/1000,3),IF(AND(NOT(ISNA(VLOOKUP(M19,G6:K105,5,FALSE))),N19="",O19&lt;&gt;""),ROUND((VLOOKUP(M19,G6:K105,5,FALSE)-Q19)/1000,3),IF(AND(NOT(ISNA(VLOOKUP(M19,M6:Q18,5,FALSE))),N19="",O19&lt;&gt;""),ROUND((VLOOKUP(M19,M6:Q18,5,FALSE)-Q19)/1000,3),"")))</f>
        <v/>
      </c>
      <c r="S19" s="19">
        <f>IF(S18="","",S18+1)</f>
        <v>313</v>
      </c>
      <c r="T19" s="39"/>
      <c r="U19" s="39"/>
      <c r="V19" s="15" t="str">
        <f>IF(AND(T19&lt;&gt;"",U19&lt;&gt;""),ROUND(T19,3)+ROUND(V18,3)-ROUND(U19,3),IF(AND(EXACT(UPPER(S19),"TBM"),T19&lt;&gt;""),ROUND(T19,3),IF(T19="",V18,IF(ISNA(VLOOKUP(S19,A6:E105,5,FALSE)),IF(ISNA(VLOOKUP(S19,G6:K105,5,FALSE)),IF(ISNA(VLOOKUP(S19,M6:Q105,5,FALSE)),IF(ISNA(VLOOKUP(S19,S6:W18,5,FALSE)),"",ROUND(VLOOKUP(S19,S6:W18,5,FALSE),0)/1000+ROUND(T19,3)),ROUND(VLOOKUP(S19,M6:Q105,5,FALSE),0)/1000+ROUND(T19,3)),ROUND(VLOOKUP(S19,G6:K105,5,FALSE),0)/1000+ROUND(T19,3)),ROUND(VLOOKUP(S19,A6:E105,5,FALSE),0)/1000+ROUND(T19,3)))))</f>
        <v/>
      </c>
      <c r="W19" s="18" t="str">
        <f>IF(OR(NOT(EXACT(UPPER(S19),"TBM")),T19=""),IF(AND(T19&lt;&gt;"",U19="",V19&lt;&gt;""),"",IF(AND(T19="",U19&lt;&gt;"",V19&lt;&gt;""),ROUND(ROUND(V19,3)-ROUND(U19,3),3)*1000,IF(AND(T19&lt;&gt;"",U19&lt;&gt;"",V19&lt;&gt;""),ROUND(ROUND(V18,3)-ROUND(U19,3),3)*1000,""))),"")</f>
        <v/>
      </c>
      <c r="X19" s="45" t="str">
        <f>IF(AND(NOT(ISNA(VLOOKUP(S19,A6:E105,5,FALSE))),T19="",U19&lt;&gt;""),ROUND((VLOOKUP(S19,A6:E105,5,FALSE)-W19)/1000,3),IF(AND(NOT(ISNA(VLOOKUP(S19,G6:K105,5,FALSE))),T19="",U19&lt;&gt;""),ROUND((VLOOKUP(S19,G6:K105,5,FALSE)-W19)/1000,3),IF(AND(NOT(ISNA(VLOOKUP(S19,M6:Q105,5,FALSE))),T19="",U19&lt;&gt;""),ROUND((VLOOKUP(S19,M6:Q105,5,FALSE)-W19)/1000,3),IF(AND(NOT(ISNA(VLOOKUP(S19,S6:W18,5,FALSE))),T19="",U19&lt;&gt;""),ROUND((VLOOKUP(S19,S6:W18,5,FALSE)-W19)/1000,3),""))))</f>
        <v/>
      </c>
      <c r="Y19" s="19">
        <f>IF(Y18="","",Y18+1)</f>
        <v>413</v>
      </c>
      <c r="Z19" s="39"/>
      <c r="AA19" s="39"/>
      <c r="AB19" s="15" t="str">
        <f>IF(AND(Z19&lt;&gt;"",AA19&lt;&gt;""),ROUND(Z19,3)+ROUND(AB18,3)-ROUND(AA19,3),IF(AND(EXACT(UPPER(Y19),"TBM"),Z19&lt;&gt;""),ROUND(Z19,3),IF(Z19="",AB18,IF(ISNA(VLOOKUP(Y19,A6:E105,5,FALSE)),IF(ISNA(VLOOKUP(Y19,G6:K105,5,FALSE)),IF(ISNA(VLOOKUP(Y19,M6:Q105,5,FALSE)),IF(ISNA(VLOOKUP(Y19,S6:W105,5,FALSE)),IF(ISNA(VLOOKUP(Y19,Y6:AC18,5,FALSE)),"",ROUND(VLOOKUP(Y19,Y6:AC18,5,FALSE),0)/1000+ROUND(Z19,3)),ROUND(VLOOKUP(Y19,S6:W105,5,FALSE),0)/1000+ROUND(Z19,3)),ROUND(VLOOKUP(Y19,M6:Q105,5,FALSE),0)/1000+ROUND(Z19,3)),ROUND(VLOOKUP(Y19,G6:K105,5,FALSE),0)/1000+ROUND(Z19,3)),ROUND(VLOOKUP(Y19,A6:E105,5,FALSE),0)/1000+ROUND(Z19,3)))))</f>
        <v/>
      </c>
      <c r="AC19" s="18" t="str">
        <f>IF(OR(NOT(EXACT(UPPER(Y19),"TBM")),Z19=""),IF(AND(Z19&lt;&gt;"",AA19="",AB19&lt;&gt;""),"",IF(AND(Z19="",AA19&lt;&gt;"",AB19&lt;&gt;""),ROUND(ROUND(AB19,3)-ROUND(AA19,3),3)*1000,IF(AND(Z19&lt;&gt;"",AA19&lt;&gt;"",AB19&lt;&gt;""),ROUND(ROUND(AB18,3)-ROUND(AA19,3),3)*1000,""))),"")</f>
        <v/>
      </c>
      <c r="AD19" s="45" t="str">
        <f>IF(AND(NOT(ISNA(VLOOKUP(Y19,A6:E105,5,FALSE))),Z19="",AA19&lt;&gt;""),ROUND((VLOOKUP(Y19,A6:E105,5,FALSE)-AC19)/1000,3),IF(AND(NOT(ISNA(VLOOKUP(Y19,G6:K105,5,FALSE))),Z19="",AA19&lt;&gt;""),ROUND((VLOOKUP(Y19,G6:K105,5,FALSE)-AC19)/1000,3),IF(AND(NOT(ISNA(VLOOKUP(Y19,M6:Q105,5,FALSE))),Z19="",AA19&lt;&gt;""),ROUND((VLOOKUP(Y19,M6:Q105,5,FALSE)-AC19)/1000,3),IF(AND(NOT(ISNA(VLOOKUP(Y19,S6:W105,5,FALSE))),Z19="",AA19&lt;&gt;""),ROUND((VLOOKUP(Y19,S6:W105,5,FALSE)-AC19)/1000,3),IF(AND(NOT(ISNA(VLOOKUP(Y19,Y6:AC18,5,FALSE))),Z19="",AA19&lt;&gt;""),ROUND((VLOOKUP(Y19,Y6:AC18,5,FALSE)-AC19)/1000,3),"")))))</f>
        <v/>
      </c>
      <c r="AE19" s="19">
        <f>IF(AE18="","",AE18+1)</f>
        <v>513</v>
      </c>
      <c r="AF19" s="39"/>
      <c r="AG19" s="39"/>
      <c r="AH19" s="15" t="str">
        <f>IF(AND(AF19&lt;&gt;"",AG19&lt;&gt;""),ROUND(AF19,3)+ROUND(AH18,3)-ROUND(AG19,3),IF(AND(EXACT(UPPER(AE19),"TBM"),AF19&lt;&gt;""),ROUND(AF19,3),IF(AF19="",AH18,IF(ISNA(VLOOKUP(AE19,A6:E105,5,FALSE)),IF(ISNA(VLOOKUP(AE19,G6:K105,5,FALSE)),IF(ISNA(VLOOKUP(AE19,M6:Q105,5,FALSE)),IF(ISNA(VLOOKUP(AE19,S6:W105,5,FALSE)),IF(ISNA(VLOOKUP(AE19,Y6:AC105,5,FALSE)),IF(ISNA(VLOOKUP(AE19,AE6:AI18,5,FALSE)),"",ROUND(VLOOKUP(AE19,AE6:AI18,5,FALSE),0)/1000+ROUND(AF19,3)),ROUND(VLOOKUP(AE19,Y6:AC105,5,FALSE),0)/1000+ROUND(AF19,3)),ROUND(VLOOKUP(AE19,S6:W105,5,FALSE),0)/1000+ROUND(AF19,3)),ROUND(VLOOKUP(AE19,M6:Q105,5,FALSE),0)/1000+ROUND(AF19,3)),ROUND(VLOOKUP(AE19,G6:K105,5,FALSE),0)/1000+ROUND(AF19,3)),ROUND(VLOOKUP(AE19,A6:E105,5,FALSE),0)/1000+ROUND(AF19,3)))))</f>
        <v/>
      </c>
      <c r="AI19" s="18" t="str">
        <f>IF(OR(NOT(EXACT(UPPER(AE19),"TBM")),AF19=""),IF(AND(AF19&lt;&gt;"",AG19="",AH19&lt;&gt;""),"",IF(AND(AF19="",AG19&lt;&gt;"",AH19&lt;&gt;""),ROUND(ROUND(AH19,3)-ROUND(AG19,3),3)*1000,IF(AND(AF19&lt;&gt;"",AG19&lt;&gt;"",AH19&lt;&gt;""),ROUND(ROUND(AH18,3)-ROUND(AG19,3),3)*1000,""))),"")</f>
        <v/>
      </c>
      <c r="AJ19" s="45" t="str">
        <f>IF(AND(NOT(ISNA(VLOOKUP(AE19,A6:E105,5,FALSE))),AF19="",AG19&lt;&gt;""),ROUND((VLOOKUP(AE19,A6:E105,5,FALSE)-AI19)/1000,3),IF(AND(NOT(ISNA(VLOOKUP(AE19,G6:K105,5,FALSE))),AF19="",AG19&lt;&gt;""),ROUND((VLOOKUP(AE19,G6:K105,5,FALSE)-AI19)/1000,3),IF(AND(NOT(ISNA(VLOOKUP(AE19,M6:Q105,5,FALSE))),AF19="",AG19&lt;&gt;""),ROUND((VLOOKUP(AE19,M6:Q105,5,FALSE)-AI19)/1000,3),IF(AND(NOT(ISNA(VLOOKUP(AE19,S6:W105,5,FALSE))),AF19="",AG19&lt;&gt;""),ROUND((VLOOKUP(AE19,S6:W105,5,FALSE)-AI19)/1000,3),IF(AND(NOT(ISNA(VLOOKUP(AE19,Y6:AC105,5,FALSE))),AF19="",AG19&lt;&gt;""),ROUND((VLOOKUP(AE19,Y6:AC105,5,FALSE)-AI19)/1000,3),IF(AND(NOT(ISNA(VLOOKUP(AE19,AE6:AI18,5,FALSE))),AF19="",AG19&lt;&gt;""),ROUND((VLOOKUP(AE19,AE6:AI18,5,FALSE)-AI19)/1000,3),""))))))</f>
        <v/>
      </c>
      <c r="AK19" s="19">
        <f>IF(AK18="","",AK18+1)</f>
        <v>613</v>
      </c>
      <c r="AL19" s="39"/>
      <c r="AM19" s="39"/>
      <c r="AN19" s="15" t="str">
        <f>IF(AND(AL19&lt;&gt;"",AM19&lt;&gt;""),ROUND(AL19,3)+ROUND(AN18,3)-ROUND(AM19,3),IF(AND(EXACT(UPPER(AK19),"TBM"),AL19&lt;&gt;""),ROUND(AL19,3),IF(AL19="",AN18,IF(ISNA(VLOOKUP(AK19,A6:E105,5,FALSE)),IF(ISNA(VLOOKUP(AK19,G6:K105,5,FALSE)),IF(ISNA(VLOOKUP(AK19,M6:Q105,5,FALSE)),IF(ISNA(VLOOKUP(AK19,S6:W105,5,FALSE)),IF(ISNA(VLOOKUP(AK19,Y6:AC105,5,FALSE)),IF(ISNA(VLOOKUP(AK19,AE6:AI105,5,FALSE)),IF(ISNA(VLOOKUP(AK19,AK6:AO18,5,FALSE)),"",ROUND(VLOOKUP(AK19,AK6:AO18,5,FALSE),0)/1000+ROUND(AL19,3)),ROUND(VLOOKUP(AK19,AE6:AI105,5,FALSE),0)/1000+ROUND(AL19,3)),ROUND(VLOOKUP(AK19,Y6:AC105,5,FALSE),0)/1000+ROUND(AL19,3)),ROUND(VLOOKUP(AK19,S6:W105,5,FALSE),0)/1000+ROUND(AL19,3)),ROUND(VLOOKUP(AK19,M6:Q105,5,FALSE),0)/1000+ROUND(AL19,3)),ROUND(VLOOKUP(AK19,G6:K105,5,FALSE),0)/1000+ROUND(AL19,3)),ROUND(VLOOKUP(AK19,A6:E105,5,FALSE),0)/1000+ROUND(AL19,3)))))</f>
        <v/>
      </c>
      <c r="AO19" s="18" t="str">
        <f>IF(OR(NOT(EXACT(UPPER(AK19),"TBM")),AL19=""),IF(AND(AL19&lt;&gt;"",AM19="",AN19&lt;&gt;""),"",IF(AND(AL19="",AM19&lt;&gt;"",AN19&lt;&gt;""),ROUND(ROUND(AN19,3)-ROUND(AM19,3),3)*1000,IF(AND(AL19&lt;&gt;"",AM19&lt;&gt;"",AN19&lt;&gt;""),ROUND(ROUND(AN18,3)-ROUND(AM19,3),3)*1000,""))),"")</f>
        <v/>
      </c>
      <c r="AP19" s="45" t="str">
        <f>IF(AND(NOT(ISNA(VLOOKUP(AK19,A6:E105,5,FALSE))),AL19="",AM19&lt;&gt;""),ROUND((VLOOKUP(AK19,A6:E105,5,FALSE)-AO19)/1000,3),IF(AND(NOT(ISNA(VLOOKUP(AK19,G6:K105,5,FALSE))),AL19="",AM19&lt;&gt;""),ROUND((VLOOKUP(AK19,G6:K105,5,FALSE)-AO19)/1000,3),IF(AND(NOT(ISNA(VLOOKUP(AK19,M6:Q105,5,FALSE))),AL19="",AM19&lt;&gt;""),ROUND((VLOOKUP(AK19,M6:Q105,5,FALSE)-AO19)/1000,3),IF(AND(NOT(ISNA(VLOOKUP(AK19,S6:W105,5,FALSE))),AL19="",AM19&lt;&gt;""),ROUND((VLOOKUP(AK19,S6:W105,5,FALSE)-AO19)/1000,3),IF(AND(NOT(ISNA(VLOOKUP(AK19,Y6:AC105,5,FALSE))),AL19="",AM19&lt;&gt;""),ROUND((VLOOKUP(AK19,Y6:AC105,5,FALSE)-AO19)/1000,3),IF(AND(NOT(ISNA(VLOOKUP(AK19,AE6:AI105,5,FALSE))),AL19="",AM19&lt;&gt;""),ROUND((VLOOKUP(AK19,AE6:AI105,5,FALSE)-AO19)/1000,3),IF(AND(NOT(ISNA(VLOOKUP(AK19,AK6:AO18,5,FALSE))),AL19="",AM19&lt;&gt;""),ROUND((VLOOKUP(AK19,AK6:AO18,5,FALSE)-AO19)/1000,3),"")))))))</f>
        <v/>
      </c>
      <c r="AQ19" s="19">
        <f>IF(AQ18="","",AQ18+1)</f>
        <v>713</v>
      </c>
      <c r="AR19" s="39"/>
      <c r="AS19" s="39"/>
      <c r="AT19" s="15" t="str">
        <f>IF(AND(AR19&lt;&gt;"",AS19&lt;&gt;""),ROUND(AR19,3)+ROUND(AT18,3)-ROUND(AS19,3),IF(AND(EXACT(UPPER(AQ19),"TBM"),AR19&lt;&gt;""),ROUND(AR19,3),IF(AR19="",AT18,IF(ISNA(VLOOKUP(AQ19,A6:E105,5,FALSE)),IF(ISNA(VLOOKUP(AQ19,G6:K105,5,FALSE)),IF(ISNA(VLOOKUP(AQ19,M6:Q105,5,FALSE)),IF(ISNA(VLOOKUP(AQ19,S6:W105,5,FALSE)),IF(ISNA(VLOOKUP(AQ19,Y6:AC105,5,FALSE)),IF(ISNA(VLOOKUP(AQ19,AE6:AI105,5,FALSE)),IF(ISNA(VLOOKUP(AQ19,AK6:AO105,5,FALSE)),IF(ISNA(VLOOKUP(AQ19,AQ6:AU18,5,FALSE)),"",ROUND(VLOOKUP(AQ19,AQ6:AU18,5,FALSE),0)/1000+ROUND(AR19,3)),ROUND(VLOOKUP(AQ19,AK6:AO105,5,FALSE),0)/1000+ROUND(AR19,3)),ROUND(VLOOKUP(AQ19,AE6:AI105,5,FALSE),0)/1000+ROUND(AR19,3)),ROUND(VLOOKUP(AQ19,Y6:AC105,5,FALSE),0)/1000+ROUND(AR19,3)),ROUND(VLOOKUP(AQ19,S6:W105,5,FALSE),0)/1000+ROUND(AR19,3)),ROUND(VLOOKUP(AQ19,M6:Q105,5,FALSE),0)/1000+ROUND(AR19,3)),ROUND(VLOOKUP(AQ19,G6:K105,5,FALSE),0)/1000+ROUND(AR19,3)),ROUND(VLOOKUP(AQ19,A6:E105,5,FALSE),0)/1000+ROUND(AR19,3)))))</f>
        <v/>
      </c>
      <c r="AU19" s="18" t="str">
        <f>IF(OR(NOT(EXACT(UPPER(AQ19),"TBM")),AR19=""),IF(AND(AR19&lt;&gt;"",AS19="",AT19&lt;&gt;""),"",IF(AND(AR19="",AS19&lt;&gt;"",AT19&lt;&gt;""),ROUND(ROUND(AT19,3)-ROUND(AS19,3),3)*1000,IF(AND(AR19&lt;&gt;"",AS19&lt;&gt;"",AT19&lt;&gt;""),ROUND(ROUND(AT18,3)-ROUND(AS19,3),3)*1000,""))),"")</f>
        <v/>
      </c>
      <c r="AV19" s="45" t="str">
        <f>IF(AND(NOT(ISNA(VLOOKUP(AQ19,A6:E105,5,FALSE))),AR19="",AS19&lt;&gt;""),ROUND((VLOOKUP(AQ19,A6:E105,5,FALSE)-AU19)/1000,3),IF(AND(NOT(ISNA(VLOOKUP(AQ19,G6:K105,5,FALSE))),AR19="",AS19&lt;&gt;""),ROUND((VLOOKUP(AQ19,G6:K105,5,FALSE)-AU19)/1000,3),IF(AND(NOT(ISNA(VLOOKUP(AQ19,M6:Q105,5,FALSE))),AR19="",AS19&lt;&gt;""),ROUND((VLOOKUP(AQ19,M6:Q105,5,FALSE)-AU19)/1000,3),IF(AND(NOT(ISNA(VLOOKUP(AQ19,S6:W105,5,FALSE))),AR19="",AS19&lt;&gt;""),ROUND((VLOOKUP(AQ19,S6:W105,5,FALSE)-AU19)/1000,3),IF(AND(NOT(ISNA(VLOOKUP(AQ19,Y6:AC105,5,FALSE))),AR19="",AS19&lt;&gt;""),ROUND((VLOOKUP(AQ19,Y6:AC105,5,FALSE)-AU19)/1000,3),IF(AND(NOT(ISNA(VLOOKUP(AQ19,AE6:AI105,5,FALSE))),AR19="",AS19&lt;&gt;""),ROUND((VLOOKUP(AQ19,AE6:AI105,5,FALSE)-AU19)/1000,3),IF(AND(NOT(ISNA(VLOOKUP(AQ19,AK6:AO105,5,FALSE))),AR19="",AS19&lt;&gt;""),ROUND((VLOOKUP(AQ19,AK6:AO105,5,FALSE)-AU19)/1000,3),IF(AND(NOT(ISNA(VLOOKUP(AQ19,AQ6:AU18,5,FALSE))),AR19="",AS19&lt;&gt;""),ROUND((VLOOKUP(AQ19,AQ6:AU18,5,FALSE)-AU19)/1000,3),""))))))))</f>
        <v/>
      </c>
      <c r="AW19" s="19">
        <f>IF(AW18="","",AW18+1)</f>
        <v>813</v>
      </c>
      <c r="AX19" s="39"/>
      <c r="AY19" s="39"/>
      <c r="AZ19" s="15" t="str">
        <f>IF(AND(AX19&lt;&gt;"",AY19&lt;&gt;""),ROUND(AX19,3)+ROUND(AZ18,3)-ROUND(AY19,3),IF(AND(EXACT(UPPER(AW19),"TBM"),AX19&lt;&gt;""),ROUND(AX19,3),IF(AX19="",AZ18,IF(ISNA(VLOOKUP(AW19,A6:E105,5,FALSE)),IF(ISNA(VLOOKUP(AW19,G6:K105,5,FALSE)),IF(ISNA(VLOOKUP(AW19,M6:Q105,5,FALSE)),IF(ISNA(VLOOKUP(AW19,S6:W105,5,FALSE)),IF(ISNA(VLOOKUP(AW19,Y6:AC105,5,FALSE)),IF(ISNA(VLOOKUP(AW19,AE6:AI105,5,FALSE)),IF(ISNA(VLOOKUP(AW19,AK6:AO105,5,FALSE)),IF(ISNA(VLOOKUP(AW19,AQ6:AU105,5,FALSE)),IF(ISNA(VLOOKUP(AW19,AW6:BA18,5,FALSE)),"",ROUND(VLOOKUP(AW19,AW6:BA18,5,FALSE),0)/1000+ROUND(AX19,3)),ROUND(VLOOKUP(AW19,AQ6:AU105,5,FALSE),0)/1000+ROUND(AX19,3)),ROUND(VLOOKUP(AW19,AK6:AO105,5,FALSE),0)/1000+ROUND(AX19,3)),ROUND(VLOOKUP(AW19,AE6:AI105,5,FALSE),0)/1000+ROUND(AX19,3)),ROUND(VLOOKUP(AW19,Y6:AC105,5,FALSE),0)/1000+ROUND(AX19,3)),ROUND(VLOOKUP(AW19,S6:W105,5,FALSE),0)/1000+ROUND(AX19,3)),ROUND(VLOOKUP(AW19,M6:Q105,5,FALSE),0)/1000+ROUND(AX19,3)),ROUND(VLOOKUP(AW19,G6:K105,5,FALSE),0)/1000+ROUND(AX19,3)),ROUND(VLOOKUP(AW19,A6:E105,5,FALSE),0)/1000+ROUND(AX19,3)))))</f>
        <v/>
      </c>
      <c r="BA19" s="18" t="str">
        <f>IF(OR(NOT(EXACT(UPPER(AW19),"TBM")),AX19=""),IF(AND(AX19&lt;&gt;"",AY19="",AZ19&lt;&gt;""),"",IF(AND(AX19="",AY19&lt;&gt;"",AZ19&lt;&gt;""),ROUND(ROUND(AZ19,3)-ROUND(AY19,3),3)*1000,IF(AND(AX19&lt;&gt;"",AY19&lt;&gt;"",AZ19&lt;&gt;""),ROUND(ROUND(AZ18,3)-ROUND(AY19,3),3)*1000,""))),"")</f>
        <v/>
      </c>
      <c r="BB19" s="45" t="str">
        <f>IF(AND(NOT(ISNA(VLOOKUP(AW19,A6:E105,5,FALSE))),AX19="",AY19&lt;&gt;""),ROUND((VLOOKUP(AW19,A6:E105,5,FALSE)-BA19)/1000,3),IF(AND(NOT(ISNA(VLOOKUP(AW19,G6:K105,5,FALSE))),AX19="",AY19&lt;&gt;""),ROUND((VLOOKUP(AW19,G6:K105,5,FALSE)-BA19)/1000,3),IF(AND(NOT(ISNA(VLOOKUP(AW19,M6:Q105,5,FALSE))),AX19="",AY19&lt;&gt;""),ROUND((VLOOKUP(AW19,M6:Q105,5,FALSE)-BA19)/1000,3),IF(AND(NOT(ISNA(VLOOKUP(AW19,S6:W105,5,FALSE))),AX19="",AY19&lt;&gt;""),ROUND((VLOOKUP(AW19,S6:W105,5,FALSE)-BA19)/1000,3),IF(AND(NOT(ISNA(VLOOKUP(AW19,Y6:AC105,5,FALSE))),AX19="",AY19&lt;&gt;""),ROUND((VLOOKUP(AW19,Y6:AC105,5,FALSE)-BA19)/1000,3),IF(AND(NOT(ISNA(VLOOKUP(AW19,AE6:AI105,5,FALSE))),AX19="",AY19&lt;&gt;""),ROUND((VLOOKUP(AW19,AE6:AI105,5,FALSE)-BA19)/1000,3),IF(AND(NOT(ISNA(VLOOKUP(AW19,AK6:AO105,5,FALSE))),AX19="",AY19&lt;&gt;""),ROUND((VLOOKUP(AW19,AK6:AO105,5,FALSE)-BA19)/1000,3),IF(AND(NOT(ISNA(VLOOKUP(AW19,AQ6:AU105,5,FALSE))),AX19="",AY19&lt;&gt;""),ROUND((VLOOKUP(AW19,AQ6:AU105,5,FALSE)-BA19)/1000,3),IF(AND(NOT(ISNA(VLOOKUP(AW19,AW6:BA18,5,FALSE))),AX19="",AY19&lt;&gt;""),ROUND((VLOOKUP(AW19,AW6:BA18,5,FALSE)-BA19)/1000,3),"")))))))))</f>
        <v/>
      </c>
      <c r="BC19" s="19">
        <f>IF(BC18="","",BC18+1)</f>
        <v>913</v>
      </c>
      <c r="BD19" s="39"/>
      <c r="BE19" s="39"/>
      <c r="BF19" s="15" t="str">
        <f>IF(AND(BD19&lt;&gt;"",BE19&lt;&gt;""),ROUND(BD19,3)+ROUND(BF18,3)-ROUND(BE19,3),IF(AND(EXACT(UPPER(BC19),"TBM"),BD19&lt;&gt;""),ROUND(BD19,3),IF(BD19="",BF18,IF(ISNA(VLOOKUP(BC19,A6:E105,5,FALSE)),IF(ISNA(VLOOKUP(BC19,G6:K105,5,FALSE)),IF(ISNA(VLOOKUP(BC19,M6:Q105,5,FALSE)),IF(ISNA(VLOOKUP(BC19,S6:W105,5,FALSE)),IF(ISNA(VLOOKUP(BC19,Y6:AC105,5,FALSE)),IF(ISNA(VLOOKUP(BC19,AE6:AI105,5,FALSE)),IF(ISNA(VLOOKUP(BC19,AK6:AO105,5,FALSE)),IF(ISNA(VLOOKUP(BC19,AQ6:AU105,5,FALSE)),IF(ISNA(VLOOKUP(BC19,AW6:BA105,5,FALSE)),IF(ISNA(VLOOKUP(BC19,BC6:BG18,5,FALSE)),"",ROUND(VLOOKUP(BC19,BC6:BG18,5,FALSE),0)/1000+ROUND(BD19,3)),ROUND(VLOOKUP(BC19,AW6:BA105,5,FALSE),0)/1000+ROUND(BD19,3)),ROUND(VLOOKUP(BC19,AQ6:AU105,5,FALSE),0)/1000+ROUND(BD19,3)),ROUND(VLOOKUP(BC19,AK6:AO105,5,FALSE),0)/1000+ROUND(BD19,3)),ROUND(VLOOKUP(BC19,AE6:AI105,5,FALSE),0)/1000+ROUND(BD19,3)),ROUND(VLOOKUP(BC19,Y6:AC105,5,FALSE),0)/1000+ROUND(BD19,3)),ROUND(VLOOKUP(BC19,S6:W105,5,FALSE),0)/1000+ROUND(BD19,3)),ROUND(VLOOKUP(BC19,M6:Q105,5,FALSE),0)/1000+ROUND(BD19,3)),ROUND(VLOOKUP(BC19,G6:K105,5,FALSE),0)/1000+ROUND(BD19,3)),ROUND(VLOOKUP(BC19,A6:E105,5,FALSE),0)/1000+ROUND(BD19,3)))))</f>
        <v/>
      </c>
      <c r="BG19" s="18" t="str">
        <f>IF(OR(NOT(EXACT(UPPER(BC19),"TBM")),BD19=""),IF(AND(BD19&lt;&gt;"",BE19="",BF19&lt;&gt;""),"",IF(AND(BD19="",BE19&lt;&gt;"",BF19&lt;&gt;""),ROUND(ROUND(BF19,3)-ROUND(BE19,3),3)*1000,IF(AND(BD19&lt;&gt;"",BE19&lt;&gt;"",BF19&lt;&gt;""),ROUND(ROUND(BF18,3)-ROUND(BE19,3),3)*1000,""))),"")</f>
        <v/>
      </c>
      <c r="BH19" s="45" t="str">
        <f>IF(AND(NOT(ISNA(VLOOKUP(BC19,A6:E105,5,FALSE))),BD19="",BE19&lt;&gt;""),ROUND((VLOOKUP(BC19,A6:E105,5,FALSE)-BG19)/1000,3),IF(AND(NOT(ISNA(VLOOKUP(BC19,G6:K105,5,FALSE))),BD19="",BE19&lt;&gt;""),ROUND((VLOOKUP(BC19,G6:K105,5,FALSE)-BG19)/1000,3),IF(AND(NOT(ISNA(VLOOKUP(BC19,M6:Q105,5,FALSE))),BD19="",BE19&lt;&gt;""),ROUND((VLOOKUP(BC19,M6:Q105,5,FALSE)-BG19)/1000,3),IF(AND(NOT(ISNA(VLOOKUP(BC19,S6:W105,5,FALSE))),BD19="",BE19&lt;&gt;""),ROUND((VLOOKUP(BC19,S6:W105,5,FALSE)-BG19)/1000,3),IF(AND(NOT(ISNA(VLOOKUP(BC19,Y6:AC105,5,FALSE))),BD19="",BE19&lt;&gt;""),ROUND((VLOOKUP(BC19,Y6:AC105,5,FALSE)-BG19)/1000,3),IF(AND(NOT(ISNA(VLOOKUP(BC19,AE6:AI105,5,FALSE))),BD19="",BE19&lt;&gt;""),ROUND((VLOOKUP(BC19,AE6:AI105,5,FALSE)-BG19)/1000,3),IF(AND(NOT(ISNA(VLOOKUP(BC19,AK6:AO105,5,FALSE))),BD19="",BE19&lt;&gt;""),ROUND((VLOOKUP(BC19,AK6:AO105,5,FALSE)-BG19)/1000,3),IF(AND(NOT(ISNA(VLOOKUP(BC19,AQ6:AU105,5,FALSE))),BD19="",BE19&lt;&gt;""),ROUND((VLOOKUP(BC19,AQ6:AU105,5,FALSE)-BG19)/1000,3),IF(AND(NOT(ISNA(VLOOKUP(BC19,AW6:BA105,5,FALSE))),BD19="",BE19&lt;&gt;""),ROUND((VLOOKUP(BC19,AW6:BA105,5,FALSE)-BG19)/1000,3),IF(AND(NOT(ISNA(VLOOKUP(BC19,BC6:BG18,5,FALSE))),BD19="",BE19&lt;&gt;""),ROUND((VLOOKUP(BC19,BC6:BG18,5,FALSE)-BG19)/1000,3),""))))))))))</f>
        <v/>
      </c>
    </row>
    <row r="20" spans="1:60" x14ac:dyDescent="0.25">
      <c r="A20" s="67">
        <f t="shared" si="3"/>
        <v>14</v>
      </c>
      <c r="B20" s="40"/>
      <c r="C20" s="40"/>
      <c r="D20" s="62" t="str">
        <f>IF(AND(B20&lt;&gt;"",C20&lt;&gt;""),ROUND(B20,3)+ROUND(D19,3)-ROUND(C20,3),IF(AND(EXACT(UPPER(A20),"TBM"),B20&lt;&gt;""),ROUND(B20,3),IF(B20="",D19,IF(ISNA(VLOOKUP(A20,A6:E19,5,FALSE)),"",ROUND(VLOOKUP(A20,A6:E19,5,FALSE),0)/1000+ROUND(B20,3)))))</f>
        <v/>
      </c>
      <c r="E20" s="22" t="str">
        <f t="shared" si="0"/>
        <v/>
      </c>
      <c r="F20" s="46" t="str">
        <f>IF(AND(NOT(ISNA(VLOOKUP(A20,A6:E19,5,FALSE))),B20="",C20&lt;&gt;""),ROUND((VLOOKUP(A20,A6:E19,5,FALSE)-E20)/1000,3),"")</f>
        <v/>
      </c>
      <c r="G20" s="67">
        <f t="shared" si="1"/>
        <v>114</v>
      </c>
      <c r="H20" s="40"/>
      <c r="I20" s="40"/>
      <c r="J20" s="62" t="str">
        <f>IF(AND(H20&lt;&gt;"",I20&lt;&gt;""),ROUND(H20,3)+ROUND(J19,3)-ROUND(I20,3),IF(AND(EXACT(UPPER(G20),"TBM"),H20&lt;&gt;""),ROUND(H20,3),IF(H20="",J19,IF(ISNA(VLOOKUP(G20,A6:E105,5,FALSE)),IF(ISNA(VLOOKUP(G20,G6:K19,5,FALSE)),"",ROUND(VLOOKUP(G20,G6:K19,5,FALSE),0)/1000+ROUND(H20,3)),ROUND(VLOOKUP(G20,A6:E105,5,FALSE),0)/1000+ROUND(H20,3)))))</f>
        <v/>
      </c>
      <c r="K20" s="20" t="str">
        <f t="shared" si="2"/>
        <v/>
      </c>
      <c r="L20" s="46" t="str">
        <f>IF(AND(NOT(ISNA(VLOOKUP(G20,A6:E105,5,FALSE))),H20="",I20&lt;&gt;""),ROUND((VLOOKUP(G20,A6:E105,5,FALSE)-K20)/1000,3),IF(AND(NOT(ISNA(VLOOKUP(G20,G6:K19,5,FALSE))),H20="",I20&lt;&gt;""),ROUND((VLOOKUP(G20,G6:K19,5,FALSE)-K20)/1000,3),""))</f>
        <v/>
      </c>
      <c r="M20" s="67">
        <f>IF(M19="","",M19+1)</f>
        <v>214</v>
      </c>
      <c r="N20" s="40"/>
      <c r="O20" s="40"/>
      <c r="P20" s="62" t="str">
        <f>IF(AND(N20&lt;&gt;"",O20&lt;&gt;""),ROUND(N20,3)+ROUND(P19,3)-ROUND(O20,3),IF(AND(EXACT(UPPER(M20),"TBM"),N20&lt;&gt;""),ROUND(N20,3),IF(N20="",P19,IF(ISNA(VLOOKUP(M20,A6:E105,5,FALSE)),IF(ISNA(VLOOKUP(M20,G6:K105,5,FALSE)),IF(ISNA(VLOOKUP(M20,M6:Q19,5,FALSE)),"",ROUND(VLOOKUP(M20,M6:Q19,5,FALSE),0)/1000+ROUND(N20,3)),ROUND(VLOOKUP(M20,G6:K105,5,FALSE),0)/1000+ROUND(N20,3)),ROUND(VLOOKUP(M20,A6:E105,5,FALSE),0)/1000+ROUND(N20,3)))))</f>
        <v/>
      </c>
      <c r="Q20" s="20" t="str">
        <f>IF(OR(NOT(EXACT(UPPER(M20),"TBM")),N20=""),IF(AND(N20&lt;&gt;"",O20="",P20&lt;&gt;""),"",IF(AND(N20="",O20&lt;&gt;"",P20&lt;&gt;""),ROUND(ROUND(P20,3)-ROUND(O20,3),3)*1000,IF(AND(N20&lt;&gt;"",O20&lt;&gt;"",P20&lt;&gt;""),ROUND(ROUND(P19,3)-ROUND(O20,3),3)*1000,""))),"")</f>
        <v/>
      </c>
      <c r="R20" s="46" t="str">
        <f>IF(AND(NOT(ISNA(VLOOKUP(M20,A6:E105,5,FALSE))),N20="",O20&lt;&gt;""),ROUND((VLOOKUP(M20,A6:E105,5,FALSE)-Q20)/1000,3),IF(AND(NOT(ISNA(VLOOKUP(M20,G6:K105,5,FALSE))),N20="",O20&lt;&gt;""),ROUND((VLOOKUP(M20,G6:K105,5,FALSE)-Q20)/1000,3),IF(AND(NOT(ISNA(VLOOKUP(M20,M6:Q19,5,FALSE))),N20="",O20&lt;&gt;""),ROUND((VLOOKUP(M20,M6:Q19,5,FALSE)-Q20)/1000,3),"")))</f>
        <v/>
      </c>
      <c r="S20" s="67">
        <f>IF(S19="","",S19+1)</f>
        <v>314</v>
      </c>
      <c r="T20" s="40"/>
      <c r="U20" s="40"/>
      <c r="V20" s="62" t="str">
        <f>IF(AND(T20&lt;&gt;"",U20&lt;&gt;""),ROUND(T20,3)+ROUND(V19,3)-ROUND(U20,3),IF(AND(EXACT(UPPER(S20),"TBM"),T20&lt;&gt;""),ROUND(T20,3),IF(T20="",V19,IF(ISNA(VLOOKUP(S20,A6:E105,5,FALSE)),IF(ISNA(VLOOKUP(S20,G6:K105,5,FALSE)),IF(ISNA(VLOOKUP(S20,M6:Q105,5,FALSE)),IF(ISNA(VLOOKUP(S20,S6:W19,5,FALSE)),"",ROUND(VLOOKUP(S20,S6:W19,5,FALSE),0)/1000+ROUND(T20,3)),ROUND(VLOOKUP(S20,M6:Q105,5,FALSE),0)/1000+ROUND(T20,3)),ROUND(VLOOKUP(S20,G6:K105,5,FALSE),0)/1000+ROUND(T20,3)),ROUND(VLOOKUP(S20,A6:E105,5,FALSE),0)/1000+ROUND(T20,3)))))</f>
        <v/>
      </c>
      <c r="W20" s="20" t="str">
        <f>IF(OR(NOT(EXACT(UPPER(S20),"TBM")),T20=""),IF(AND(T20&lt;&gt;"",U20="",V20&lt;&gt;""),"",IF(AND(T20="",U20&lt;&gt;"",V20&lt;&gt;""),ROUND(ROUND(V20,3)-ROUND(U20,3),3)*1000,IF(AND(T20&lt;&gt;"",U20&lt;&gt;"",V20&lt;&gt;""),ROUND(ROUND(V19,3)-ROUND(U20,3),3)*1000,""))),"")</f>
        <v/>
      </c>
      <c r="X20" s="46" t="str">
        <f>IF(AND(NOT(ISNA(VLOOKUP(S20,A6:E105,5,FALSE))),T20="",U20&lt;&gt;""),ROUND((VLOOKUP(S20,A6:E105,5,FALSE)-W20)/1000,3),IF(AND(NOT(ISNA(VLOOKUP(S20,G6:K105,5,FALSE))),T20="",U20&lt;&gt;""),ROUND((VLOOKUP(S20,G6:K105,5,FALSE)-W20)/1000,3),IF(AND(NOT(ISNA(VLOOKUP(S20,M6:Q105,5,FALSE))),T20="",U20&lt;&gt;""),ROUND((VLOOKUP(S20,M6:Q105,5,FALSE)-W20)/1000,3),IF(AND(NOT(ISNA(VLOOKUP(S20,S6:W19,5,FALSE))),T20="",U20&lt;&gt;""),ROUND((VLOOKUP(S20,S6:W19,5,FALSE)-W20)/1000,3),""))))</f>
        <v/>
      </c>
      <c r="Y20" s="67">
        <f>IF(Y19="","",Y19+1)</f>
        <v>414</v>
      </c>
      <c r="Z20" s="40"/>
      <c r="AA20" s="40"/>
      <c r="AB20" s="62" t="str">
        <f>IF(AND(Z20&lt;&gt;"",AA20&lt;&gt;""),ROUND(Z20,3)+ROUND(AB19,3)-ROUND(AA20,3),IF(AND(EXACT(UPPER(Y20),"TBM"),Z20&lt;&gt;""),ROUND(Z20,3),IF(Z20="",AB19,IF(ISNA(VLOOKUP(Y20,A6:E105,5,FALSE)),IF(ISNA(VLOOKUP(Y20,G6:K105,5,FALSE)),IF(ISNA(VLOOKUP(Y20,M6:Q105,5,FALSE)),IF(ISNA(VLOOKUP(Y20,S6:W105,5,FALSE)),IF(ISNA(VLOOKUP(Y20,Y6:AC19,5,FALSE)),"",ROUND(VLOOKUP(Y20,Y6:AC19,5,FALSE),0)/1000+ROUND(Z20,3)),ROUND(VLOOKUP(Y20,S6:W105,5,FALSE),0)/1000+ROUND(Z20,3)),ROUND(VLOOKUP(Y20,M6:Q105,5,FALSE),0)/1000+ROUND(Z20,3)),ROUND(VLOOKUP(Y20,G6:K105,5,FALSE),0)/1000+ROUND(Z20,3)),ROUND(VLOOKUP(Y20,A6:E105,5,FALSE),0)/1000+ROUND(Z20,3)))))</f>
        <v/>
      </c>
      <c r="AC20" s="20" t="str">
        <f>IF(OR(NOT(EXACT(UPPER(Y20),"TBM")),Z20=""),IF(AND(Z20&lt;&gt;"",AA20="",AB20&lt;&gt;""),"",IF(AND(Z20="",AA20&lt;&gt;"",AB20&lt;&gt;""),ROUND(ROUND(AB20,3)-ROUND(AA20,3),3)*1000,IF(AND(Z20&lt;&gt;"",AA20&lt;&gt;"",AB20&lt;&gt;""),ROUND(ROUND(AB19,3)-ROUND(AA20,3),3)*1000,""))),"")</f>
        <v/>
      </c>
      <c r="AD20" s="46" t="str">
        <f>IF(AND(NOT(ISNA(VLOOKUP(Y20,A6:E105,5,FALSE))),Z20="",AA20&lt;&gt;""),ROUND((VLOOKUP(Y20,A6:E105,5,FALSE)-AC20)/1000,3),IF(AND(NOT(ISNA(VLOOKUP(Y20,G6:K105,5,FALSE))),Z20="",AA20&lt;&gt;""),ROUND((VLOOKUP(Y20,G6:K105,5,FALSE)-AC20)/1000,3),IF(AND(NOT(ISNA(VLOOKUP(Y20,M6:Q105,5,FALSE))),Z20="",AA20&lt;&gt;""),ROUND((VLOOKUP(Y20,M6:Q105,5,FALSE)-AC20)/1000,3),IF(AND(NOT(ISNA(VLOOKUP(Y20,S6:W105,5,FALSE))),Z20="",AA20&lt;&gt;""),ROUND((VLOOKUP(Y20,S6:W105,5,FALSE)-AC20)/1000,3),IF(AND(NOT(ISNA(VLOOKUP(Y20,Y6:AC19,5,FALSE))),Z20="",AA20&lt;&gt;""),ROUND((VLOOKUP(Y20,Y6:AC19,5,FALSE)-AC20)/1000,3),"")))))</f>
        <v/>
      </c>
      <c r="AE20" s="67">
        <f>IF(AE19="","",AE19+1)</f>
        <v>514</v>
      </c>
      <c r="AF20" s="40"/>
      <c r="AG20" s="40"/>
      <c r="AH20" s="62" t="str">
        <f>IF(AND(AF20&lt;&gt;"",AG20&lt;&gt;""),ROUND(AF20,3)+ROUND(AH19,3)-ROUND(AG20,3),IF(AND(EXACT(UPPER(AE20),"TBM"),AF20&lt;&gt;""),ROUND(AF20,3),IF(AF20="",AH19,IF(ISNA(VLOOKUP(AE20,A6:E105,5,FALSE)),IF(ISNA(VLOOKUP(AE20,G6:K105,5,FALSE)),IF(ISNA(VLOOKUP(AE20,M6:Q105,5,FALSE)),IF(ISNA(VLOOKUP(AE20,S6:W105,5,FALSE)),IF(ISNA(VLOOKUP(AE20,Y6:AC105,5,FALSE)),IF(ISNA(VLOOKUP(AE20,AE6:AI19,5,FALSE)),"",ROUND(VLOOKUP(AE20,AE6:AI19,5,FALSE),0)/1000+ROUND(AF20,3)),ROUND(VLOOKUP(AE20,Y6:AC105,5,FALSE),0)/1000+ROUND(AF20,3)),ROUND(VLOOKUP(AE20,S6:W105,5,FALSE),0)/1000+ROUND(AF20,3)),ROUND(VLOOKUP(AE20,M6:Q105,5,FALSE),0)/1000+ROUND(AF20,3)),ROUND(VLOOKUP(AE20,G6:K105,5,FALSE),0)/1000+ROUND(AF20,3)),ROUND(VLOOKUP(AE20,A6:E105,5,FALSE),0)/1000+ROUND(AF20,3)))))</f>
        <v/>
      </c>
      <c r="AI20" s="20" t="str">
        <f>IF(OR(NOT(EXACT(UPPER(AE20),"TBM")),AF20=""),IF(AND(AF20&lt;&gt;"",AG20="",AH20&lt;&gt;""),"",IF(AND(AF20="",AG20&lt;&gt;"",AH20&lt;&gt;""),ROUND(ROUND(AH20,3)-ROUND(AG20,3),3)*1000,IF(AND(AF20&lt;&gt;"",AG20&lt;&gt;"",AH20&lt;&gt;""),ROUND(ROUND(AH19,3)-ROUND(AG20,3),3)*1000,""))),"")</f>
        <v/>
      </c>
      <c r="AJ20" s="46" t="str">
        <f>IF(AND(NOT(ISNA(VLOOKUP(AE20,A6:E105,5,FALSE))),AF20="",AG20&lt;&gt;""),ROUND((VLOOKUP(AE20,A6:E105,5,FALSE)-AI20)/1000,3),IF(AND(NOT(ISNA(VLOOKUP(AE20,G6:K105,5,FALSE))),AF20="",AG20&lt;&gt;""),ROUND((VLOOKUP(AE20,G6:K105,5,FALSE)-AI20)/1000,3),IF(AND(NOT(ISNA(VLOOKUP(AE20,M6:Q105,5,FALSE))),AF20="",AG20&lt;&gt;""),ROUND((VLOOKUP(AE20,M6:Q105,5,FALSE)-AI20)/1000,3),IF(AND(NOT(ISNA(VLOOKUP(AE20,S6:W105,5,FALSE))),AF20="",AG20&lt;&gt;""),ROUND((VLOOKUP(AE20,S6:W105,5,FALSE)-AI20)/1000,3),IF(AND(NOT(ISNA(VLOOKUP(AE20,Y6:AC105,5,FALSE))),AF20="",AG20&lt;&gt;""),ROUND((VLOOKUP(AE20,Y6:AC105,5,FALSE)-AI20)/1000,3),IF(AND(NOT(ISNA(VLOOKUP(AE20,AE6:AI19,5,FALSE))),AF20="",AG20&lt;&gt;""),ROUND((VLOOKUP(AE20,AE6:AI19,5,FALSE)-AI20)/1000,3),""))))))</f>
        <v/>
      </c>
      <c r="AK20" s="67">
        <f>IF(AK19="","",AK19+1)</f>
        <v>614</v>
      </c>
      <c r="AL20" s="40"/>
      <c r="AM20" s="40"/>
      <c r="AN20" s="62" t="str">
        <f>IF(AND(AL20&lt;&gt;"",AM20&lt;&gt;""),ROUND(AL20,3)+ROUND(AN19,3)-ROUND(AM20,3),IF(AND(EXACT(UPPER(AK20),"TBM"),AL20&lt;&gt;""),ROUND(AL20,3),IF(AL20="",AN19,IF(ISNA(VLOOKUP(AK20,A6:E105,5,FALSE)),IF(ISNA(VLOOKUP(AK20,G6:K105,5,FALSE)),IF(ISNA(VLOOKUP(AK20,M6:Q105,5,FALSE)),IF(ISNA(VLOOKUP(AK20,S6:W105,5,FALSE)),IF(ISNA(VLOOKUP(AK20,Y6:AC105,5,FALSE)),IF(ISNA(VLOOKUP(AK20,AE6:AI105,5,FALSE)),IF(ISNA(VLOOKUP(AK20,AK6:AO19,5,FALSE)),"",ROUND(VLOOKUP(AK20,AK6:AO19,5,FALSE),0)/1000+ROUND(AL20,3)),ROUND(VLOOKUP(AK20,AE6:AI105,5,FALSE),0)/1000+ROUND(AL20,3)),ROUND(VLOOKUP(AK20,Y6:AC105,5,FALSE),0)/1000+ROUND(AL20,3)),ROUND(VLOOKUP(AK20,S6:W105,5,FALSE),0)/1000+ROUND(AL20,3)),ROUND(VLOOKUP(AK20,M6:Q105,5,FALSE),0)/1000+ROUND(AL20,3)),ROUND(VLOOKUP(AK20,G6:K105,5,FALSE),0)/1000+ROUND(AL20,3)),ROUND(VLOOKUP(AK20,A6:E105,5,FALSE),0)/1000+ROUND(AL20,3)))))</f>
        <v/>
      </c>
      <c r="AO20" s="20" t="str">
        <f>IF(OR(NOT(EXACT(UPPER(AK20),"TBM")),AL20=""),IF(AND(AL20&lt;&gt;"",AM20="",AN20&lt;&gt;""),"",IF(AND(AL20="",AM20&lt;&gt;"",AN20&lt;&gt;""),ROUND(ROUND(AN20,3)-ROUND(AM20,3),3)*1000,IF(AND(AL20&lt;&gt;"",AM20&lt;&gt;"",AN20&lt;&gt;""),ROUND(ROUND(AN19,3)-ROUND(AM20,3),3)*1000,""))),"")</f>
        <v/>
      </c>
      <c r="AP20" s="46" t="str">
        <f>IF(AND(NOT(ISNA(VLOOKUP(AK20,A6:E105,5,FALSE))),AL20="",AM20&lt;&gt;""),ROUND((VLOOKUP(AK20,A6:E105,5,FALSE)-AO20)/1000,3),IF(AND(NOT(ISNA(VLOOKUP(AK20,G6:K105,5,FALSE))),AL20="",AM20&lt;&gt;""),ROUND((VLOOKUP(AK20,G6:K105,5,FALSE)-AO20)/1000,3),IF(AND(NOT(ISNA(VLOOKUP(AK20,M6:Q105,5,FALSE))),AL20="",AM20&lt;&gt;""),ROUND((VLOOKUP(AK20,M6:Q105,5,FALSE)-AO20)/1000,3),IF(AND(NOT(ISNA(VLOOKUP(AK20,S6:W105,5,FALSE))),AL20="",AM20&lt;&gt;""),ROUND((VLOOKUP(AK20,S6:W105,5,FALSE)-AO20)/1000,3),IF(AND(NOT(ISNA(VLOOKUP(AK20,Y6:AC105,5,FALSE))),AL20="",AM20&lt;&gt;""),ROUND((VLOOKUP(AK20,Y6:AC105,5,FALSE)-AO20)/1000,3),IF(AND(NOT(ISNA(VLOOKUP(AK20,AE6:AI105,5,FALSE))),AL20="",AM20&lt;&gt;""),ROUND((VLOOKUP(AK20,AE6:AI105,5,FALSE)-AO20)/1000,3),IF(AND(NOT(ISNA(VLOOKUP(AK20,AK6:AO19,5,FALSE))),AL20="",AM20&lt;&gt;""),ROUND((VLOOKUP(AK20,AK6:AO19,5,FALSE)-AO20)/1000,3),"")))))))</f>
        <v/>
      </c>
      <c r="AQ20" s="67">
        <f>IF(AQ19="","",AQ19+1)</f>
        <v>714</v>
      </c>
      <c r="AR20" s="40"/>
      <c r="AS20" s="40"/>
      <c r="AT20" s="62" t="str">
        <f>IF(AND(AR20&lt;&gt;"",AS20&lt;&gt;""),ROUND(AR20,3)+ROUND(AT19,3)-ROUND(AS20,3),IF(AND(EXACT(UPPER(AQ20),"TBM"),AR20&lt;&gt;""),ROUND(AR20,3),IF(AR20="",AT19,IF(ISNA(VLOOKUP(AQ20,A6:E105,5,FALSE)),IF(ISNA(VLOOKUP(AQ20,G6:K105,5,FALSE)),IF(ISNA(VLOOKUP(AQ20,M6:Q105,5,FALSE)),IF(ISNA(VLOOKUP(AQ20,S6:W105,5,FALSE)),IF(ISNA(VLOOKUP(AQ20,Y6:AC105,5,FALSE)),IF(ISNA(VLOOKUP(AQ20,AE6:AI105,5,FALSE)),IF(ISNA(VLOOKUP(AQ20,AK6:AO105,5,FALSE)),IF(ISNA(VLOOKUP(AQ20,AQ6:AU19,5,FALSE)),"",ROUND(VLOOKUP(AQ20,AQ6:AU19,5,FALSE),0)/1000+ROUND(AR20,3)),ROUND(VLOOKUP(AQ20,AK6:AO105,5,FALSE),0)/1000+ROUND(AR20,3)),ROUND(VLOOKUP(AQ20,AE6:AI105,5,FALSE),0)/1000+ROUND(AR20,3)),ROUND(VLOOKUP(AQ20,Y6:AC105,5,FALSE),0)/1000+ROUND(AR20,3)),ROUND(VLOOKUP(AQ20,S6:W105,5,FALSE),0)/1000+ROUND(AR20,3)),ROUND(VLOOKUP(AQ20,M6:Q105,5,FALSE),0)/1000+ROUND(AR20,3)),ROUND(VLOOKUP(AQ20,G6:K105,5,FALSE),0)/1000+ROUND(AR20,3)),ROUND(VLOOKUP(AQ20,A6:E105,5,FALSE),0)/1000+ROUND(AR20,3)))))</f>
        <v/>
      </c>
      <c r="AU20" s="20" t="str">
        <f>IF(OR(NOT(EXACT(UPPER(AQ20),"TBM")),AR20=""),IF(AND(AR20&lt;&gt;"",AS20="",AT20&lt;&gt;""),"",IF(AND(AR20="",AS20&lt;&gt;"",AT20&lt;&gt;""),ROUND(ROUND(AT20,3)-ROUND(AS20,3),3)*1000,IF(AND(AR20&lt;&gt;"",AS20&lt;&gt;"",AT20&lt;&gt;""),ROUND(ROUND(AT19,3)-ROUND(AS20,3),3)*1000,""))),"")</f>
        <v/>
      </c>
      <c r="AV20" s="46" t="str">
        <f>IF(AND(NOT(ISNA(VLOOKUP(AQ20,A6:E105,5,FALSE))),AR20="",AS20&lt;&gt;""),ROUND((VLOOKUP(AQ20,A6:E105,5,FALSE)-AU20)/1000,3),IF(AND(NOT(ISNA(VLOOKUP(AQ20,G6:K105,5,FALSE))),AR20="",AS20&lt;&gt;""),ROUND((VLOOKUP(AQ20,G6:K105,5,FALSE)-AU20)/1000,3),IF(AND(NOT(ISNA(VLOOKUP(AQ20,M6:Q105,5,FALSE))),AR20="",AS20&lt;&gt;""),ROUND((VLOOKUP(AQ20,M6:Q105,5,FALSE)-AU20)/1000,3),IF(AND(NOT(ISNA(VLOOKUP(AQ20,S6:W105,5,FALSE))),AR20="",AS20&lt;&gt;""),ROUND((VLOOKUP(AQ20,S6:W105,5,FALSE)-AU20)/1000,3),IF(AND(NOT(ISNA(VLOOKUP(AQ20,Y6:AC105,5,FALSE))),AR20="",AS20&lt;&gt;""),ROUND((VLOOKUP(AQ20,Y6:AC105,5,FALSE)-AU20)/1000,3),IF(AND(NOT(ISNA(VLOOKUP(AQ20,AE6:AI105,5,FALSE))),AR20="",AS20&lt;&gt;""),ROUND((VLOOKUP(AQ20,AE6:AI105,5,FALSE)-AU20)/1000,3),IF(AND(NOT(ISNA(VLOOKUP(AQ20,AK6:AO105,5,FALSE))),AR20="",AS20&lt;&gt;""),ROUND((VLOOKUP(AQ20,AK6:AO105,5,FALSE)-AU20)/1000,3),IF(AND(NOT(ISNA(VLOOKUP(AQ20,AQ6:AU19,5,FALSE))),AR20="",AS20&lt;&gt;""),ROUND((VLOOKUP(AQ20,AQ6:AU19,5,FALSE)-AU20)/1000,3),""))))))))</f>
        <v/>
      </c>
      <c r="AW20" s="67">
        <f>IF(AW19="","",AW19+1)</f>
        <v>814</v>
      </c>
      <c r="AX20" s="40"/>
      <c r="AY20" s="40"/>
      <c r="AZ20" s="62" t="str">
        <f>IF(AND(AX20&lt;&gt;"",AY20&lt;&gt;""),ROUND(AX20,3)+ROUND(AZ19,3)-ROUND(AY20,3),IF(AND(EXACT(UPPER(AW20),"TBM"),AX20&lt;&gt;""),ROUND(AX20,3),IF(AX20="",AZ19,IF(ISNA(VLOOKUP(AW20,A6:E105,5,FALSE)),IF(ISNA(VLOOKUP(AW20,G6:K105,5,FALSE)),IF(ISNA(VLOOKUP(AW20,M6:Q105,5,FALSE)),IF(ISNA(VLOOKUP(AW20,S6:W105,5,FALSE)),IF(ISNA(VLOOKUP(AW20,Y6:AC105,5,FALSE)),IF(ISNA(VLOOKUP(AW20,AE6:AI105,5,FALSE)),IF(ISNA(VLOOKUP(AW20,AK6:AO105,5,FALSE)),IF(ISNA(VLOOKUP(AW20,AQ6:AU105,5,FALSE)),IF(ISNA(VLOOKUP(AW20,AW6:BA19,5,FALSE)),"",ROUND(VLOOKUP(AW20,AW6:BA19,5,FALSE),0)/1000+ROUND(AX20,3)),ROUND(VLOOKUP(AW20,AQ6:AU105,5,FALSE),0)/1000+ROUND(AX20,3)),ROUND(VLOOKUP(AW20,AK6:AO105,5,FALSE),0)/1000+ROUND(AX20,3)),ROUND(VLOOKUP(AW20,AE6:AI105,5,FALSE),0)/1000+ROUND(AX20,3)),ROUND(VLOOKUP(AW20,Y6:AC105,5,FALSE),0)/1000+ROUND(AX20,3)),ROUND(VLOOKUP(AW20,S6:W105,5,FALSE),0)/1000+ROUND(AX20,3)),ROUND(VLOOKUP(AW20,M6:Q105,5,FALSE),0)/1000+ROUND(AX20,3)),ROUND(VLOOKUP(AW20,G6:K105,5,FALSE),0)/1000+ROUND(AX20,3)),ROUND(VLOOKUP(AW20,A6:E105,5,FALSE),0)/1000+ROUND(AX20,3)))))</f>
        <v/>
      </c>
      <c r="BA20" s="20" t="str">
        <f>IF(OR(NOT(EXACT(UPPER(AW20),"TBM")),AX20=""),IF(AND(AX20&lt;&gt;"",AY20="",AZ20&lt;&gt;""),"",IF(AND(AX20="",AY20&lt;&gt;"",AZ20&lt;&gt;""),ROUND(ROUND(AZ20,3)-ROUND(AY20,3),3)*1000,IF(AND(AX20&lt;&gt;"",AY20&lt;&gt;"",AZ20&lt;&gt;""),ROUND(ROUND(AZ19,3)-ROUND(AY20,3),3)*1000,""))),"")</f>
        <v/>
      </c>
      <c r="BB20" s="46" t="str">
        <f>IF(AND(NOT(ISNA(VLOOKUP(AW20,A6:E105,5,FALSE))),AX20="",AY20&lt;&gt;""),ROUND((VLOOKUP(AW20,A6:E105,5,FALSE)-BA20)/1000,3),IF(AND(NOT(ISNA(VLOOKUP(AW20,G6:K105,5,FALSE))),AX20="",AY20&lt;&gt;""),ROUND((VLOOKUP(AW20,G6:K105,5,FALSE)-BA20)/1000,3),IF(AND(NOT(ISNA(VLOOKUP(AW20,M6:Q105,5,FALSE))),AX20="",AY20&lt;&gt;""),ROUND((VLOOKUP(AW20,M6:Q105,5,FALSE)-BA20)/1000,3),IF(AND(NOT(ISNA(VLOOKUP(AW20,S6:W105,5,FALSE))),AX20="",AY20&lt;&gt;""),ROUND((VLOOKUP(AW20,S6:W105,5,FALSE)-BA20)/1000,3),IF(AND(NOT(ISNA(VLOOKUP(AW20,Y6:AC105,5,FALSE))),AX20="",AY20&lt;&gt;""),ROUND((VLOOKUP(AW20,Y6:AC105,5,FALSE)-BA20)/1000,3),IF(AND(NOT(ISNA(VLOOKUP(AW20,AE6:AI105,5,FALSE))),AX20="",AY20&lt;&gt;""),ROUND((VLOOKUP(AW20,AE6:AI105,5,FALSE)-BA20)/1000,3),IF(AND(NOT(ISNA(VLOOKUP(AW20,AK6:AO105,5,FALSE))),AX20="",AY20&lt;&gt;""),ROUND((VLOOKUP(AW20,AK6:AO105,5,FALSE)-BA20)/1000,3),IF(AND(NOT(ISNA(VLOOKUP(AW20,AQ6:AU105,5,FALSE))),AX20="",AY20&lt;&gt;""),ROUND((VLOOKUP(AW20,AQ6:AU105,5,FALSE)-BA20)/1000,3),IF(AND(NOT(ISNA(VLOOKUP(AW20,AW6:BA19,5,FALSE))),AX20="",AY20&lt;&gt;""),ROUND((VLOOKUP(AW20,AW6:BA19,5,FALSE)-BA20)/1000,3),"")))))))))</f>
        <v/>
      </c>
      <c r="BC20" s="67">
        <f>IF(BC19="","",BC19+1)</f>
        <v>914</v>
      </c>
      <c r="BD20" s="40"/>
      <c r="BE20" s="40"/>
      <c r="BF20" s="62" t="str">
        <f>IF(AND(BD20&lt;&gt;"",BE20&lt;&gt;""),ROUND(BD20,3)+ROUND(BF19,3)-ROUND(BE20,3),IF(AND(EXACT(UPPER(BC20),"TBM"),BD20&lt;&gt;""),ROUND(BD20,3),IF(BD20="",BF19,IF(ISNA(VLOOKUP(BC20,A6:E105,5,FALSE)),IF(ISNA(VLOOKUP(BC20,G6:K105,5,FALSE)),IF(ISNA(VLOOKUP(BC20,M6:Q105,5,FALSE)),IF(ISNA(VLOOKUP(BC20,S6:W105,5,FALSE)),IF(ISNA(VLOOKUP(BC20,Y6:AC105,5,FALSE)),IF(ISNA(VLOOKUP(BC20,AE6:AI105,5,FALSE)),IF(ISNA(VLOOKUP(BC20,AK6:AO105,5,FALSE)),IF(ISNA(VLOOKUP(BC20,AQ6:AU105,5,FALSE)),IF(ISNA(VLOOKUP(BC20,AW6:BA105,5,FALSE)),IF(ISNA(VLOOKUP(BC20,BC6:BG19,5,FALSE)),"",ROUND(VLOOKUP(BC20,BC6:BG19,5,FALSE),0)/1000+ROUND(BD20,3)),ROUND(VLOOKUP(BC20,AW6:BA105,5,FALSE),0)/1000+ROUND(BD20,3)),ROUND(VLOOKUP(BC20,AQ6:AU105,5,FALSE),0)/1000+ROUND(BD20,3)),ROUND(VLOOKUP(BC20,AK6:AO105,5,FALSE),0)/1000+ROUND(BD20,3)),ROUND(VLOOKUP(BC20,AE6:AI105,5,FALSE),0)/1000+ROUND(BD20,3)),ROUND(VLOOKUP(BC20,Y6:AC105,5,FALSE),0)/1000+ROUND(BD20,3)),ROUND(VLOOKUP(BC20,S6:W105,5,FALSE),0)/1000+ROUND(BD20,3)),ROUND(VLOOKUP(BC20,M6:Q105,5,FALSE),0)/1000+ROUND(BD20,3)),ROUND(VLOOKUP(BC20,G6:K105,5,FALSE),0)/1000+ROUND(BD20,3)),ROUND(VLOOKUP(BC20,A6:E105,5,FALSE),0)/1000+ROUND(BD20,3)))))</f>
        <v/>
      </c>
      <c r="BG20" s="20" t="str">
        <f>IF(OR(NOT(EXACT(UPPER(BC20),"TBM")),BD20=""),IF(AND(BD20&lt;&gt;"",BE20="",BF20&lt;&gt;""),"",IF(AND(BD20="",BE20&lt;&gt;"",BF20&lt;&gt;""),ROUND(ROUND(BF20,3)-ROUND(BE20,3),3)*1000,IF(AND(BD20&lt;&gt;"",BE20&lt;&gt;"",BF20&lt;&gt;""),ROUND(ROUND(BF19,3)-ROUND(BE20,3),3)*1000,""))),"")</f>
        <v/>
      </c>
      <c r="BH20" s="46" t="str">
        <f>IF(AND(NOT(ISNA(VLOOKUP(BC20,A6:E105,5,FALSE))),BD20="",BE20&lt;&gt;""),ROUND((VLOOKUP(BC20,A6:E105,5,FALSE)-BG20)/1000,3),IF(AND(NOT(ISNA(VLOOKUP(BC20,G6:K105,5,FALSE))),BD20="",BE20&lt;&gt;""),ROUND((VLOOKUP(BC20,G6:K105,5,FALSE)-BG20)/1000,3),IF(AND(NOT(ISNA(VLOOKUP(BC20,M6:Q105,5,FALSE))),BD20="",BE20&lt;&gt;""),ROUND((VLOOKUP(BC20,M6:Q105,5,FALSE)-BG20)/1000,3),IF(AND(NOT(ISNA(VLOOKUP(BC20,S6:W105,5,FALSE))),BD20="",BE20&lt;&gt;""),ROUND((VLOOKUP(BC20,S6:W105,5,FALSE)-BG20)/1000,3),IF(AND(NOT(ISNA(VLOOKUP(BC20,Y6:AC105,5,FALSE))),BD20="",BE20&lt;&gt;""),ROUND((VLOOKUP(BC20,Y6:AC105,5,FALSE)-BG20)/1000,3),IF(AND(NOT(ISNA(VLOOKUP(BC20,AE6:AI105,5,FALSE))),BD20="",BE20&lt;&gt;""),ROUND((VLOOKUP(BC20,AE6:AI105,5,FALSE)-BG20)/1000,3),IF(AND(NOT(ISNA(VLOOKUP(BC20,AK6:AO105,5,FALSE))),BD20="",BE20&lt;&gt;""),ROUND((VLOOKUP(BC20,AK6:AO105,5,FALSE)-BG20)/1000,3),IF(AND(NOT(ISNA(VLOOKUP(BC20,AQ6:AU105,5,FALSE))),BD20="",BE20&lt;&gt;""),ROUND((VLOOKUP(BC20,AQ6:AU105,5,FALSE)-BG20)/1000,3),IF(AND(NOT(ISNA(VLOOKUP(BC20,AW6:BA105,5,FALSE))),BD20="",BE20&lt;&gt;""),ROUND((VLOOKUP(BC20,AW6:BA105,5,FALSE)-BG20)/1000,3),IF(AND(NOT(ISNA(VLOOKUP(BC20,BC6:BG19,5,FALSE))),BD20="",BE20&lt;&gt;""),ROUND((VLOOKUP(BC20,BC6:BG19,5,FALSE)-BG20)/1000,3),""))))))))))</f>
        <v/>
      </c>
    </row>
    <row r="21" spans="1:60" x14ac:dyDescent="0.25">
      <c r="A21" s="74">
        <f t="shared" si="3"/>
        <v>15</v>
      </c>
      <c r="B21" s="77"/>
      <c r="C21" s="86"/>
      <c r="D21" s="78" t="str">
        <f>IF(AND(B21&lt;&gt;"",C21&lt;&gt;""),ROUND(B21,3)+ROUND(D20,3)-ROUND(C21,3),IF(AND(EXACT(UPPER(A21),"TBM"),B21&lt;&gt;""),ROUND(B21,3),IF(B21="",D20,IF(ISNA(VLOOKUP(A21,A6:E20,5,FALSE)),"",ROUND(VLOOKUP(A21,A6:E20,5,FALSE),0)/1000+ROUND(B21,3)))))</f>
        <v/>
      </c>
      <c r="E21" s="79" t="str">
        <f t="shared" si="0"/>
        <v/>
      </c>
      <c r="F21" s="89" t="str">
        <f>IF(AND(NOT(ISNA(VLOOKUP(A21,A6:E20,5,FALSE))),B21="",C21&lt;&gt;""),ROUND((VLOOKUP(A21,A6:E20,5,FALSE)-E21)/1000,3),"")</f>
        <v/>
      </c>
      <c r="G21" s="74">
        <f t="shared" si="1"/>
        <v>115</v>
      </c>
      <c r="H21" s="90"/>
      <c r="I21" s="77"/>
      <c r="J21" s="78" t="str">
        <f>IF(AND(H21&lt;&gt;"",I21&lt;&gt;""),ROUND(H21,3)+ROUND(J20,3)-ROUND(I21,3),IF(AND(EXACT(UPPER(G21),"TBM"),H21&lt;&gt;""),ROUND(H21,3),IF(H21="",J20,IF(ISNA(VLOOKUP(G21,A6:E105,5,FALSE)),IF(ISNA(VLOOKUP(G21,G6:K20,5,FALSE)),"",ROUND(VLOOKUP(G21,G6:K20,5,FALSE),0)/1000+ROUND(H21,3)),ROUND(VLOOKUP(G21,A6:E105,5,FALSE),0)/1000+ROUND(H21,3)))))</f>
        <v/>
      </c>
      <c r="K21" s="87" t="str">
        <f t="shared" si="2"/>
        <v/>
      </c>
      <c r="L21" s="80" t="str">
        <f>IF(AND(NOT(ISNA(VLOOKUP(G21,A6:E105,5,FALSE))),H21="",I21&lt;&gt;""),ROUND((VLOOKUP(G21,A6:E105,5,FALSE)-K21)/1000,3),IF(AND(NOT(ISNA(VLOOKUP(G21,G6:K20,5,FALSE))),H21="",I21&lt;&gt;""),ROUND((VLOOKUP(G21,G6:K20,5,FALSE)-K21)/1000,3),""))</f>
        <v/>
      </c>
      <c r="M21" s="74">
        <f>IF(M20="","",M20+1)</f>
        <v>215</v>
      </c>
      <c r="N21" s="90"/>
      <c r="O21" s="77"/>
      <c r="P21" s="78" t="str">
        <f>IF(AND(N21&lt;&gt;"",O21&lt;&gt;""),ROUND(N21,3)+ROUND(P20,3)-ROUND(O21,3),IF(AND(EXACT(UPPER(M21),"TBM"),N21&lt;&gt;""),ROUND(N21,3),IF(N21="",P20,IF(ISNA(VLOOKUP(M21,A6:E105,5,FALSE)),IF(ISNA(VLOOKUP(M21,G6:K105,5,FALSE)),IF(ISNA(VLOOKUP(M21,M6:Q20,5,FALSE)),"",ROUND(VLOOKUP(M21,M6:Q20,5,FALSE),0)/1000+ROUND(N21,3)),ROUND(VLOOKUP(M21,G6:K105,5,FALSE),0)/1000+ROUND(N21,3)),ROUND(VLOOKUP(M21,A6:E105,5,FALSE),0)/1000+ROUND(N21,3)))))</f>
        <v/>
      </c>
      <c r="Q21" s="87" t="str">
        <f>IF(OR(NOT(EXACT(UPPER(M21),"TBM")),N21=""),IF(AND(N21&lt;&gt;"",O21="",P21&lt;&gt;""),"",IF(AND(N21="",O21&lt;&gt;"",P21&lt;&gt;""),ROUND(ROUND(P21,3)-ROUND(O21,3),3)*1000,IF(AND(N21&lt;&gt;"",O21&lt;&gt;"",P21&lt;&gt;""),ROUND(ROUND(P20,3)-ROUND(O21,3),3)*1000,""))),"")</f>
        <v/>
      </c>
      <c r="R21" s="80" t="str">
        <f>IF(AND(NOT(ISNA(VLOOKUP(M21,A6:E105,5,FALSE))),N21="",O21&lt;&gt;""),ROUND((VLOOKUP(M21,A6:E105,5,FALSE)-Q21)/1000,3),IF(AND(NOT(ISNA(VLOOKUP(M21,G6:K105,5,FALSE))),N21="",O21&lt;&gt;""),ROUND((VLOOKUP(M21,G6:K105,5,FALSE)-Q21)/1000,3),IF(AND(NOT(ISNA(VLOOKUP(M21,M6:Q20,5,FALSE))),N21="",O21&lt;&gt;""),ROUND((VLOOKUP(M21,M6:Q20,5,FALSE)-Q21)/1000,3),"")))</f>
        <v/>
      </c>
      <c r="S21" s="74">
        <f>IF(S20="","",S20+1)</f>
        <v>315</v>
      </c>
      <c r="T21" s="90"/>
      <c r="U21" s="77"/>
      <c r="V21" s="78" t="str">
        <f>IF(AND(T21&lt;&gt;"",U21&lt;&gt;""),ROUND(T21,3)+ROUND(V20,3)-ROUND(U21,3),IF(AND(EXACT(UPPER(S21),"TBM"),T21&lt;&gt;""),ROUND(T21,3),IF(T21="",V20,IF(ISNA(VLOOKUP(S21,A6:E105,5,FALSE)),IF(ISNA(VLOOKUP(S21,G6:K105,5,FALSE)),IF(ISNA(VLOOKUP(S21,M6:Q105,5,FALSE)),IF(ISNA(VLOOKUP(S21,S6:W20,5,FALSE)),"",ROUND(VLOOKUP(S21,S6:W20,5,FALSE),0)/1000+ROUND(T21,3)),ROUND(VLOOKUP(S21,M6:Q105,5,FALSE),0)/1000+ROUND(T21,3)),ROUND(VLOOKUP(S21,G6:K105,5,FALSE),0)/1000+ROUND(T21,3)),ROUND(VLOOKUP(S21,A6:E105,5,FALSE),0)/1000+ROUND(T21,3)))))</f>
        <v/>
      </c>
      <c r="W21" s="87" t="str">
        <f>IF(OR(NOT(EXACT(UPPER(S21),"TBM")),T21=""),IF(AND(T21&lt;&gt;"",U21="",V21&lt;&gt;""),"",IF(AND(T21="",U21&lt;&gt;"",V21&lt;&gt;""),ROUND(ROUND(V21,3)-ROUND(U21,3),3)*1000,IF(AND(T21&lt;&gt;"",U21&lt;&gt;"",V21&lt;&gt;""),ROUND(ROUND(V20,3)-ROUND(U21,3),3)*1000,""))),"")</f>
        <v/>
      </c>
      <c r="X21" s="80" t="str">
        <f>IF(AND(NOT(ISNA(VLOOKUP(S21,A6:E105,5,FALSE))),T21="",U21&lt;&gt;""),ROUND((VLOOKUP(S21,A6:E105,5,FALSE)-W21)/1000,3),IF(AND(NOT(ISNA(VLOOKUP(S21,G6:K105,5,FALSE))),T21="",U21&lt;&gt;""),ROUND((VLOOKUP(S21,G6:K105,5,FALSE)-W21)/1000,3),IF(AND(NOT(ISNA(VLOOKUP(S21,M6:Q105,5,FALSE))),T21="",U21&lt;&gt;""),ROUND((VLOOKUP(S21,M6:Q105,5,FALSE)-W21)/1000,3),IF(AND(NOT(ISNA(VLOOKUP(S21,S6:W20,5,FALSE))),T21="",U21&lt;&gt;""),ROUND((VLOOKUP(S21,S6:W20,5,FALSE)-W21)/1000,3),""))))</f>
        <v/>
      </c>
      <c r="Y21" s="74">
        <f>IF(Y20="","",Y20+1)</f>
        <v>415</v>
      </c>
      <c r="Z21" s="90"/>
      <c r="AA21" s="77"/>
      <c r="AB21" s="78" t="str">
        <f>IF(AND(Z21&lt;&gt;"",AA21&lt;&gt;""),ROUND(Z21,3)+ROUND(AB20,3)-ROUND(AA21,3),IF(AND(EXACT(UPPER(Y21),"TBM"),Z21&lt;&gt;""),ROUND(Z21,3),IF(Z21="",AB20,IF(ISNA(VLOOKUP(Y21,A6:E105,5,FALSE)),IF(ISNA(VLOOKUP(Y21,G6:K105,5,FALSE)),IF(ISNA(VLOOKUP(Y21,M6:Q105,5,FALSE)),IF(ISNA(VLOOKUP(Y21,S6:W105,5,FALSE)),IF(ISNA(VLOOKUP(Y21,Y6:AC20,5,FALSE)),"",ROUND(VLOOKUP(Y21,Y6:AC20,5,FALSE),0)/1000+ROUND(Z21,3)),ROUND(VLOOKUP(Y21,S6:W105,5,FALSE),0)/1000+ROUND(Z21,3)),ROUND(VLOOKUP(Y21,M6:Q105,5,FALSE),0)/1000+ROUND(Z21,3)),ROUND(VLOOKUP(Y21,G6:K105,5,FALSE),0)/1000+ROUND(Z21,3)),ROUND(VLOOKUP(Y21,A6:E105,5,FALSE),0)/1000+ROUND(Z21,3)))))</f>
        <v/>
      </c>
      <c r="AC21" s="87" t="str">
        <f>IF(OR(NOT(EXACT(UPPER(Y21),"TBM")),Z21=""),IF(AND(Z21&lt;&gt;"",AA21="",AB21&lt;&gt;""),"",IF(AND(Z21="",AA21&lt;&gt;"",AB21&lt;&gt;""),ROUND(ROUND(AB21,3)-ROUND(AA21,3),3)*1000,IF(AND(Z21&lt;&gt;"",AA21&lt;&gt;"",AB21&lt;&gt;""),ROUND(ROUND(AB20,3)-ROUND(AA21,3),3)*1000,""))),"")</f>
        <v/>
      </c>
      <c r="AD21" s="80" t="str">
        <f>IF(AND(NOT(ISNA(VLOOKUP(Y21,A6:E105,5,FALSE))),Z21="",AA21&lt;&gt;""),ROUND((VLOOKUP(Y21,A6:E105,5,FALSE)-AC21)/1000,3),IF(AND(NOT(ISNA(VLOOKUP(Y21,G6:K105,5,FALSE))),Z21="",AA21&lt;&gt;""),ROUND((VLOOKUP(Y21,G6:K105,5,FALSE)-AC21)/1000,3),IF(AND(NOT(ISNA(VLOOKUP(Y21,M6:Q105,5,FALSE))),Z21="",AA21&lt;&gt;""),ROUND((VLOOKUP(Y21,M6:Q105,5,FALSE)-AC21)/1000,3),IF(AND(NOT(ISNA(VLOOKUP(Y21,S6:W105,5,FALSE))),Z21="",AA21&lt;&gt;""),ROUND((VLOOKUP(Y21,S6:W105,5,FALSE)-AC21)/1000,3),IF(AND(NOT(ISNA(VLOOKUP(Y21,Y6:AC20,5,FALSE))),Z21="",AA21&lt;&gt;""),ROUND((VLOOKUP(Y21,Y6:AC20,5,FALSE)-AC21)/1000,3),"")))))</f>
        <v/>
      </c>
      <c r="AE21" s="74">
        <f>IF(AE20="","",AE20+1)</f>
        <v>515</v>
      </c>
      <c r="AF21" s="90"/>
      <c r="AG21" s="77"/>
      <c r="AH21" s="78" t="str">
        <f>IF(AND(AF21&lt;&gt;"",AG21&lt;&gt;""),ROUND(AF21,3)+ROUND(AH20,3)-ROUND(AG21,3),IF(AND(EXACT(UPPER(AE21),"TBM"),AF21&lt;&gt;""),ROUND(AF21,3),IF(AF21="",AH20,IF(ISNA(VLOOKUP(AE21,A6:E105,5,FALSE)),IF(ISNA(VLOOKUP(AE21,G6:K105,5,FALSE)),IF(ISNA(VLOOKUP(AE21,M6:Q105,5,FALSE)),IF(ISNA(VLOOKUP(AE21,S6:W105,5,FALSE)),IF(ISNA(VLOOKUP(AE21,Y6:AC105,5,FALSE)),IF(ISNA(VLOOKUP(AE21,AE6:AI20,5,FALSE)),"",ROUND(VLOOKUP(AE21,AE6:AI20,5,FALSE),0)/1000+ROUND(AF21,3)),ROUND(VLOOKUP(AE21,Y6:AC105,5,FALSE),0)/1000+ROUND(AF21,3)),ROUND(VLOOKUP(AE21,S6:W105,5,FALSE),0)/1000+ROUND(AF21,3)),ROUND(VLOOKUP(AE21,M6:Q105,5,FALSE),0)/1000+ROUND(AF21,3)),ROUND(VLOOKUP(AE21,G6:K105,5,FALSE),0)/1000+ROUND(AF21,3)),ROUND(VLOOKUP(AE21,A6:E105,5,FALSE),0)/1000+ROUND(AF21,3)))))</f>
        <v/>
      </c>
      <c r="AI21" s="87" t="str">
        <f>IF(OR(NOT(EXACT(UPPER(AE21),"TBM")),AF21=""),IF(AND(AF21&lt;&gt;"",AG21="",AH21&lt;&gt;""),"",IF(AND(AF21="",AG21&lt;&gt;"",AH21&lt;&gt;""),ROUND(ROUND(AH21,3)-ROUND(AG21,3),3)*1000,IF(AND(AF21&lt;&gt;"",AG21&lt;&gt;"",AH21&lt;&gt;""),ROUND(ROUND(AH20,3)-ROUND(AG21,3),3)*1000,""))),"")</f>
        <v/>
      </c>
      <c r="AJ21" s="80" t="str">
        <f>IF(AND(NOT(ISNA(VLOOKUP(AE21,A6:E105,5,FALSE))),AF21="",AG21&lt;&gt;""),ROUND((VLOOKUP(AE21,A6:E105,5,FALSE)-AI21)/1000,3),IF(AND(NOT(ISNA(VLOOKUP(AE21,G6:K105,5,FALSE))),AF21="",AG21&lt;&gt;""),ROUND((VLOOKUP(AE21,G6:K105,5,FALSE)-AI21)/1000,3),IF(AND(NOT(ISNA(VLOOKUP(AE21,M6:Q105,5,FALSE))),AF21="",AG21&lt;&gt;""),ROUND((VLOOKUP(AE21,M6:Q105,5,FALSE)-AI21)/1000,3),IF(AND(NOT(ISNA(VLOOKUP(AE21,S6:W105,5,FALSE))),AF21="",AG21&lt;&gt;""),ROUND((VLOOKUP(AE21,S6:W105,5,FALSE)-AI21)/1000,3),IF(AND(NOT(ISNA(VLOOKUP(AE21,Y6:AC105,5,FALSE))),AF21="",AG21&lt;&gt;""),ROUND((VLOOKUP(AE21,Y6:AC105,5,FALSE)-AI21)/1000,3),IF(AND(NOT(ISNA(VLOOKUP(AE21,AE6:AI20,5,FALSE))),AF21="",AG21&lt;&gt;""),ROUND((VLOOKUP(AE21,AE6:AI20,5,FALSE)-AI21)/1000,3),""))))))</f>
        <v/>
      </c>
      <c r="AK21" s="74">
        <f>IF(AK20="","",AK20+1)</f>
        <v>615</v>
      </c>
      <c r="AL21" s="90"/>
      <c r="AM21" s="77"/>
      <c r="AN21" s="78" t="str">
        <f>IF(AND(AL21&lt;&gt;"",AM21&lt;&gt;""),ROUND(AL21,3)+ROUND(AN20,3)-ROUND(AM21,3),IF(AND(EXACT(UPPER(AK21),"TBM"),AL21&lt;&gt;""),ROUND(AL21,3),IF(AL21="",AN20,IF(ISNA(VLOOKUP(AK21,A6:E105,5,FALSE)),IF(ISNA(VLOOKUP(AK21,G6:K105,5,FALSE)),IF(ISNA(VLOOKUP(AK21,M6:Q105,5,FALSE)),IF(ISNA(VLOOKUP(AK21,S6:W105,5,FALSE)),IF(ISNA(VLOOKUP(AK21,Y6:AC105,5,FALSE)),IF(ISNA(VLOOKUP(AK21,AE6:AI105,5,FALSE)),IF(ISNA(VLOOKUP(AK21,AK6:AO20,5,FALSE)),"",ROUND(VLOOKUP(AK21,AK6:AO20,5,FALSE),0)/1000+ROUND(AL21,3)),ROUND(VLOOKUP(AK21,AE6:AI105,5,FALSE),0)/1000+ROUND(AL21,3)),ROUND(VLOOKUP(AK21,Y6:AC105,5,FALSE),0)/1000+ROUND(AL21,3)),ROUND(VLOOKUP(AK21,S6:W105,5,FALSE),0)/1000+ROUND(AL21,3)),ROUND(VLOOKUP(AK21,M6:Q105,5,FALSE),0)/1000+ROUND(AL21,3)),ROUND(VLOOKUP(AK21,G6:K105,5,FALSE),0)/1000+ROUND(AL21,3)),ROUND(VLOOKUP(AK21,A6:E105,5,FALSE),0)/1000+ROUND(AL21,3)))))</f>
        <v/>
      </c>
      <c r="AO21" s="87" t="str">
        <f>IF(OR(NOT(EXACT(UPPER(AK21),"TBM")),AL21=""),IF(AND(AL21&lt;&gt;"",AM21="",AN21&lt;&gt;""),"",IF(AND(AL21="",AM21&lt;&gt;"",AN21&lt;&gt;""),ROUND(ROUND(AN21,3)-ROUND(AM21,3),3)*1000,IF(AND(AL21&lt;&gt;"",AM21&lt;&gt;"",AN21&lt;&gt;""),ROUND(ROUND(AN20,3)-ROUND(AM21,3),3)*1000,""))),"")</f>
        <v/>
      </c>
      <c r="AP21" s="80" t="str">
        <f>IF(AND(NOT(ISNA(VLOOKUP(AK21,A6:E105,5,FALSE))),AL21="",AM21&lt;&gt;""),ROUND((VLOOKUP(AK21,A6:E105,5,FALSE)-AO21)/1000,3),IF(AND(NOT(ISNA(VLOOKUP(AK21,G6:K105,5,FALSE))),AL21="",AM21&lt;&gt;""),ROUND((VLOOKUP(AK21,G6:K105,5,FALSE)-AO21)/1000,3),IF(AND(NOT(ISNA(VLOOKUP(AK21,M6:Q105,5,FALSE))),AL21="",AM21&lt;&gt;""),ROUND((VLOOKUP(AK21,M6:Q105,5,FALSE)-AO21)/1000,3),IF(AND(NOT(ISNA(VLOOKUP(AK21,S6:W105,5,FALSE))),AL21="",AM21&lt;&gt;""),ROUND((VLOOKUP(AK21,S6:W105,5,FALSE)-AO21)/1000,3),IF(AND(NOT(ISNA(VLOOKUP(AK21,Y6:AC105,5,FALSE))),AL21="",AM21&lt;&gt;""),ROUND((VLOOKUP(AK21,Y6:AC105,5,FALSE)-AO21)/1000,3),IF(AND(NOT(ISNA(VLOOKUP(AK21,AE6:AI105,5,FALSE))),AL21="",AM21&lt;&gt;""),ROUND((VLOOKUP(AK21,AE6:AI105,5,FALSE)-AO21)/1000,3),IF(AND(NOT(ISNA(VLOOKUP(AK21,AK6:AO20,5,FALSE))),AL21="",AM21&lt;&gt;""),ROUND((VLOOKUP(AK21,AK6:AO20,5,FALSE)-AO21)/1000,3),"")))))))</f>
        <v/>
      </c>
      <c r="AQ21" s="74">
        <f>IF(AQ20="","",AQ20+1)</f>
        <v>715</v>
      </c>
      <c r="AR21" s="90"/>
      <c r="AS21" s="77"/>
      <c r="AT21" s="78" t="str">
        <f>IF(AND(AR21&lt;&gt;"",AS21&lt;&gt;""),ROUND(AR21,3)+ROUND(AT20,3)-ROUND(AS21,3),IF(AND(EXACT(UPPER(AQ21),"TBM"),AR21&lt;&gt;""),ROUND(AR21,3),IF(AR21="",AT20,IF(ISNA(VLOOKUP(AQ21,A6:E105,5,FALSE)),IF(ISNA(VLOOKUP(AQ21,G6:K105,5,FALSE)),IF(ISNA(VLOOKUP(AQ21,M6:Q105,5,FALSE)),IF(ISNA(VLOOKUP(AQ21,S6:W105,5,FALSE)),IF(ISNA(VLOOKUP(AQ21,Y6:AC105,5,FALSE)),IF(ISNA(VLOOKUP(AQ21,AE6:AI105,5,FALSE)),IF(ISNA(VLOOKUP(AQ21,AK6:AO105,5,FALSE)),IF(ISNA(VLOOKUP(AQ21,AQ6:AU20,5,FALSE)),"",ROUND(VLOOKUP(AQ21,AQ6:AU20,5,FALSE),0)/1000+ROUND(AR21,3)),ROUND(VLOOKUP(AQ21,AK6:AO105,5,FALSE),0)/1000+ROUND(AR21,3)),ROUND(VLOOKUP(AQ21,AE6:AI105,5,FALSE),0)/1000+ROUND(AR21,3)),ROUND(VLOOKUP(AQ21,Y6:AC105,5,FALSE),0)/1000+ROUND(AR21,3)),ROUND(VLOOKUP(AQ21,S6:W105,5,FALSE),0)/1000+ROUND(AR21,3)),ROUND(VLOOKUP(AQ21,M6:Q105,5,FALSE),0)/1000+ROUND(AR21,3)),ROUND(VLOOKUP(AQ21,G6:K105,5,FALSE),0)/1000+ROUND(AR21,3)),ROUND(VLOOKUP(AQ21,A6:E105,5,FALSE),0)/1000+ROUND(AR21,3)))))</f>
        <v/>
      </c>
      <c r="AU21" s="87" t="str">
        <f>IF(OR(NOT(EXACT(UPPER(AQ21),"TBM")),AR21=""),IF(AND(AR21&lt;&gt;"",AS21="",AT21&lt;&gt;""),"",IF(AND(AR21="",AS21&lt;&gt;"",AT21&lt;&gt;""),ROUND(ROUND(AT21,3)-ROUND(AS21,3),3)*1000,IF(AND(AR21&lt;&gt;"",AS21&lt;&gt;"",AT21&lt;&gt;""),ROUND(ROUND(AT20,3)-ROUND(AS21,3),3)*1000,""))),"")</f>
        <v/>
      </c>
      <c r="AV21" s="80" t="str">
        <f>IF(AND(NOT(ISNA(VLOOKUP(AQ21,A6:E105,5,FALSE))),AR21="",AS21&lt;&gt;""),ROUND((VLOOKUP(AQ21,A6:E105,5,FALSE)-AU21)/1000,3),IF(AND(NOT(ISNA(VLOOKUP(AQ21,G6:K105,5,FALSE))),AR21="",AS21&lt;&gt;""),ROUND((VLOOKUP(AQ21,G6:K105,5,FALSE)-AU21)/1000,3),IF(AND(NOT(ISNA(VLOOKUP(AQ21,M6:Q105,5,FALSE))),AR21="",AS21&lt;&gt;""),ROUND((VLOOKUP(AQ21,M6:Q105,5,FALSE)-AU21)/1000,3),IF(AND(NOT(ISNA(VLOOKUP(AQ21,S6:W105,5,FALSE))),AR21="",AS21&lt;&gt;""),ROUND((VLOOKUP(AQ21,S6:W105,5,FALSE)-AU21)/1000,3),IF(AND(NOT(ISNA(VLOOKUP(AQ21,Y6:AC105,5,FALSE))),AR21="",AS21&lt;&gt;""),ROUND((VLOOKUP(AQ21,Y6:AC105,5,FALSE)-AU21)/1000,3),IF(AND(NOT(ISNA(VLOOKUP(AQ21,AE6:AI105,5,FALSE))),AR21="",AS21&lt;&gt;""),ROUND((VLOOKUP(AQ21,AE6:AI105,5,FALSE)-AU21)/1000,3),IF(AND(NOT(ISNA(VLOOKUP(AQ21,AK6:AO105,5,FALSE))),AR21="",AS21&lt;&gt;""),ROUND((VLOOKUP(AQ21,AK6:AO105,5,FALSE)-AU21)/1000,3),IF(AND(NOT(ISNA(VLOOKUP(AQ21,AQ6:AU20,5,FALSE))),AR21="",AS21&lt;&gt;""),ROUND((VLOOKUP(AQ21,AQ6:AU20,5,FALSE)-AU21)/1000,3),""))))))))</f>
        <v/>
      </c>
      <c r="AW21" s="74">
        <f>IF(AW20="","",AW20+1)</f>
        <v>815</v>
      </c>
      <c r="AX21" s="90"/>
      <c r="AY21" s="77"/>
      <c r="AZ21" s="78" t="str">
        <f>IF(AND(AX21&lt;&gt;"",AY21&lt;&gt;""),ROUND(AX21,3)+ROUND(AZ20,3)-ROUND(AY21,3),IF(AND(EXACT(UPPER(AW21),"TBM"),AX21&lt;&gt;""),ROUND(AX21,3),IF(AX21="",AZ20,IF(ISNA(VLOOKUP(AW21,A6:E105,5,FALSE)),IF(ISNA(VLOOKUP(AW21,G6:K105,5,FALSE)),IF(ISNA(VLOOKUP(AW21,M6:Q105,5,FALSE)),IF(ISNA(VLOOKUP(AW21,S6:W105,5,FALSE)),IF(ISNA(VLOOKUP(AW21,Y6:AC105,5,FALSE)),IF(ISNA(VLOOKUP(AW21,AE6:AI105,5,FALSE)),IF(ISNA(VLOOKUP(AW21,AK6:AO105,5,FALSE)),IF(ISNA(VLOOKUP(AW21,AQ6:AU105,5,FALSE)),IF(ISNA(VLOOKUP(AW21,AW6:BA20,5,FALSE)),"",ROUND(VLOOKUP(AW21,AW6:BA20,5,FALSE),0)/1000+ROUND(AX21,3)),ROUND(VLOOKUP(AW21,AQ6:AU105,5,FALSE),0)/1000+ROUND(AX21,3)),ROUND(VLOOKUP(AW21,AK6:AO105,5,FALSE),0)/1000+ROUND(AX21,3)),ROUND(VLOOKUP(AW21,AE6:AI105,5,FALSE),0)/1000+ROUND(AX21,3)),ROUND(VLOOKUP(AW21,Y6:AC105,5,FALSE),0)/1000+ROUND(AX21,3)),ROUND(VLOOKUP(AW21,S6:W105,5,FALSE),0)/1000+ROUND(AX21,3)),ROUND(VLOOKUP(AW21,M6:Q105,5,FALSE),0)/1000+ROUND(AX21,3)),ROUND(VLOOKUP(AW21,G6:K105,5,FALSE),0)/1000+ROUND(AX21,3)),ROUND(VLOOKUP(AW21,A6:E105,5,FALSE),0)/1000+ROUND(AX21,3)))))</f>
        <v/>
      </c>
      <c r="BA21" s="87" t="str">
        <f>IF(OR(NOT(EXACT(UPPER(AW21),"TBM")),AX21=""),IF(AND(AX21&lt;&gt;"",AY21="",AZ21&lt;&gt;""),"",IF(AND(AX21="",AY21&lt;&gt;"",AZ21&lt;&gt;""),ROUND(ROUND(AZ21,3)-ROUND(AY21,3),3)*1000,IF(AND(AX21&lt;&gt;"",AY21&lt;&gt;"",AZ21&lt;&gt;""),ROUND(ROUND(AZ20,3)-ROUND(AY21,3),3)*1000,""))),"")</f>
        <v/>
      </c>
      <c r="BB21" s="80" t="str">
        <f>IF(AND(NOT(ISNA(VLOOKUP(AW21,A6:E105,5,FALSE))),AX21="",AY21&lt;&gt;""),ROUND((VLOOKUP(AW21,A6:E105,5,FALSE)-BA21)/1000,3),IF(AND(NOT(ISNA(VLOOKUP(AW21,G6:K105,5,FALSE))),AX21="",AY21&lt;&gt;""),ROUND((VLOOKUP(AW21,G6:K105,5,FALSE)-BA21)/1000,3),IF(AND(NOT(ISNA(VLOOKUP(AW21,M6:Q105,5,FALSE))),AX21="",AY21&lt;&gt;""),ROUND((VLOOKUP(AW21,M6:Q105,5,FALSE)-BA21)/1000,3),IF(AND(NOT(ISNA(VLOOKUP(AW21,S6:W105,5,FALSE))),AX21="",AY21&lt;&gt;""),ROUND((VLOOKUP(AW21,S6:W105,5,FALSE)-BA21)/1000,3),IF(AND(NOT(ISNA(VLOOKUP(AW21,Y6:AC105,5,FALSE))),AX21="",AY21&lt;&gt;""),ROUND((VLOOKUP(AW21,Y6:AC105,5,FALSE)-BA21)/1000,3),IF(AND(NOT(ISNA(VLOOKUP(AW21,AE6:AI105,5,FALSE))),AX21="",AY21&lt;&gt;""),ROUND((VLOOKUP(AW21,AE6:AI105,5,FALSE)-BA21)/1000,3),IF(AND(NOT(ISNA(VLOOKUP(AW21,AK6:AO105,5,FALSE))),AX21="",AY21&lt;&gt;""),ROUND((VLOOKUP(AW21,AK6:AO105,5,FALSE)-BA21)/1000,3),IF(AND(NOT(ISNA(VLOOKUP(AW21,AQ6:AU105,5,FALSE))),AX21="",AY21&lt;&gt;""),ROUND((VLOOKUP(AW21,AQ6:AU105,5,FALSE)-BA21)/1000,3),IF(AND(NOT(ISNA(VLOOKUP(AW21,AW6:BA20,5,FALSE))),AX21="",AY21&lt;&gt;""),ROUND((VLOOKUP(AW21,AW6:BA20,5,FALSE)-BA21)/1000,3),"")))))))))</f>
        <v/>
      </c>
      <c r="BC21" s="74">
        <f>IF(BC20="","",BC20+1)</f>
        <v>915</v>
      </c>
      <c r="BD21" s="90"/>
      <c r="BE21" s="77"/>
      <c r="BF21" s="78" t="str">
        <f>IF(AND(BD21&lt;&gt;"",BE21&lt;&gt;""),ROUND(BD21,3)+ROUND(BF20,3)-ROUND(BE21,3),IF(AND(EXACT(UPPER(BC21),"TBM"),BD21&lt;&gt;""),ROUND(BD21,3),IF(BD21="",BF20,IF(ISNA(VLOOKUP(BC21,A6:E105,5,FALSE)),IF(ISNA(VLOOKUP(BC21,G6:K105,5,FALSE)),IF(ISNA(VLOOKUP(BC21,M6:Q105,5,FALSE)),IF(ISNA(VLOOKUP(BC21,S6:W105,5,FALSE)),IF(ISNA(VLOOKUP(BC21,Y6:AC105,5,FALSE)),IF(ISNA(VLOOKUP(BC21,AE6:AI105,5,FALSE)),IF(ISNA(VLOOKUP(BC21,AK6:AO105,5,FALSE)),IF(ISNA(VLOOKUP(BC21,AQ6:AU105,5,FALSE)),IF(ISNA(VLOOKUP(BC21,AW6:BA105,5,FALSE)),IF(ISNA(VLOOKUP(BC21,BC6:BG20,5,FALSE)),"",ROUND(VLOOKUP(BC21,BC6:BG20,5,FALSE),0)/1000+ROUND(BD21,3)),ROUND(VLOOKUP(BC21,AW6:BA105,5,FALSE),0)/1000+ROUND(BD21,3)),ROUND(VLOOKUP(BC21,AQ6:AU105,5,FALSE),0)/1000+ROUND(BD21,3)),ROUND(VLOOKUP(BC21,AK6:AO105,5,FALSE),0)/1000+ROUND(BD21,3)),ROUND(VLOOKUP(BC21,AE6:AI105,5,FALSE),0)/1000+ROUND(BD21,3)),ROUND(VLOOKUP(BC21,Y6:AC105,5,FALSE),0)/1000+ROUND(BD21,3)),ROUND(VLOOKUP(BC21,S6:W105,5,FALSE),0)/1000+ROUND(BD21,3)),ROUND(VLOOKUP(BC21,M6:Q105,5,FALSE),0)/1000+ROUND(BD21,3)),ROUND(VLOOKUP(BC21,G6:K105,5,FALSE),0)/1000+ROUND(BD21,3)),ROUND(VLOOKUP(BC21,A6:E105,5,FALSE),0)/1000+ROUND(BD21,3)))))</f>
        <v/>
      </c>
      <c r="BG21" s="87" t="str">
        <f>IF(OR(NOT(EXACT(UPPER(BC21),"TBM")),BD21=""),IF(AND(BD21&lt;&gt;"",BE21="",BF21&lt;&gt;""),"",IF(AND(BD21="",BE21&lt;&gt;"",BF21&lt;&gt;""),ROUND(ROUND(BF21,3)-ROUND(BE21,3),3)*1000,IF(AND(BD21&lt;&gt;"",BE21&lt;&gt;"",BF21&lt;&gt;""),ROUND(ROUND(BF20,3)-ROUND(BE21,3),3)*1000,""))),"")</f>
        <v/>
      </c>
      <c r="BH21" s="80" t="str">
        <f>IF(AND(NOT(ISNA(VLOOKUP(BC21,A6:E105,5,FALSE))),BD21="",BE21&lt;&gt;""),ROUND((VLOOKUP(BC21,A6:E105,5,FALSE)-BG21)/1000,3),IF(AND(NOT(ISNA(VLOOKUP(BC21,G6:K105,5,FALSE))),BD21="",BE21&lt;&gt;""),ROUND((VLOOKUP(BC21,G6:K105,5,FALSE)-BG21)/1000,3),IF(AND(NOT(ISNA(VLOOKUP(BC21,M6:Q105,5,FALSE))),BD21="",BE21&lt;&gt;""),ROUND((VLOOKUP(BC21,M6:Q105,5,FALSE)-BG21)/1000,3),IF(AND(NOT(ISNA(VLOOKUP(BC21,S6:W105,5,FALSE))),BD21="",BE21&lt;&gt;""),ROUND((VLOOKUP(BC21,S6:W105,5,FALSE)-BG21)/1000,3),IF(AND(NOT(ISNA(VLOOKUP(BC21,Y6:AC105,5,FALSE))),BD21="",BE21&lt;&gt;""),ROUND((VLOOKUP(BC21,Y6:AC105,5,FALSE)-BG21)/1000,3),IF(AND(NOT(ISNA(VLOOKUP(BC21,AE6:AI105,5,FALSE))),BD21="",BE21&lt;&gt;""),ROUND((VLOOKUP(BC21,AE6:AI105,5,FALSE)-BG21)/1000,3),IF(AND(NOT(ISNA(VLOOKUP(BC21,AK6:AO105,5,FALSE))),BD21="",BE21&lt;&gt;""),ROUND((VLOOKUP(BC21,AK6:AO105,5,FALSE)-BG21)/1000,3),IF(AND(NOT(ISNA(VLOOKUP(BC21,AQ6:AU105,5,FALSE))),BD21="",BE21&lt;&gt;""),ROUND((VLOOKUP(BC21,AQ6:AU105,5,FALSE)-BG21)/1000,3),IF(AND(NOT(ISNA(VLOOKUP(BC21,AW6:BA105,5,FALSE))),BD21="",BE21&lt;&gt;""),ROUND((VLOOKUP(BC21,AW6:BA105,5,FALSE)-BG21)/1000,3),IF(AND(NOT(ISNA(VLOOKUP(BC21,BC6:BG20,5,FALSE))),BD21="",BE21&lt;&gt;""),ROUND((VLOOKUP(BC21,BC6:BG20,5,FALSE)-BG21)/1000,3),""))))))))))</f>
        <v/>
      </c>
    </row>
    <row r="22" spans="1:60" x14ac:dyDescent="0.25">
      <c r="A22" s="19">
        <f t="shared" si="3"/>
        <v>16</v>
      </c>
      <c r="B22" s="39"/>
      <c r="C22" s="39"/>
      <c r="D22" s="15" t="str">
        <f>IF(AND(B22&lt;&gt;"",C22&lt;&gt;""),ROUND(B22,3)+ROUND(D21,3)-ROUND(C22,3),IF(AND(EXACT(UPPER(A22),"TBM"),B22&lt;&gt;""),ROUND(B22,3),IF(B22="",D21,IF(ISNA(VLOOKUP(A22,A6:E21,5,FALSE)),"",ROUND(VLOOKUP(A22,A6:E21,5,FALSE),0)/1000+ROUND(B22,3)))))</f>
        <v/>
      </c>
      <c r="E22" s="21" t="str">
        <f t="shared" si="0"/>
        <v/>
      </c>
      <c r="F22" s="45" t="str">
        <f>IF(AND(NOT(ISNA(VLOOKUP(A22,A6:E21,5,FALSE))),B22="",C22&lt;&gt;""),ROUND((VLOOKUP(A22,A6:E21,5,FALSE)-E22)/1000,3),"")</f>
        <v/>
      </c>
      <c r="G22" s="19">
        <f t="shared" si="1"/>
        <v>116</v>
      </c>
      <c r="H22" s="41"/>
      <c r="I22" s="39"/>
      <c r="J22" s="15" t="str">
        <f>IF(AND(H22&lt;&gt;"",I22&lt;&gt;""),ROUND(H22,3)+ROUND(J21,3)-ROUND(I22,3),IF(AND(EXACT(UPPER(G22),"TBM"),H22&lt;&gt;""),ROUND(H22,3),IF(H22="",J21,IF(ISNA(VLOOKUP(G22,A6:E105,5,FALSE)),IF(ISNA(VLOOKUP(G22,G6:K21,5,FALSE)),"",ROUND(VLOOKUP(G22,G6:K21,5,FALSE),0)/1000+ROUND(H22,3)),ROUND(VLOOKUP(G22,A6:E105,5,FALSE),0)/1000+ROUND(H22,3)))))</f>
        <v/>
      </c>
      <c r="K22" s="18" t="str">
        <f t="shared" si="2"/>
        <v/>
      </c>
      <c r="L22" s="45" t="str">
        <f>IF(AND(NOT(ISNA(VLOOKUP(G22,A6:E105,5,FALSE))),H22="",I22&lt;&gt;""),ROUND((VLOOKUP(G22,A6:E105,5,FALSE)-K22)/1000,3),IF(AND(NOT(ISNA(VLOOKUP(G22,G6:K21,5,FALSE))),H22="",I22&lt;&gt;""),ROUND((VLOOKUP(G22,G6:K21,5,FALSE)-K22)/1000,3),""))</f>
        <v/>
      </c>
      <c r="M22" s="19">
        <f>IF(M21="","",M21+1)</f>
        <v>216</v>
      </c>
      <c r="N22" s="41"/>
      <c r="O22" s="39"/>
      <c r="P22" s="15" t="str">
        <f>IF(AND(N22&lt;&gt;"",O22&lt;&gt;""),ROUND(N22,3)+ROUND(P21,3)-ROUND(O22,3),IF(AND(EXACT(UPPER(M22),"TBM"),N22&lt;&gt;""),ROUND(N22,3),IF(N22="",P21,IF(ISNA(VLOOKUP(M22,A6:E105,5,FALSE)),IF(ISNA(VLOOKUP(M22,G6:K105,5,FALSE)),IF(ISNA(VLOOKUP(M22,M6:Q21,5,FALSE)),"",ROUND(VLOOKUP(M22,M6:Q21,5,FALSE),0)/1000+ROUND(N22,3)),ROUND(VLOOKUP(M22,G6:K105,5,FALSE),0)/1000+ROUND(N22,3)),ROUND(VLOOKUP(M22,A6:E105,5,FALSE),0)/1000+ROUND(N22,3)))))</f>
        <v/>
      </c>
      <c r="Q22" s="18" t="str">
        <f>IF(OR(NOT(EXACT(UPPER(M22),"TBM")),N22=""),IF(AND(N22&lt;&gt;"",O22="",P22&lt;&gt;""),"",IF(AND(N22="",O22&lt;&gt;"",P22&lt;&gt;""),ROUND(ROUND(P22,3)-ROUND(O22,3),3)*1000,IF(AND(N22&lt;&gt;"",O22&lt;&gt;"",P22&lt;&gt;""),ROUND(ROUND(P21,3)-ROUND(O22,3),3)*1000,""))),"")</f>
        <v/>
      </c>
      <c r="R22" s="45" t="str">
        <f>IF(AND(NOT(ISNA(VLOOKUP(M22,A6:E105,5,FALSE))),N22="",O22&lt;&gt;""),ROUND((VLOOKUP(M22,A6:E105,5,FALSE)-Q22)/1000,3),IF(AND(NOT(ISNA(VLOOKUP(M22,G6:K105,5,FALSE))),N22="",O22&lt;&gt;""),ROUND((VLOOKUP(M22,G6:K105,5,FALSE)-Q22)/1000,3),IF(AND(NOT(ISNA(VLOOKUP(M22,M6:Q21,5,FALSE))),N22="",O22&lt;&gt;""),ROUND((VLOOKUP(M22,M6:Q21,5,FALSE)-Q22)/1000,3),"")))</f>
        <v/>
      </c>
      <c r="S22" s="19">
        <f>IF(S21="","",S21+1)</f>
        <v>316</v>
      </c>
      <c r="T22" s="41"/>
      <c r="U22" s="39"/>
      <c r="V22" s="15" t="str">
        <f>IF(AND(T22&lt;&gt;"",U22&lt;&gt;""),ROUND(T22,3)+ROUND(V21,3)-ROUND(U22,3),IF(AND(EXACT(UPPER(S22),"TBM"),T22&lt;&gt;""),ROUND(T22,3),IF(T22="",V21,IF(ISNA(VLOOKUP(S22,A6:E105,5,FALSE)),IF(ISNA(VLOOKUP(S22,G6:K105,5,FALSE)),IF(ISNA(VLOOKUP(S22,M6:Q105,5,FALSE)),IF(ISNA(VLOOKUP(S22,S6:W21,5,FALSE)),"",ROUND(VLOOKUP(S22,S6:W21,5,FALSE),0)/1000+ROUND(T22,3)),ROUND(VLOOKUP(S22,M6:Q105,5,FALSE),0)/1000+ROUND(T22,3)),ROUND(VLOOKUP(S22,G6:K105,5,FALSE),0)/1000+ROUND(T22,3)),ROUND(VLOOKUP(S22,A6:E105,5,FALSE),0)/1000+ROUND(T22,3)))))</f>
        <v/>
      </c>
      <c r="W22" s="18" t="str">
        <f>IF(OR(NOT(EXACT(UPPER(S22),"TBM")),T22=""),IF(AND(T22&lt;&gt;"",U22="",V22&lt;&gt;""),"",IF(AND(T22="",U22&lt;&gt;"",V22&lt;&gt;""),ROUND(ROUND(V22,3)-ROUND(U22,3),3)*1000,IF(AND(T22&lt;&gt;"",U22&lt;&gt;"",V22&lt;&gt;""),ROUND(ROUND(V21,3)-ROUND(U22,3),3)*1000,""))),"")</f>
        <v/>
      </c>
      <c r="X22" s="45" t="str">
        <f>IF(AND(NOT(ISNA(VLOOKUP(S22,A6:E105,5,FALSE))),T22="",U22&lt;&gt;""),ROUND((VLOOKUP(S22,A6:E105,5,FALSE)-W22)/1000,3),IF(AND(NOT(ISNA(VLOOKUP(S22,G6:K105,5,FALSE))),T22="",U22&lt;&gt;""),ROUND((VLOOKUP(S22,G6:K105,5,FALSE)-W22)/1000,3),IF(AND(NOT(ISNA(VLOOKUP(S22,M6:Q105,5,FALSE))),T22="",U22&lt;&gt;""),ROUND((VLOOKUP(S22,M6:Q105,5,FALSE)-W22)/1000,3),IF(AND(NOT(ISNA(VLOOKUP(S22,S6:W21,5,FALSE))),T22="",U22&lt;&gt;""),ROUND((VLOOKUP(S22,S6:W21,5,FALSE)-W22)/1000,3),""))))</f>
        <v/>
      </c>
      <c r="Y22" s="19">
        <f>IF(Y21="","",Y21+1)</f>
        <v>416</v>
      </c>
      <c r="Z22" s="41"/>
      <c r="AA22" s="39"/>
      <c r="AB22" s="15" t="str">
        <f>IF(AND(Z22&lt;&gt;"",AA22&lt;&gt;""),ROUND(Z22,3)+ROUND(AB21,3)-ROUND(AA22,3),IF(AND(EXACT(UPPER(Y22),"TBM"),Z22&lt;&gt;""),ROUND(Z22,3),IF(Z22="",AB21,IF(ISNA(VLOOKUP(Y22,A6:E105,5,FALSE)),IF(ISNA(VLOOKUP(Y22,G6:K105,5,FALSE)),IF(ISNA(VLOOKUP(Y22,M6:Q105,5,FALSE)),IF(ISNA(VLOOKUP(Y22,S6:W105,5,FALSE)),IF(ISNA(VLOOKUP(Y22,Y6:AC21,5,FALSE)),"",ROUND(VLOOKUP(Y22,Y6:AC21,5,FALSE),0)/1000+ROUND(Z22,3)),ROUND(VLOOKUP(Y22,S6:W105,5,FALSE),0)/1000+ROUND(Z22,3)),ROUND(VLOOKUP(Y22,M6:Q105,5,FALSE),0)/1000+ROUND(Z22,3)),ROUND(VLOOKUP(Y22,G6:K105,5,FALSE),0)/1000+ROUND(Z22,3)),ROUND(VLOOKUP(Y22,A6:E105,5,FALSE),0)/1000+ROUND(Z22,3)))))</f>
        <v/>
      </c>
      <c r="AC22" s="18" t="str">
        <f>IF(OR(NOT(EXACT(UPPER(Y22),"TBM")),Z22=""),IF(AND(Z22&lt;&gt;"",AA22="",AB22&lt;&gt;""),"",IF(AND(Z22="",AA22&lt;&gt;"",AB22&lt;&gt;""),ROUND(ROUND(AB22,3)-ROUND(AA22,3),3)*1000,IF(AND(Z22&lt;&gt;"",AA22&lt;&gt;"",AB22&lt;&gt;""),ROUND(ROUND(AB21,3)-ROUND(AA22,3),3)*1000,""))),"")</f>
        <v/>
      </c>
      <c r="AD22" s="45" t="str">
        <f>IF(AND(NOT(ISNA(VLOOKUP(Y22,A6:E105,5,FALSE))),Z22="",AA22&lt;&gt;""),ROUND((VLOOKUP(Y22,A6:E105,5,FALSE)-AC22)/1000,3),IF(AND(NOT(ISNA(VLOOKUP(Y22,G6:K105,5,FALSE))),Z22="",AA22&lt;&gt;""),ROUND((VLOOKUP(Y22,G6:K105,5,FALSE)-AC22)/1000,3),IF(AND(NOT(ISNA(VLOOKUP(Y22,M6:Q105,5,FALSE))),Z22="",AA22&lt;&gt;""),ROUND((VLOOKUP(Y22,M6:Q105,5,FALSE)-AC22)/1000,3),IF(AND(NOT(ISNA(VLOOKUP(Y22,S6:W105,5,FALSE))),Z22="",AA22&lt;&gt;""),ROUND((VLOOKUP(Y22,S6:W105,5,FALSE)-AC22)/1000,3),IF(AND(NOT(ISNA(VLOOKUP(Y22,Y6:AC21,5,FALSE))),Z22="",AA22&lt;&gt;""),ROUND((VLOOKUP(Y22,Y6:AC21,5,FALSE)-AC22)/1000,3),"")))))</f>
        <v/>
      </c>
      <c r="AE22" s="19">
        <f>IF(AE21="","",AE21+1)</f>
        <v>516</v>
      </c>
      <c r="AF22" s="41"/>
      <c r="AG22" s="39"/>
      <c r="AH22" s="15" t="str">
        <f>IF(AND(AF22&lt;&gt;"",AG22&lt;&gt;""),ROUND(AF22,3)+ROUND(AH21,3)-ROUND(AG22,3),IF(AND(EXACT(UPPER(AE22),"TBM"),AF22&lt;&gt;""),ROUND(AF22,3),IF(AF22="",AH21,IF(ISNA(VLOOKUP(AE22,A6:E105,5,FALSE)),IF(ISNA(VLOOKUP(AE22,G6:K105,5,FALSE)),IF(ISNA(VLOOKUP(AE22,M6:Q105,5,FALSE)),IF(ISNA(VLOOKUP(AE22,S6:W105,5,FALSE)),IF(ISNA(VLOOKUP(AE22,Y6:AC105,5,FALSE)),IF(ISNA(VLOOKUP(AE22,AE6:AI21,5,FALSE)),"",ROUND(VLOOKUP(AE22,AE6:AI21,5,FALSE),0)/1000+ROUND(AF22,3)),ROUND(VLOOKUP(AE22,Y6:AC105,5,FALSE),0)/1000+ROUND(AF22,3)),ROUND(VLOOKUP(AE22,S6:W105,5,FALSE),0)/1000+ROUND(AF22,3)),ROUND(VLOOKUP(AE22,M6:Q105,5,FALSE),0)/1000+ROUND(AF22,3)),ROUND(VLOOKUP(AE22,G6:K105,5,FALSE),0)/1000+ROUND(AF22,3)),ROUND(VLOOKUP(AE22,A6:E105,5,FALSE),0)/1000+ROUND(AF22,3)))))</f>
        <v/>
      </c>
      <c r="AI22" s="18" t="str">
        <f>IF(OR(NOT(EXACT(UPPER(AE22),"TBM")),AF22=""),IF(AND(AF22&lt;&gt;"",AG22="",AH22&lt;&gt;""),"",IF(AND(AF22="",AG22&lt;&gt;"",AH22&lt;&gt;""),ROUND(ROUND(AH22,3)-ROUND(AG22,3),3)*1000,IF(AND(AF22&lt;&gt;"",AG22&lt;&gt;"",AH22&lt;&gt;""),ROUND(ROUND(AH21,3)-ROUND(AG22,3),3)*1000,""))),"")</f>
        <v/>
      </c>
      <c r="AJ22" s="45" t="str">
        <f>IF(AND(NOT(ISNA(VLOOKUP(AE22,A6:E105,5,FALSE))),AF22="",AG22&lt;&gt;""),ROUND((VLOOKUP(AE22,A6:E105,5,FALSE)-AI22)/1000,3),IF(AND(NOT(ISNA(VLOOKUP(AE22,G6:K105,5,FALSE))),AF22="",AG22&lt;&gt;""),ROUND((VLOOKUP(AE22,G6:K105,5,FALSE)-AI22)/1000,3),IF(AND(NOT(ISNA(VLOOKUP(AE22,M6:Q105,5,FALSE))),AF22="",AG22&lt;&gt;""),ROUND((VLOOKUP(AE22,M6:Q105,5,FALSE)-AI22)/1000,3),IF(AND(NOT(ISNA(VLOOKUP(AE22,S6:W105,5,FALSE))),AF22="",AG22&lt;&gt;""),ROUND((VLOOKUP(AE22,S6:W105,5,FALSE)-AI22)/1000,3),IF(AND(NOT(ISNA(VLOOKUP(AE22,Y6:AC105,5,FALSE))),AF22="",AG22&lt;&gt;""),ROUND((VLOOKUP(AE22,Y6:AC105,5,FALSE)-AI22)/1000,3),IF(AND(NOT(ISNA(VLOOKUP(AE22,AE6:AI21,5,FALSE))),AF22="",AG22&lt;&gt;""),ROUND((VLOOKUP(AE22,AE6:AI21,5,FALSE)-AI22)/1000,3),""))))))</f>
        <v/>
      </c>
      <c r="AK22" s="19">
        <f>IF(AK21="","",AK21+1)</f>
        <v>616</v>
      </c>
      <c r="AL22" s="41"/>
      <c r="AM22" s="39"/>
      <c r="AN22" s="15" t="str">
        <f>IF(AND(AL22&lt;&gt;"",AM22&lt;&gt;""),ROUND(AL22,3)+ROUND(AN21,3)-ROUND(AM22,3),IF(AND(EXACT(UPPER(AK22),"TBM"),AL22&lt;&gt;""),ROUND(AL22,3),IF(AL22="",AN21,IF(ISNA(VLOOKUP(AK22,A6:E105,5,FALSE)),IF(ISNA(VLOOKUP(AK22,G6:K105,5,FALSE)),IF(ISNA(VLOOKUP(AK22,M6:Q105,5,FALSE)),IF(ISNA(VLOOKUP(AK22,S6:W105,5,FALSE)),IF(ISNA(VLOOKUP(AK22,Y6:AC105,5,FALSE)),IF(ISNA(VLOOKUP(AK22,AE6:AI105,5,FALSE)),IF(ISNA(VLOOKUP(AK22,AK6:AO21,5,FALSE)),"",ROUND(VLOOKUP(AK22,AK6:AO21,5,FALSE),0)/1000+ROUND(AL22,3)),ROUND(VLOOKUP(AK22,AE6:AI105,5,FALSE),0)/1000+ROUND(AL22,3)),ROUND(VLOOKUP(AK22,Y6:AC105,5,FALSE),0)/1000+ROUND(AL22,3)),ROUND(VLOOKUP(AK22,S6:W105,5,FALSE),0)/1000+ROUND(AL22,3)),ROUND(VLOOKUP(AK22,M6:Q105,5,FALSE),0)/1000+ROUND(AL22,3)),ROUND(VLOOKUP(AK22,G6:K105,5,FALSE),0)/1000+ROUND(AL22,3)),ROUND(VLOOKUP(AK22,A6:E105,5,FALSE),0)/1000+ROUND(AL22,3)))))</f>
        <v/>
      </c>
      <c r="AO22" s="18" t="str">
        <f>IF(OR(NOT(EXACT(UPPER(AK22),"TBM")),AL22=""),IF(AND(AL22&lt;&gt;"",AM22="",AN22&lt;&gt;""),"",IF(AND(AL22="",AM22&lt;&gt;"",AN22&lt;&gt;""),ROUND(ROUND(AN22,3)-ROUND(AM22,3),3)*1000,IF(AND(AL22&lt;&gt;"",AM22&lt;&gt;"",AN22&lt;&gt;""),ROUND(ROUND(AN21,3)-ROUND(AM22,3),3)*1000,""))),"")</f>
        <v/>
      </c>
      <c r="AP22" s="45" t="str">
        <f>IF(AND(NOT(ISNA(VLOOKUP(AK22,A6:E105,5,FALSE))),AL22="",AM22&lt;&gt;""),ROUND((VLOOKUP(AK22,A6:E105,5,FALSE)-AO22)/1000,3),IF(AND(NOT(ISNA(VLOOKUP(AK22,G6:K105,5,FALSE))),AL22="",AM22&lt;&gt;""),ROUND((VLOOKUP(AK22,G6:K105,5,FALSE)-AO22)/1000,3),IF(AND(NOT(ISNA(VLOOKUP(AK22,M6:Q105,5,FALSE))),AL22="",AM22&lt;&gt;""),ROUND((VLOOKUP(AK22,M6:Q105,5,FALSE)-AO22)/1000,3),IF(AND(NOT(ISNA(VLOOKUP(AK22,S6:W105,5,FALSE))),AL22="",AM22&lt;&gt;""),ROUND((VLOOKUP(AK22,S6:W105,5,FALSE)-AO22)/1000,3),IF(AND(NOT(ISNA(VLOOKUP(AK22,Y6:AC105,5,FALSE))),AL22="",AM22&lt;&gt;""),ROUND((VLOOKUP(AK22,Y6:AC105,5,FALSE)-AO22)/1000,3),IF(AND(NOT(ISNA(VLOOKUP(AK22,AE6:AI105,5,FALSE))),AL22="",AM22&lt;&gt;""),ROUND((VLOOKUP(AK22,AE6:AI105,5,FALSE)-AO22)/1000,3),IF(AND(NOT(ISNA(VLOOKUP(AK22,AK6:AO21,5,FALSE))),AL22="",AM22&lt;&gt;""),ROUND((VLOOKUP(AK22,AK6:AO21,5,FALSE)-AO22)/1000,3),"")))))))</f>
        <v/>
      </c>
      <c r="AQ22" s="19">
        <f>IF(AQ21="","",AQ21+1)</f>
        <v>716</v>
      </c>
      <c r="AR22" s="41"/>
      <c r="AS22" s="39"/>
      <c r="AT22" s="15" t="str">
        <f>IF(AND(AR22&lt;&gt;"",AS22&lt;&gt;""),ROUND(AR22,3)+ROUND(AT21,3)-ROUND(AS22,3),IF(AND(EXACT(UPPER(AQ22),"TBM"),AR22&lt;&gt;""),ROUND(AR22,3),IF(AR22="",AT21,IF(ISNA(VLOOKUP(AQ22,A6:E105,5,FALSE)),IF(ISNA(VLOOKUP(AQ22,G6:K105,5,FALSE)),IF(ISNA(VLOOKUP(AQ22,M6:Q105,5,FALSE)),IF(ISNA(VLOOKUP(AQ22,S6:W105,5,FALSE)),IF(ISNA(VLOOKUP(AQ22,Y6:AC105,5,FALSE)),IF(ISNA(VLOOKUP(AQ22,AE6:AI105,5,FALSE)),IF(ISNA(VLOOKUP(AQ22,AK6:AO105,5,FALSE)),IF(ISNA(VLOOKUP(AQ22,AQ6:AU21,5,FALSE)),"",ROUND(VLOOKUP(AQ22,AQ6:AU21,5,FALSE),0)/1000+ROUND(AR22,3)),ROUND(VLOOKUP(AQ22,AK6:AO105,5,FALSE),0)/1000+ROUND(AR22,3)),ROUND(VLOOKUP(AQ22,AE6:AI105,5,FALSE),0)/1000+ROUND(AR22,3)),ROUND(VLOOKUP(AQ22,Y6:AC105,5,FALSE),0)/1000+ROUND(AR22,3)),ROUND(VLOOKUP(AQ22,S6:W105,5,FALSE),0)/1000+ROUND(AR22,3)),ROUND(VLOOKUP(AQ22,M6:Q105,5,FALSE),0)/1000+ROUND(AR22,3)),ROUND(VLOOKUP(AQ22,G6:K105,5,FALSE),0)/1000+ROUND(AR22,3)),ROUND(VLOOKUP(AQ22,A6:E105,5,FALSE),0)/1000+ROUND(AR22,3)))))</f>
        <v/>
      </c>
      <c r="AU22" s="18" t="str">
        <f>IF(OR(NOT(EXACT(UPPER(AQ22),"TBM")),AR22=""),IF(AND(AR22&lt;&gt;"",AS22="",AT22&lt;&gt;""),"",IF(AND(AR22="",AS22&lt;&gt;"",AT22&lt;&gt;""),ROUND(ROUND(AT22,3)-ROUND(AS22,3),3)*1000,IF(AND(AR22&lt;&gt;"",AS22&lt;&gt;"",AT22&lt;&gt;""),ROUND(ROUND(AT21,3)-ROUND(AS22,3),3)*1000,""))),"")</f>
        <v/>
      </c>
      <c r="AV22" s="45" t="str">
        <f>IF(AND(NOT(ISNA(VLOOKUP(AQ22,A6:E105,5,FALSE))),AR22="",AS22&lt;&gt;""),ROUND((VLOOKUP(AQ22,A6:E105,5,FALSE)-AU22)/1000,3),IF(AND(NOT(ISNA(VLOOKUP(AQ22,G6:K105,5,FALSE))),AR22="",AS22&lt;&gt;""),ROUND((VLOOKUP(AQ22,G6:K105,5,FALSE)-AU22)/1000,3),IF(AND(NOT(ISNA(VLOOKUP(AQ22,M6:Q105,5,FALSE))),AR22="",AS22&lt;&gt;""),ROUND((VLOOKUP(AQ22,M6:Q105,5,FALSE)-AU22)/1000,3),IF(AND(NOT(ISNA(VLOOKUP(AQ22,S6:W105,5,FALSE))),AR22="",AS22&lt;&gt;""),ROUND((VLOOKUP(AQ22,S6:W105,5,FALSE)-AU22)/1000,3),IF(AND(NOT(ISNA(VLOOKUP(AQ22,Y6:AC105,5,FALSE))),AR22="",AS22&lt;&gt;""),ROUND((VLOOKUP(AQ22,Y6:AC105,5,FALSE)-AU22)/1000,3),IF(AND(NOT(ISNA(VLOOKUP(AQ22,AE6:AI105,5,FALSE))),AR22="",AS22&lt;&gt;""),ROUND((VLOOKUP(AQ22,AE6:AI105,5,FALSE)-AU22)/1000,3),IF(AND(NOT(ISNA(VLOOKUP(AQ22,AK6:AO105,5,FALSE))),AR22="",AS22&lt;&gt;""),ROUND((VLOOKUP(AQ22,AK6:AO105,5,FALSE)-AU22)/1000,3),IF(AND(NOT(ISNA(VLOOKUP(AQ22,AQ6:AU21,5,FALSE))),AR22="",AS22&lt;&gt;""),ROUND((VLOOKUP(AQ22,AQ6:AU21,5,FALSE)-AU22)/1000,3),""))))))))</f>
        <v/>
      </c>
      <c r="AW22" s="19">
        <f>IF(AW21="","",AW21+1)</f>
        <v>816</v>
      </c>
      <c r="AX22" s="41"/>
      <c r="AY22" s="39"/>
      <c r="AZ22" s="15" t="str">
        <f>IF(AND(AX22&lt;&gt;"",AY22&lt;&gt;""),ROUND(AX22,3)+ROUND(AZ21,3)-ROUND(AY22,3),IF(AND(EXACT(UPPER(AW22),"TBM"),AX22&lt;&gt;""),ROUND(AX22,3),IF(AX22="",AZ21,IF(ISNA(VLOOKUP(AW22,A6:E105,5,FALSE)),IF(ISNA(VLOOKUP(AW22,G6:K105,5,FALSE)),IF(ISNA(VLOOKUP(AW22,M6:Q105,5,FALSE)),IF(ISNA(VLOOKUP(AW22,S6:W105,5,FALSE)),IF(ISNA(VLOOKUP(AW22,Y6:AC105,5,FALSE)),IF(ISNA(VLOOKUP(AW22,AE6:AI105,5,FALSE)),IF(ISNA(VLOOKUP(AW22,AK6:AO105,5,FALSE)),IF(ISNA(VLOOKUP(AW22,AQ6:AU105,5,FALSE)),IF(ISNA(VLOOKUP(AW22,AW6:BA21,5,FALSE)),"",ROUND(VLOOKUP(AW22,AW6:BA21,5,FALSE),0)/1000+ROUND(AX22,3)),ROUND(VLOOKUP(AW22,AQ6:AU105,5,FALSE),0)/1000+ROUND(AX22,3)),ROUND(VLOOKUP(AW22,AK6:AO105,5,FALSE),0)/1000+ROUND(AX22,3)),ROUND(VLOOKUP(AW22,AE6:AI105,5,FALSE),0)/1000+ROUND(AX22,3)),ROUND(VLOOKUP(AW22,Y6:AC105,5,FALSE),0)/1000+ROUND(AX22,3)),ROUND(VLOOKUP(AW22,S6:W105,5,FALSE),0)/1000+ROUND(AX22,3)),ROUND(VLOOKUP(AW22,M6:Q105,5,FALSE),0)/1000+ROUND(AX22,3)),ROUND(VLOOKUP(AW22,G6:K105,5,FALSE),0)/1000+ROUND(AX22,3)),ROUND(VLOOKUP(AW22,A6:E105,5,FALSE),0)/1000+ROUND(AX22,3)))))</f>
        <v/>
      </c>
      <c r="BA22" s="18" t="str">
        <f>IF(OR(NOT(EXACT(UPPER(AW22),"TBM")),AX22=""),IF(AND(AX22&lt;&gt;"",AY22="",AZ22&lt;&gt;""),"",IF(AND(AX22="",AY22&lt;&gt;"",AZ22&lt;&gt;""),ROUND(ROUND(AZ22,3)-ROUND(AY22,3),3)*1000,IF(AND(AX22&lt;&gt;"",AY22&lt;&gt;"",AZ22&lt;&gt;""),ROUND(ROUND(AZ21,3)-ROUND(AY22,3),3)*1000,""))),"")</f>
        <v/>
      </c>
      <c r="BB22" s="45" t="str">
        <f>IF(AND(NOT(ISNA(VLOOKUP(AW22,A6:E105,5,FALSE))),AX22="",AY22&lt;&gt;""),ROUND((VLOOKUP(AW22,A6:E105,5,FALSE)-BA22)/1000,3),IF(AND(NOT(ISNA(VLOOKUP(AW22,G6:K105,5,FALSE))),AX22="",AY22&lt;&gt;""),ROUND((VLOOKUP(AW22,G6:K105,5,FALSE)-BA22)/1000,3),IF(AND(NOT(ISNA(VLOOKUP(AW22,M6:Q105,5,FALSE))),AX22="",AY22&lt;&gt;""),ROUND((VLOOKUP(AW22,M6:Q105,5,FALSE)-BA22)/1000,3),IF(AND(NOT(ISNA(VLOOKUP(AW22,S6:W105,5,FALSE))),AX22="",AY22&lt;&gt;""),ROUND((VLOOKUP(AW22,S6:W105,5,FALSE)-BA22)/1000,3),IF(AND(NOT(ISNA(VLOOKUP(AW22,Y6:AC105,5,FALSE))),AX22="",AY22&lt;&gt;""),ROUND((VLOOKUP(AW22,Y6:AC105,5,FALSE)-BA22)/1000,3),IF(AND(NOT(ISNA(VLOOKUP(AW22,AE6:AI105,5,FALSE))),AX22="",AY22&lt;&gt;""),ROUND((VLOOKUP(AW22,AE6:AI105,5,FALSE)-BA22)/1000,3),IF(AND(NOT(ISNA(VLOOKUP(AW22,AK6:AO105,5,FALSE))),AX22="",AY22&lt;&gt;""),ROUND((VLOOKUP(AW22,AK6:AO105,5,FALSE)-BA22)/1000,3),IF(AND(NOT(ISNA(VLOOKUP(AW22,AQ6:AU105,5,FALSE))),AX22="",AY22&lt;&gt;""),ROUND((VLOOKUP(AW22,AQ6:AU105,5,FALSE)-BA22)/1000,3),IF(AND(NOT(ISNA(VLOOKUP(AW22,AW6:BA21,5,FALSE))),AX22="",AY22&lt;&gt;""),ROUND((VLOOKUP(AW22,AW6:BA21,5,FALSE)-BA22)/1000,3),"")))))))))</f>
        <v/>
      </c>
      <c r="BC22" s="19">
        <f>IF(BC21="","",BC21+1)</f>
        <v>916</v>
      </c>
      <c r="BD22" s="41"/>
      <c r="BE22" s="39"/>
      <c r="BF22" s="15" t="str">
        <f>IF(AND(BD22&lt;&gt;"",BE22&lt;&gt;""),ROUND(BD22,3)+ROUND(BF21,3)-ROUND(BE22,3),IF(AND(EXACT(UPPER(BC22),"TBM"),BD22&lt;&gt;""),ROUND(BD22,3),IF(BD22="",BF21,IF(ISNA(VLOOKUP(BC22,A6:E105,5,FALSE)),IF(ISNA(VLOOKUP(BC22,G6:K105,5,FALSE)),IF(ISNA(VLOOKUP(BC22,M6:Q105,5,FALSE)),IF(ISNA(VLOOKUP(BC22,S6:W105,5,FALSE)),IF(ISNA(VLOOKUP(BC22,Y6:AC105,5,FALSE)),IF(ISNA(VLOOKUP(BC22,AE6:AI105,5,FALSE)),IF(ISNA(VLOOKUP(BC22,AK6:AO105,5,FALSE)),IF(ISNA(VLOOKUP(BC22,AQ6:AU105,5,FALSE)),IF(ISNA(VLOOKUP(BC22,AW6:BA105,5,FALSE)),IF(ISNA(VLOOKUP(BC22,BC6:BG21,5,FALSE)),"",ROUND(VLOOKUP(BC22,BC6:BG21,5,FALSE),0)/1000+ROUND(BD22,3)),ROUND(VLOOKUP(BC22,AW6:BA105,5,FALSE),0)/1000+ROUND(BD22,3)),ROUND(VLOOKUP(BC22,AQ6:AU105,5,FALSE),0)/1000+ROUND(BD22,3)),ROUND(VLOOKUP(BC22,AK6:AO105,5,FALSE),0)/1000+ROUND(BD22,3)),ROUND(VLOOKUP(BC22,AE6:AI105,5,FALSE),0)/1000+ROUND(BD22,3)),ROUND(VLOOKUP(BC22,Y6:AC105,5,FALSE),0)/1000+ROUND(BD22,3)),ROUND(VLOOKUP(BC22,S6:W105,5,FALSE),0)/1000+ROUND(BD22,3)),ROUND(VLOOKUP(BC22,M6:Q105,5,FALSE),0)/1000+ROUND(BD22,3)),ROUND(VLOOKUP(BC22,G6:K105,5,FALSE),0)/1000+ROUND(BD22,3)),ROUND(VLOOKUP(BC22,A6:E105,5,FALSE),0)/1000+ROUND(BD22,3)))))</f>
        <v/>
      </c>
      <c r="BG22" s="18" t="str">
        <f>IF(OR(NOT(EXACT(UPPER(BC22),"TBM")),BD22=""),IF(AND(BD22&lt;&gt;"",BE22="",BF22&lt;&gt;""),"",IF(AND(BD22="",BE22&lt;&gt;"",BF22&lt;&gt;""),ROUND(ROUND(BF22,3)-ROUND(BE22,3),3)*1000,IF(AND(BD22&lt;&gt;"",BE22&lt;&gt;"",BF22&lt;&gt;""),ROUND(ROUND(BF21,3)-ROUND(BE22,3),3)*1000,""))),"")</f>
        <v/>
      </c>
      <c r="BH22" s="45" t="str">
        <f>IF(AND(NOT(ISNA(VLOOKUP(BC22,A6:E105,5,FALSE))),BD22="",BE22&lt;&gt;""),ROUND((VLOOKUP(BC22,A6:E105,5,FALSE)-BG22)/1000,3),IF(AND(NOT(ISNA(VLOOKUP(BC22,G6:K105,5,FALSE))),BD22="",BE22&lt;&gt;""),ROUND((VLOOKUP(BC22,G6:K105,5,FALSE)-BG22)/1000,3),IF(AND(NOT(ISNA(VLOOKUP(BC22,M6:Q105,5,FALSE))),BD22="",BE22&lt;&gt;""),ROUND((VLOOKUP(BC22,M6:Q105,5,FALSE)-BG22)/1000,3),IF(AND(NOT(ISNA(VLOOKUP(BC22,S6:W105,5,FALSE))),BD22="",BE22&lt;&gt;""),ROUND((VLOOKUP(BC22,S6:W105,5,FALSE)-BG22)/1000,3),IF(AND(NOT(ISNA(VLOOKUP(BC22,Y6:AC105,5,FALSE))),BD22="",BE22&lt;&gt;""),ROUND((VLOOKUP(BC22,Y6:AC105,5,FALSE)-BG22)/1000,3),IF(AND(NOT(ISNA(VLOOKUP(BC22,AE6:AI105,5,FALSE))),BD22="",BE22&lt;&gt;""),ROUND((VLOOKUP(BC22,AE6:AI105,5,FALSE)-BG22)/1000,3),IF(AND(NOT(ISNA(VLOOKUP(BC22,AK6:AO105,5,FALSE))),BD22="",BE22&lt;&gt;""),ROUND((VLOOKUP(BC22,AK6:AO105,5,FALSE)-BG22)/1000,3),IF(AND(NOT(ISNA(VLOOKUP(BC22,AQ6:AU105,5,FALSE))),BD22="",BE22&lt;&gt;""),ROUND((VLOOKUP(BC22,AQ6:AU105,5,FALSE)-BG22)/1000,3),IF(AND(NOT(ISNA(VLOOKUP(BC22,AW6:BA105,5,FALSE))),BD22="",BE22&lt;&gt;""),ROUND((VLOOKUP(BC22,AW6:BA105,5,FALSE)-BG22)/1000,3),IF(AND(NOT(ISNA(VLOOKUP(BC22,BC6:BG21,5,FALSE))),BD22="",BE22&lt;&gt;""),ROUND((VLOOKUP(BC22,BC6:BG21,5,FALSE)-BG22)/1000,3),""))))))))))</f>
        <v/>
      </c>
    </row>
    <row r="23" spans="1:60" x14ac:dyDescent="0.25">
      <c r="A23" s="19">
        <f t="shared" si="3"/>
        <v>17</v>
      </c>
      <c r="B23" s="39"/>
      <c r="C23" s="39"/>
      <c r="D23" s="15" t="str">
        <f>IF(AND(B23&lt;&gt;"",C23&lt;&gt;""),ROUND(B23,3)+ROUND(D22,3)-ROUND(C23,3),IF(AND(EXACT(UPPER(A23),"TBM"),B23&lt;&gt;""),ROUND(B23,3),IF(B23="",D22,IF(ISNA(VLOOKUP(A23,A6:E22,5,FALSE)),"",ROUND(VLOOKUP(A23,A6:E22,5,FALSE),0)/1000+ROUND(B23,3)))))</f>
        <v/>
      </c>
      <c r="E23" s="22" t="str">
        <f t="shared" si="0"/>
        <v/>
      </c>
      <c r="F23" s="44" t="str">
        <f>IF(AND(NOT(ISNA(VLOOKUP(A23,A6:E22,5,FALSE))),B23="",C23&lt;&gt;""),ROUND((VLOOKUP(A23,A6:E22,5,FALSE)-E23)/1000,3),"")</f>
        <v/>
      </c>
      <c r="G23" s="19">
        <f t="shared" si="1"/>
        <v>117</v>
      </c>
      <c r="H23" s="42"/>
      <c r="I23" s="43"/>
      <c r="J23" s="15" t="str">
        <f>IF(AND(H23&lt;&gt;"",I23&lt;&gt;""),ROUND(H23,3)+ROUND(J22,3)-ROUND(I23,3),IF(AND(EXACT(UPPER(G23),"TBM"),H23&lt;&gt;""),ROUND(H23,3),IF(H23="",J22,IF(ISNA(VLOOKUP(G23,A6:E105,5,FALSE)),IF(ISNA(VLOOKUP(G23,G6:K22,5,FALSE)),"",ROUND(VLOOKUP(G23,G6:K22,5,FALSE),0)/1000+ROUND(H23,3)),ROUND(VLOOKUP(G23,A6:E105,5,FALSE),0)/1000+ROUND(H23,3)))))</f>
        <v/>
      </c>
      <c r="K23" s="18" t="str">
        <f t="shared" si="2"/>
        <v/>
      </c>
      <c r="L23" s="44" t="str">
        <f>IF(AND(NOT(ISNA(VLOOKUP(G23,A6:E105,5,FALSE))),H23="",I23&lt;&gt;""),ROUND((VLOOKUP(G23,A6:E105,5,FALSE)-K23)/1000,3),IF(AND(NOT(ISNA(VLOOKUP(G23,G6:K22,5,FALSE))),H23="",I23&lt;&gt;""),ROUND((VLOOKUP(G23,G6:K22,5,FALSE)-K23)/1000,3),""))</f>
        <v/>
      </c>
      <c r="M23" s="19">
        <f>IF(M22="","",M22+1)</f>
        <v>217</v>
      </c>
      <c r="N23" s="42"/>
      <c r="O23" s="43"/>
      <c r="P23" s="15" t="str">
        <f>IF(AND(N23&lt;&gt;"",O23&lt;&gt;""),ROUND(N23,3)+ROUND(P22,3)-ROUND(O23,3),IF(AND(EXACT(UPPER(M23),"TBM"),N23&lt;&gt;""),ROUND(N23,3),IF(N23="",P22,IF(ISNA(VLOOKUP(M23,A6:E105,5,FALSE)),IF(ISNA(VLOOKUP(M23,G6:K105,5,FALSE)),IF(ISNA(VLOOKUP(M23,M6:Q22,5,FALSE)),"",ROUND(VLOOKUP(M23,M6:Q22,5,FALSE),0)/1000+ROUND(N23,3)),ROUND(VLOOKUP(M23,G6:K105,5,FALSE),0)/1000+ROUND(N23,3)),ROUND(VLOOKUP(M23,A6:E105,5,FALSE),0)/1000+ROUND(N23,3)))))</f>
        <v/>
      </c>
      <c r="Q23" s="18" t="str">
        <f>IF(OR(NOT(EXACT(UPPER(M23),"TBM")),N23=""),IF(AND(N23&lt;&gt;"",O23="",P23&lt;&gt;""),"",IF(AND(N23="",O23&lt;&gt;"",P23&lt;&gt;""),ROUND(ROUND(P23,3)-ROUND(O23,3),3)*1000,IF(AND(N23&lt;&gt;"",O23&lt;&gt;"",P23&lt;&gt;""),ROUND(ROUND(P22,3)-ROUND(O23,3),3)*1000,""))),"")</f>
        <v/>
      </c>
      <c r="R23" s="44" t="str">
        <f>IF(AND(NOT(ISNA(VLOOKUP(M23,A6:E105,5,FALSE))),N23="",O23&lt;&gt;""),ROUND((VLOOKUP(M23,A6:E105,5,FALSE)-Q23)/1000,3),IF(AND(NOT(ISNA(VLOOKUP(M23,G6:K105,5,FALSE))),N23="",O23&lt;&gt;""),ROUND((VLOOKUP(M23,G6:K105,5,FALSE)-Q23)/1000,3),IF(AND(NOT(ISNA(VLOOKUP(M23,M6:Q22,5,FALSE))),N23="",O23&lt;&gt;""),ROUND((VLOOKUP(M23,M6:Q22,5,FALSE)-Q23)/1000,3),"")))</f>
        <v/>
      </c>
      <c r="S23" s="19">
        <f>IF(S22="","",S22+1)</f>
        <v>317</v>
      </c>
      <c r="T23" s="42"/>
      <c r="U23" s="43"/>
      <c r="V23" s="15" t="str">
        <f>IF(AND(T23&lt;&gt;"",U23&lt;&gt;""),ROUND(T23,3)+ROUND(V22,3)-ROUND(U23,3),IF(AND(EXACT(UPPER(S23),"TBM"),T23&lt;&gt;""),ROUND(T23,3),IF(T23="",V22,IF(ISNA(VLOOKUP(S23,A6:E105,5,FALSE)),IF(ISNA(VLOOKUP(S23,G6:K105,5,FALSE)),IF(ISNA(VLOOKUP(S23,M6:Q105,5,FALSE)),IF(ISNA(VLOOKUP(S23,S6:W22,5,FALSE)),"",ROUND(VLOOKUP(S23,S6:W22,5,FALSE),0)/1000+ROUND(T23,3)),ROUND(VLOOKUP(S23,M6:Q105,5,FALSE),0)/1000+ROUND(T23,3)),ROUND(VLOOKUP(S23,G6:K105,5,FALSE),0)/1000+ROUND(T23,3)),ROUND(VLOOKUP(S23,A6:E105,5,FALSE),0)/1000+ROUND(T23,3)))))</f>
        <v/>
      </c>
      <c r="W23" s="18" t="str">
        <f>IF(OR(NOT(EXACT(UPPER(S23),"TBM")),T23=""),IF(AND(T23&lt;&gt;"",U23="",V23&lt;&gt;""),"",IF(AND(T23="",U23&lt;&gt;"",V23&lt;&gt;""),ROUND(ROUND(V23,3)-ROUND(U23,3),3)*1000,IF(AND(T23&lt;&gt;"",U23&lt;&gt;"",V23&lt;&gt;""),ROUND(ROUND(V22,3)-ROUND(U23,3),3)*1000,""))),"")</f>
        <v/>
      </c>
      <c r="X23" s="44" t="str">
        <f>IF(AND(NOT(ISNA(VLOOKUP(S23,A6:E105,5,FALSE))),T23="",U23&lt;&gt;""),ROUND((VLOOKUP(S23,A6:E105,5,FALSE)-W23)/1000,3),IF(AND(NOT(ISNA(VLOOKUP(S23,G6:K105,5,FALSE))),T23="",U23&lt;&gt;""),ROUND((VLOOKUP(S23,G6:K105,5,FALSE)-W23)/1000,3),IF(AND(NOT(ISNA(VLOOKUP(S23,M6:Q105,5,FALSE))),T23="",U23&lt;&gt;""),ROUND((VLOOKUP(S23,M6:Q105,5,FALSE)-W23)/1000,3),IF(AND(NOT(ISNA(VLOOKUP(S23,S6:W22,5,FALSE))),T23="",U23&lt;&gt;""),ROUND((VLOOKUP(S23,S6:W22,5,FALSE)-W23)/1000,3),""))))</f>
        <v/>
      </c>
      <c r="Y23" s="19">
        <f>IF(Y22="","",Y22+1)</f>
        <v>417</v>
      </c>
      <c r="Z23" s="42"/>
      <c r="AA23" s="43"/>
      <c r="AB23" s="15" t="str">
        <f>IF(AND(Z23&lt;&gt;"",AA23&lt;&gt;""),ROUND(Z23,3)+ROUND(AB22,3)-ROUND(AA23,3),IF(AND(EXACT(UPPER(Y23),"TBM"),Z23&lt;&gt;""),ROUND(Z23,3),IF(Z23="",AB22,IF(ISNA(VLOOKUP(Y23,A6:E105,5,FALSE)),IF(ISNA(VLOOKUP(Y23,G6:K105,5,FALSE)),IF(ISNA(VLOOKUP(Y23,M6:Q105,5,FALSE)),IF(ISNA(VLOOKUP(Y23,S6:W105,5,FALSE)),IF(ISNA(VLOOKUP(Y23,Y6:AC22,5,FALSE)),"",ROUND(VLOOKUP(Y23,Y6:AC22,5,FALSE),0)/1000+ROUND(Z23,3)),ROUND(VLOOKUP(Y23,S6:W105,5,FALSE),0)/1000+ROUND(Z23,3)),ROUND(VLOOKUP(Y23,M6:Q105,5,FALSE),0)/1000+ROUND(Z23,3)),ROUND(VLOOKUP(Y23,G6:K105,5,FALSE),0)/1000+ROUND(Z23,3)),ROUND(VLOOKUP(Y23,A6:E105,5,FALSE),0)/1000+ROUND(Z23,3)))))</f>
        <v/>
      </c>
      <c r="AC23" s="18" t="str">
        <f>IF(OR(NOT(EXACT(UPPER(Y23),"TBM")),Z23=""),IF(AND(Z23&lt;&gt;"",AA23="",AB23&lt;&gt;""),"",IF(AND(Z23="",AA23&lt;&gt;"",AB23&lt;&gt;""),ROUND(ROUND(AB23,3)-ROUND(AA23,3),3)*1000,IF(AND(Z23&lt;&gt;"",AA23&lt;&gt;"",AB23&lt;&gt;""),ROUND(ROUND(AB22,3)-ROUND(AA23,3),3)*1000,""))),"")</f>
        <v/>
      </c>
      <c r="AD23" s="44" t="str">
        <f>IF(AND(NOT(ISNA(VLOOKUP(Y23,A6:E105,5,FALSE))),Z23="",AA23&lt;&gt;""),ROUND((VLOOKUP(Y23,A6:E105,5,FALSE)-AC23)/1000,3),IF(AND(NOT(ISNA(VLOOKUP(Y23,G6:K105,5,FALSE))),Z23="",AA23&lt;&gt;""),ROUND((VLOOKUP(Y23,G6:K105,5,FALSE)-AC23)/1000,3),IF(AND(NOT(ISNA(VLOOKUP(Y23,M6:Q105,5,FALSE))),Z23="",AA23&lt;&gt;""),ROUND((VLOOKUP(Y23,M6:Q105,5,FALSE)-AC23)/1000,3),IF(AND(NOT(ISNA(VLOOKUP(Y23,S6:W105,5,FALSE))),Z23="",AA23&lt;&gt;""),ROUND((VLOOKUP(Y23,S6:W105,5,FALSE)-AC23)/1000,3),IF(AND(NOT(ISNA(VLOOKUP(Y23,Y6:AC22,5,FALSE))),Z23="",AA23&lt;&gt;""),ROUND((VLOOKUP(Y23,Y6:AC22,5,FALSE)-AC23)/1000,3),"")))))</f>
        <v/>
      </c>
      <c r="AE23" s="19">
        <f>IF(AE22="","",AE22+1)</f>
        <v>517</v>
      </c>
      <c r="AF23" s="42"/>
      <c r="AG23" s="43"/>
      <c r="AH23" s="15" t="str">
        <f>IF(AND(AF23&lt;&gt;"",AG23&lt;&gt;""),ROUND(AF23,3)+ROUND(AH22,3)-ROUND(AG23,3),IF(AND(EXACT(UPPER(AE23),"TBM"),AF23&lt;&gt;""),ROUND(AF23,3),IF(AF23="",AH22,IF(ISNA(VLOOKUP(AE23,A6:E105,5,FALSE)),IF(ISNA(VLOOKUP(AE23,G6:K105,5,FALSE)),IF(ISNA(VLOOKUP(AE23,M6:Q105,5,FALSE)),IF(ISNA(VLOOKUP(AE23,S6:W105,5,FALSE)),IF(ISNA(VLOOKUP(AE23,Y6:AC105,5,FALSE)),IF(ISNA(VLOOKUP(AE23,AE6:AI22,5,FALSE)),"",ROUND(VLOOKUP(AE23,AE6:AI22,5,FALSE),0)/1000+ROUND(AF23,3)),ROUND(VLOOKUP(AE23,Y6:AC105,5,FALSE),0)/1000+ROUND(AF23,3)),ROUND(VLOOKUP(AE23,S6:W105,5,FALSE),0)/1000+ROUND(AF23,3)),ROUND(VLOOKUP(AE23,M6:Q105,5,FALSE),0)/1000+ROUND(AF23,3)),ROUND(VLOOKUP(AE23,G6:K105,5,FALSE),0)/1000+ROUND(AF23,3)),ROUND(VLOOKUP(AE23,A6:E105,5,FALSE),0)/1000+ROUND(AF23,3)))))</f>
        <v/>
      </c>
      <c r="AI23" s="18" t="str">
        <f>IF(OR(NOT(EXACT(UPPER(AE23),"TBM")),AF23=""),IF(AND(AF23&lt;&gt;"",AG23="",AH23&lt;&gt;""),"",IF(AND(AF23="",AG23&lt;&gt;"",AH23&lt;&gt;""),ROUND(ROUND(AH23,3)-ROUND(AG23,3),3)*1000,IF(AND(AF23&lt;&gt;"",AG23&lt;&gt;"",AH23&lt;&gt;""),ROUND(ROUND(AH22,3)-ROUND(AG23,3),3)*1000,""))),"")</f>
        <v/>
      </c>
      <c r="AJ23" s="44" t="str">
        <f>IF(AND(NOT(ISNA(VLOOKUP(AE23,A6:E105,5,FALSE))),AF23="",AG23&lt;&gt;""),ROUND((VLOOKUP(AE23,A6:E105,5,FALSE)-AI23)/1000,3),IF(AND(NOT(ISNA(VLOOKUP(AE23,G6:K105,5,FALSE))),AF23="",AG23&lt;&gt;""),ROUND((VLOOKUP(AE23,G6:K105,5,FALSE)-AI23)/1000,3),IF(AND(NOT(ISNA(VLOOKUP(AE23,M6:Q105,5,FALSE))),AF23="",AG23&lt;&gt;""),ROUND((VLOOKUP(AE23,M6:Q105,5,FALSE)-AI23)/1000,3),IF(AND(NOT(ISNA(VLOOKUP(AE23,S6:W105,5,FALSE))),AF23="",AG23&lt;&gt;""),ROUND((VLOOKUP(AE23,S6:W105,5,FALSE)-AI23)/1000,3),IF(AND(NOT(ISNA(VLOOKUP(AE23,Y6:AC105,5,FALSE))),AF23="",AG23&lt;&gt;""),ROUND((VLOOKUP(AE23,Y6:AC105,5,FALSE)-AI23)/1000,3),IF(AND(NOT(ISNA(VLOOKUP(AE23,AE6:AI22,5,FALSE))),AF23="",AG23&lt;&gt;""),ROUND((VLOOKUP(AE23,AE6:AI22,5,FALSE)-AI23)/1000,3),""))))))</f>
        <v/>
      </c>
      <c r="AK23" s="19">
        <f>IF(AK22="","",AK22+1)</f>
        <v>617</v>
      </c>
      <c r="AL23" s="42"/>
      <c r="AM23" s="43"/>
      <c r="AN23" s="15" t="str">
        <f>IF(AND(AL23&lt;&gt;"",AM23&lt;&gt;""),ROUND(AL23,3)+ROUND(AN22,3)-ROUND(AM23,3),IF(AND(EXACT(UPPER(AK23),"TBM"),AL23&lt;&gt;""),ROUND(AL23,3),IF(AL23="",AN22,IF(ISNA(VLOOKUP(AK23,A6:E105,5,FALSE)),IF(ISNA(VLOOKUP(AK23,G6:K105,5,FALSE)),IF(ISNA(VLOOKUP(AK23,M6:Q105,5,FALSE)),IF(ISNA(VLOOKUP(AK23,S6:W105,5,FALSE)),IF(ISNA(VLOOKUP(AK23,Y6:AC105,5,FALSE)),IF(ISNA(VLOOKUP(AK23,AE6:AI105,5,FALSE)),IF(ISNA(VLOOKUP(AK23,AK6:AO22,5,FALSE)),"",ROUND(VLOOKUP(AK23,AK6:AO22,5,FALSE),0)/1000+ROUND(AL23,3)),ROUND(VLOOKUP(AK23,AE6:AI105,5,FALSE),0)/1000+ROUND(AL23,3)),ROUND(VLOOKUP(AK23,Y6:AC105,5,FALSE),0)/1000+ROUND(AL23,3)),ROUND(VLOOKUP(AK23,S6:W105,5,FALSE),0)/1000+ROUND(AL23,3)),ROUND(VLOOKUP(AK23,M6:Q105,5,FALSE),0)/1000+ROUND(AL23,3)),ROUND(VLOOKUP(AK23,G6:K105,5,FALSE),0)/1000+ROUND(AL23,3)),ROUND(VLOOKUP(AK23,A6:E105,5,FALSE),0)/1000+ROUND(AL23,3)))))</f>
        <v/>
      </c>
      <c r="AO23" s="18" t="str">
        <f>IF(OR(NOT(EXACT(UPPER(AK23),"TBM")),AL23=""),IF(AND(AL23&lt;&gt;"",AM23="",AN23&lt;&gt;""),"",IF(AND(AL23="",AM23&lt;&gt;"",AN23&lt;&gt;""),ROUND(ROUND(AN23,3)-ROUND(AM23,3),3)*1000,IF(AND(AL23&lt;&gt;"",AM23&lt;&gt;"",AN23&lt;&gt;""),ROUND(ROUND(AN22,3)-ROUND(AM23,3),3)*1000,""))),"")</f>
        <v/>
      </c>
      <c r="AP23" s="44" t="str">
        <f>IF(AND(NOT(ISNA(VLOOKUP(AK23,A6:E105,5,FALSE))),AL23="",AM23&lt;&gt;""),ROUND((VLOOKUP(AK23,A6:E105,5,FALSE)-AO23)/1000,3),IF(AND(NOT(ISNA(VLOOKUP(AK23,G6:K105,5,FALSE))),AL23="",AM23&lt;&gt;""),ROUND((VLOOKUP(AK23,G6:K105,5,FALSE)-AO23)/1000,3),IF(AND(NOT(ISNA(VLOOKUP(AK23,M6:Q105,5,FALSE))),AL23="",AM23&lt;&gt;""),ROUND((VLOOKUP(AK23,M6:Q105,5,FALSE)-AO23)/1000,3),IF(AND(NOT(ISNA(VLOOKUP(AK23,S6:W105,5,FALSE))),AL23="",AM23&lt;&gt;""),ROUND((VLOOKUP(AK23,S6:W105,5,FALSE)-AO23)/1000,3),IF(AND(NOT(ISNA(VLOOKUP(AK23,Y6:AC105,5,FALSE))),AL23="",AM23&lt;&gt;""),ROUND((VLOOKUP(AK23,Y6:AC105,5,FALSE)-AO23)/1000,3),IF(AND(NOT(ISNA(VLOOKUP(AK23,AE6:AI105,5,FALSE))),AL23="",AM23&lt;&gt;""),ROUND((VLOOKUP(AK23,AE6:AI105,5,FALSE)-AO23)/1000,3),IF(AND(NOT(ISNA(VLOOKUP(AK23,AK6:AO22,5,FALSE))),AL23="",AM23&lt;&gt;""),ROUND((VLOOKUP(AK23,AK6:AO22,5,FALSE)-AO23)/1000,3),"")))))))</f>
        <v/>
      </c>
      <c r="AQ23" s="19">
        <f>IF(AQ22="","",AQ22+1)</f>
        <v>717</v>
      </c>
      <c r="AR23" s="42"/>
      <c r="AS23" s="43"/>
      <c r="AT23" s="15" t="str">
        <f>IF(AND(AR23&lt;&gt;"",AS23&lt;&gt;""),ROUND(AR23,3)+ROUND(AT22,3)-ROUND(AS23,3),IF(AND(EXACT(UPPER(AQ23),"TBM"),AR23&lt;&gt;""),ROUND(AR23,3),IF(AR23="",AT22,IF(ISNA(VLOOKUP(AQ23,A6:E105,5,FALSE)),IF(ISNA(VLOOKUP(AQ23,G6:K105,5,FALSE)),IF(ISNA(VLOOKUP(AQ23,M6:Q105,5,FALSE)),IF(ISNA(VLOOKUP(AQ23,S6:W105,5,FALSE)),IF(ISNA(VLOOKUP(AQ23,Y6:AC105,5,FALSE)),IF(ISNA(VLOOKUP(AQ23,AE6:AI105,5,FALSE)),IF(ISNA(VLOOKUP(AQ23,AK6:AO105,5,FALSE)),IF(ISNA(VLOOKUP(AQ23,AQ6:AU22,5,FALSE)),"",ROUND(VLOOKUP(AQ23,AQ6:AU22,5,FALSE),0)/1000+ROUND(AR23,3)),ROUND(VLOOKUP(AQ23,AK6:AO105,5,FALSE),0)/1000+ROUND(AR23,3)),ROUND(VLOOKUP(AQ23,AE6:AI105,5,FALSE),0)/1000+ROUND(AR23,3)),ROUND(VLOOKUP(AQ23,Y6:AC105,5,FALSE),0)/1000+ROUND(AR23,3)),ROUND(VLOOKUP(AQ23,S6:W105,5,FALSE),0)/1000+ROUND(AR23,3)),ROUND(VLOOKUP(AQ23,M6:Q105,5,FALSE),0)/1000+ROUND(AR23,3)),ROUND(VLOOKUP(AQ23,G6:K105,5,FALSE),0)/1000+ROUND(AR23,3)),ROUND(VLOOKUP(AQ23,A6:E105,5,FALSE),0)/1000+ROUND(AR23,3)))))</f>
        <v/>
      </c>
      <c r="AU23" s="18" t="str">
        <f>IF(OR(NOT(EXACT(UPPER(AQ23),"TBM")),AR23=""),IF(AND(AR23&lt;&gt;"",AS23="",AT23&lt;&gt;""),"",IF(AND(AR23="",AS23&lt;&gt;"",AT23&lt;&gt;""),ROUND(ROUND(AT23,3)-ROUND(AS23,3),3)*1000,IF(AND(AR23&lt;&gt;"",AS23&lt;&gt;"",AT23&lt;&gt;""),ROUND(ROUND(AT22,3)-ROUND(AS23,3),3)*1000,""))),"")</f>
        <v/>
      </c>
      <c r="AV23" s="44" t="str">
        <f>IF(AND(NOT(ISNA(VLOOKUP(AQ23,A6:E105,5,FALSE))),AR23="",AS23&lt;&gt;""),ROUND((VLOOKUP(AQ23,A6:E105,5,FALSE)-AU23)/1000,3),IF(AND(NOT(ISNA(VLOOKUP(AQ23,G6:K105,5,FALSE))),AR23="",AS23&lt;&gt;""),ROUND((VLOOKUP(AQ23,G6:K105,5,FALSE)-AU23)/1000,3),IF(AND(NOT(ISNA(VLOOKUP(AQ23,M6:Q105,5,FALSE))),AR23="",AS23&lt;&gt;""),ROUND((VLOOKUP(AQ23,M6:Q105,5,FALSE)-AU23)/1000,3),IF(AND(NOT(ISNA(VLOOKUP(AQ23,S6:W105,5,FALSE))),AR23="",AS23&lt;&gt;""),ROUND((VLOOKUP(AQ23,S6:W105,5,FALSE)-AU23)/1000,3),IF(AND(NOT(ISNA(VLOOKUP(AQ23,Y6:AC105,5,FALSE))),AR23="",AS23&lt;&gt;""),ROUND((VLOOKUP(AQ23,Y6:AC105,5,FALSE)-AU23)/1000,3),IF(AND(NOT(ISNA(VLOOKUP(AQ23,AE6:AI105,5,FALSE))),AR23="",AS23&lt;&gt;""),ROUND((VLOOKUP(AQ23,AE6:AI105,5,FALSE)-AU23)/1000,3),IF(AND(NOT(ISNA(VLOOKUP(AQ23,AK6:AO105,5,FALSE))),AR23="",AS23&lt;&gt;""),ROUND((VLOOKUP(AQ23,AK6:AO105,5,FALSE)-AU23)/1000,3),IF(AND(NOT(ISNA(VLOOKUP(AQ23,AQ6:AU22,5,FALSE))),AR23="",AS23&lt;&gt;""),ROUND((VLOOKUP(AQ23,AQ6:AU22,5,FALSE)-AU23)/1000,3),""))))))))</f>
        <v/>
      </c>
      <c r="AW23" s="19">
        <f>IF(AW22="","",AW22+1)</f>
        <v>817</v>
      </c>
      <c r="AX23" s="42"/>
      <c r="AY23" s="43"/>
      <c r="AZ23" s="15" t="str">
        <f>IF(AND(AX23&lt;&gt;"",AY23&lt;&gt;""),ROUND(AX23,3)+ROUND(AZ22,3)-ROUND(AY23,3),IF(AND(EXACT(UPPER(AW23),"TBM"),AX23&lt;&gt;""),ROUND(AX23,3),IF(AX23="",AZ22,IF(ISNA(VLOOKUP(AW23,A6:E105,5,FALSE)),IF(ISNA(VLOOKUP(AW23,G6:K105,5,FALSE)),IF(ISNA(VLOOKUP(AW23,M6:Q105,5,FALSE)),IF(ISNA(VLOOKUP(AW23,S6:W105,5,FALSE)),IF(ISNA(VLOOKUP(AW23,Y6:AC105,5,FALSE)),IF(ISNA(VLOOKUP(AW23,AE6:AI105,5,FALSE)),IF(ISNA(VLOOKUP(AW23,AK6:AO105,5,FALSE)),IF(ISNA(VLOOKUP(AW23,AQ6:AU105,5,FALSE)),IF(ISNA(VLOOKUP(AW23,AW6:BA22,5,FALSE)),"",ROUND(VLOOKUP(AW23,AW6:BA22,5,FALSE),0)/1000+ROUND(AX23,3)),ROUND(VLOOKUP(AW23,AQ6:AU105,5,FALSE),0)/1000+ROUND(AX23,3)),ROUND(VLOOKUP(AW23,AK6:AO105,5,FALSE),0)/1000+ROUND(AX23,3)),ROUND(VLOOKUP(AW23,AE6:AI105,5,FALSE),0)/1000+ROUND(AX23,3)),ROUND(VLOOKUP(AW23,Y6:AC105,5,FALSE),0)/1000+ROUND(AX23,3)),ROUND(VLOOKUP(AW23,S6:W105,5,FALSE),0)/1000+ROUND(AX23,3)),ROUND(VLOOKUP(AW23,M6:Q105,5,FALSE),0)/1000+ROUND(AX23,3)),ROUND(VLOOKUP(AW23,G6:K105,5,FALSE),0)/1000+ROUND(AX23,3)),ROUND(VLOOKUP(AW23,A6:E105,5,FALSE),0)/1000+ROUND(AX23,3)))))</f>
        <v/>
      </c>
      <c r="BA23" s="18" t="str">
        <f>IF(OR(NOT(EXACT(UPPER(AW23),"TBM")),AX23=""),IF(AND(AX23&lt;&gt;"",AY23="",AZ23&lt;&gt;""),"",IF(AND(AX23="",AY23&lt;&gt;"",AZ23&lt;&gt;""),ROUND(ROUND(AZ23,3)-ROUND(AY23,3),3)*1000,IF(AND(AX23&lt;&gt;"",AY23&lt;&gt;"",AZ23&lt;&gt;""),ROUND(ROUND(AZ22,3)-ROUND(AY23,3),3)*1000,""))),"")</f>
        <v/>
      </c>
      <c r="BB23" s="44" t="str">
        <f>IF(AND(NOT(ISNA(VLOOKUP(AW23,A6:E105,5,FALSE))),AX23="",AY23&lt;&gt;""),ROUND((VLOOKUP(AW23,A6:E105,5,FALSE)-BA23)/1000,3),IF(AND(NOT(ISNA(VLOOKUP(AW23,G6:K105,5,FALSE))),AX23="",AY23&lt;&gt;""),ROUND((VLOOKUP(AW23,G6:K105,5,FALSE)-BA23)/1000,3),IF(AND(NOT(ISNA(VLOOKUP(AW23,M6:Q105,5,FALSE))),AX23="",AY23&lt;&gt;""),ROUND((VLOOKUP(AW23,M6:Q105,5,FALSE)-BA23)/1000,3),IF(AND(NOT(ISNA(VLOOKUP(AW23,S6:W105,5,FALSE))),AX23="",AY23&lt;&gt;""),ROUND((VLOOKUP(AW23,S6:W105,5,FALSE)-BA23)/1000,3),IF(AND(NOT(ISNA(VLOOKUP(AW23,Y6:AC105,5,FALSE))),AX23="",AY23&lt;&gt;""),ROUND((VLOOKUP(AW23,Y6:AC105,5,FALSE)-BA23)/1000,3),IF(AND(NOT(ISNA(VLOOKUP(AW23,AE6:AI105,5,FALSE))),AX23="",AY23&lt;&gt;""),ROUND((VLOOKUP(AW23,AE6:AI105,5,FALSE)-BA23)/1000,3),IF(AND(NOT(ISNA(VLOOKUP(AW23,AK6:AO105,5,FALSE))),AX23="",AY23&lt;&gt;""),ROUND((VLOOKUP(AW23,AK6:AO105,5,FALSE)-BA23)/1000,3),IF(AND(NOT(ISNA(VLOOKUP(AW23,AQ6:AU105,5,FALSE))),AX23="",AY23&lt;&gt;""),ROUND((VLOOKUP(AW23,AQ6:AU105,5,FALSE)-BA23)/1000,3),IF(AND(NOT(ISNA(VLOOKUP(AW23,AW6:BA22,5,FALSE))),AX23="",AY23&lt;&gt;""),ROUND((VLOOKUP(AW23,AW6:BA22,5,FALSE)-BA23)/1000,3),"")))))))))</f>
        <v/>
      </c>
      <c r="BC23" s="19">
        <f>IF(BC22="","",BC22+1)</f>
        <v>917</v>
      </c>
      <c r="BD23" s="42"/>
      <c r="BE23" s="43"/>
      <c r="BF23" s="15" t="str">
        <f>IF(AND(BD23&lt;&gt;"",BE23&lt;&gt;""),ROUND(BD23,3)+ROUND(BF22,3)-ROUND(BE23,3),IF(AND(EXACT(UPPER(BC23),"TBM"),BD23&lt;&gt;""),ROUND(BD23,3),IF(BD23="",BF22,IF(ISNA(VLOOKUP(BC23,A6:E105,5,FALSE)),IF(ISNA(VLOOKUP(BC23,G6:K105,5,FALSE)),IF(ISNA(VLOOKUP(BC23,M6:Q105,5,FALSE)),IF(ISNA(VLOOKUP(BC23,S6:W105,5,FALSE)),IF(ISNA(VLOOKUP(BC23,Y6:AC105,5,FALSE)),IF(ISNA(VLOOKUP(BC23,AE6:AI105,5,FALSE)),IF(ISNA(VLOOKUP(BC23,AK6:AO105,5,FALSE)),IF(ISNA(VLOOKUP(BC23,AQ6:AU105,5,FALSE)),IF(ISNA(VLOOKUP(BC23,AW6:BA105,5,FALSE)),IF(ISNA(VLOOKUP(BC23,BC6:BG22,5,FALSE)),"",ROUND(VLOOKUP(BC23,BC6:BG22,5,FALSE),0)/1000+ROUND(BD23,3)),ROUND(VLOOKUP(BC23,AW6:BA105,5,FALSE),0)/1000+ROUND(BD23,3)),ROUND(VLOOKUP(BC23,AQ6:AU105,5,FALSE),0)/1000+ROUND(BD23,3)),ROUND(VLOOKUP(BC23,AK6:AO105,5,FALSE),0)/1000+ROUND(BD23,3)),ROUND(VLOOKUP(BC23,AE6:AI105,5,FALSE),0)/1000+ROUND(BD23,3)),ROUND(VLOOKUP(BC23,Y6:AC105,5,FALSE),0)/1000+ROUND(BD23,3)),ROUND(VLOOKUP(BC23,S6:W105,5,FALSE),0)/1000+ROUND(BD23,3)),ROUND(VLOOKUP(BC23,M6:Q105,5,FALSE),0)/1000+ROUND(BD23,3)),ROUND(VLOOKUP(BC23,G6:K105,5,FALSE),0)/1000+ROUND(BD23,3)),ROUND(VLOOKUP(BC23,A6:E105,5,FALSE),0)/1000+ROUND(BD23,3)))))</f>
        <v/>
      </c>
      <c r="BG23" s="18" t="str">
        <f>IF(OR(NOT(EXACT(UPPER(BC23),"TBM")),BD23=""),IF(AND(BD23&lt;&gt;"",BE23="",BF23&lt;&gt;""),"",IF(AND(BD23="",BE23&lt;&gt;"",BF23&lt;&gt;""),ROUND(ROUND(BF23,3)-ROUND(BE23,3),3)*1000,IF(AND(BD23&lt;&gt;"",BE23&lt;&gt;"",BF23&lt;&gt;""),ROUND(ROUND(BF22,3)-ROUND(BE23,3),3)*1000,""))),"")</f>
        <v/>
      </c>
      <c r="BH23" s="44" t="str">
        <f>IF(AND(NOT(ISNA(VLOOKUP(BC23,A6:E105,5,FALSE))),BD23="",BE23&lt;&gt;""),ROUND((VLOOKUP(BC23,A6:E105,5,FALSE)-BG23)/1000,3),IF(AND(NOT(ISNA(VLOOKUP(BC23,G6:K105,5,FALSE))),BD23="",BE23&lt;&gt;""),ROUND((VLOOKUP(BC23,G6:K105,5,FALSE)-BG23)/1000,3),IF(AND(NOT(ISNA(VLOOKUP(BC23,M6:Q105,5,FALSE))),BD23="",BE23&lt;&gt;""),ROUND((VLOOKUP(BC23,M6:Q105,5,FALSE)-BG23)/1000,3),IF(AND(NOT(ISNA(VLOOKUP(BC23,S6:W105,5,FALSE))),BD23="",BE23&lt;&gt;""),ROUND((VLOOKUP(BC23,S6:W105,5,FALSE)-BG23)/1000,3),IF(AND(NOT(ISNA(VLOOKUP(BC23,Y6:AC105,5,FALSE))),BD23="",BE23&lt;&gt;""),ROUND((VLOOKUP(BC23,Y6:AC105,5,FALSE)-BG23)/1000,3),IF(AND(NOT(ISNA(VLOOKUP(BC23,AE6:AI105,5,FALSE))),BD23="",BE23&lt;&gt;""),ROUND((VLOOKUP(BC23,AE6:AI105,5,FALSE)-BG23)/1000,3),IF(AND(NOT(ISNA(VLOOKUP(BC23,AK6:AO105,5,FALSE))),BD23="",BE23&lt;&gt;""),ROUND((VLOOKUP(BC23,AK6:AO105,5,FALSE)-BG23)/1000,3),IF(AND(NOT(ISNA(VLOOKUP(BC23,AQ6:AU105,5,FALSE))),BD23="",BE23&lt;&gt;""),ROUND((VLOOKUP(BC23,AQ6:AU105,5,FALSE)-BG23)/1000,3),IF(AND(NOT(ISNA(VLOOKUP(BC23,AW6:BA105,5,FALSE))),BD23="",BE23&lt;&gt;""),ROUND((VLOOKUP(BC23,AW6:BA105,5,FALSE)-BG23)/1000,3),IF(AND(NOT(ISNA(VLOOKUP(BC23,BC6:BG22,5,FALSE))),BD23="",BE23&lt;&gt;""),ROUND((VLOOKUP(BC23,BC6:BG22,5,FALSE)-BG23)/1000,3),""))))))))))</f>
        <v/>
      </c>
    </row>
    <row r="24" spans="1:60" x14ac:dyDescent="0.25">
      <c r="A24" s="19">
        <f t="shared" si="3"/>
        <v>18</v>
      </c>
      <c r="B24" s="39"/>
      <c r="C24" s="39"/>
      <c r="D24" s="15" t="str">
        <f>IF(AND(B24&lt;&gt;"",C24&lt;&gt;""),ROUND(B24,3)+ROUND(D23,3)-ROUND(C24,3),IF(AND(EXACT(UPPER(A24),"TBM"),B24&lt;&gt;""),ROUND(B24,3),IF(B24="",D23,IF(ISNA(VLOOKUP(A24,A6:E23,5,FALSE)),"",ROUND(VLOOKUP(A24,A6:E23,5,FALSE),0)/1000+ROUND(B24,3)))))</f>
        <v/>
      </c>
      <c r="E24" s="21" t="str">
        <f t="shared" si="0"/>
        <v/>
      </c>
      <c r="F24" s="45" t="str">
        <f>IF(AND(NOT(ISNA(VLOOKUP(A24,A6:E23,5,FALSE))),B24="",C24&lt;&gt;""),ROUND((VLOOKUP(A24,A6:E23,5,FALSE)-E24)/1000,3),"")</f>
        <v/>
      </c>
      <c r="G24" s="19">
        <f t="shared" si="1"/>
        <v>118</v>
      </c>
      <c r="H24" s="41"/>
      <c r="I24" s="39"/>
      <c r="J24" s="15" t="str">
        <f>IF(AND(H24&lt;&gt;"",I24&lt;&gt;""),ROUND(H24,3)+ROUND(J23,3)-ROUND(I24,3),IF(AND(EXACT(UPPER(G24),"TBM"),H24&lt;&gt;""),ROUND(H24,3),IF(H24="",J23,IF(ISNA(VLOOKUP(G24,A6:E105,5,FALSE)),IF(ISNA(VLOOKUP(G24,G6:K23,5,FALSE)),"",ROUND(VLOOKUP(G24,G6:K23,5,FALSE),0)/1000+ROUND(H24,3)),ROUND(VLOOKUP(G24,A6:E105,5,FALSE),0)/1000+ROUND(H24,3)))))</f>
        <v/>
      </c>
      <c r="K24" s="18" t="str">
        <f t="shared" si="2"/>
        <v/>
      </c>
      <c r="L24" s="45" t="str">
        <f>IF(AND(NOT(ISNA(VLOOKUP(G24,A6:E105,5,FALSE))),H24="",I24&lt;&gt;""),ROUND((VLOOKUP(G24,A6:E105,5,FALSE)-K24)/1000,3),IF(AND(NOT(ISNA(VLOOKUP(G24,G6:K23,5,FALSE))),H24="",I24&lt;&gt;""),ROUND((VLOOKUP(G24,G6:K23,5,FALSE)-K24)/1000,3),""))</f>
        <v/>
      </c>
      <c r="M24" s="19">
        <f>IF(M23="","",M23+1)</f>
        <v>218</v>
      </c>
      <c r="N24" s="41"/>
      <c r="O24" s="39"/>
      <c r="P24" s="15" t="str">
        <f>IF(AND(N24&lt;&gt;"",O24&lt;&gt;""),ROUND(N24,3)+ROUND(P23,3)-ROUND(O24,3),IF(AND(EXACT(UPPER(M24),"TBM"),N24&lt;&gt;""),ROUND(N24,3),IF(N24="",P23,IF(ISNA(VLOOKUP(M24,A6:E105,5,FALSE)),IF(ISNA(VLOOKUP(M24,G6:K105,5,FALSE)),IF(ISNA(VLOOKUP(M24,M6:Q23,5,FALSE)),"",ROUND(VLOOKUP(M24,M6:Q23,5,FALSE),0)/1000+ROUND(N24,3)),ROUND(VLOOKUP(M24,G6:K105,5,FALSE),0)/1000+ROUND(N24,3)),ROUND(VLOOKUP(M24,A6:E105,5,FALSE),0)/1000+ROUND(N24,3)))))</f>
        <v/>
      </c>
      <c r="Q24" s="18" t="str">
        <f>IF(OR(NOT(EXACT(UPPER(M24),"TBM")),N24=""),IF(AND(N24&lt;&gt;"",O24="",P24&lt;&gt;""),"",IF(AND(N24="",O24&lt;&gt;"",P24&lt;&gt;""),ROUND(ROUND(P24,3)-ROUND(O24,3),3)*1000,IF(AND(N24&lt;&gt;"",O24&lt;&gt;"",P24&lt;&gt;""),ROUND(ROUND(P23,3)-ROUND(O24,3),3)*1000,""))),"")</f>
        <v/>
      </c>
      <c r="R24" s="45" t="str">
        <f>IF(AND(NOT(ISNA(VLOOKUP(M24,A6:E105,5,FALSE))),N24="",O24&lt;&gt;""),ROUND((VLOOKUP(M24,A6:E105,5,FALSE)-Q24)/1000,3),IF(AND(NOT(ISNA(VLOOKUP(M24,G6:K105,5,FALSE))),N24="",O24&lt;&gt;""),ROUND((VLOOKUP(M24,G6:K105,5,FALSE)-Q24)/1000,3),IF(AND(NOT(ISNA(VLOOKUP(M24,M6:Q23,5,FALSE))),N24="",O24&lt;&gt;""),ROUND((VLOOKUP(M24,M6:Q23,5,FALSE)-Q24)/1000,3),"")))</f>
        <v/>
      </c>
      <c r="S24" s="19">
        <f>IF(S23="","",S23+1)</f>
        <v>318</v>
      </c>
      <c r="T24" s="41"/>
      <c r="U24" s="39"/>
      <c r="V24" s="15" t="str">
        <f>IF(AND(T24&lt;&gt;"",U24&lt;&gt;""),ROUND(T24,3)+ROUND(V23,3)-ROUND(U24,3),IF(AND(EXACT(UPPER(S24),"TBM"),T24&lt;&gt;""),ROUND(T24,3),IF(T24="",V23,IF(ISNA(VLOOKUP(S24,A6:E105,5,FALSE)),IF(ISNA(VLOOKUP(S24,G6:K105,5,FALSE)),IF(ISNA(VLOOKUP(S24,M6:Q105,5,FALSE)),IF(ISNA(VLOOKUP(S24,S6:W23,5,FALSE)),"",ROUND(VLOOKUP(S24,S6:W23,5,FALSE),0)/1000+ROUND(T24,3)),ROUND(VLOOKUP(S24,M6:Q105,5,FALSE),0)/1000+ROUND(T24,3)),ROUND(VLOOKUP(S24,G6:K105,5,FALSE),0)/1000+ROUND(T24,3)),ROUND(VLOOKUP(S24,A6:E105,5,FALSE),0)/1000+ROUND(T24,3)))))</f>
        <v/>
      </c>
      <c r="W24" s="18" t="str">
        <f>IF(OR(NOT(EXACT(UPPER(S24),"TBM")),T24=""),IF(AND(T24&lt;&gt;"",U24="",V24&lt;&gt;""),"",IF(AND(T24="",U24&lt;&gt;"",V24&lt;&gt;""),ROUND(ROUND(V24,3)-ROUND(U24,3),3)*1000,IF(AND(T24&lt;&gt;"",U24&lt;&gt;"",V24&lt;&gt;""),ROUND(ROUND(V23,3)-ROUND(U24,3),3)*1000,""))),"")</f>
        <v/>
      </c>
      <c r="X24" s="45" t="str">
        <f>IF(AND(NOT(ISNA(VLOOKUP(S24,A6:E105,5,FALSE))),T24="",U24&lt;&gt;""),ROUND((VLOOKUP(S24,A6:E105,5,FALSE)-W24)/1000,3),IF(AND(NOT(ISNA(VLOOKUP(S24,G6:K105,5,FALSE))),T24="",U24&lt;&gt;""),ROUND((VLOOKUP(S24,G6:K105,5,FALSE)-W24)/1000,3),IF(AND(NOT(ISNA(VLOOKUP(S24,M6:Q105,5,FALSE))),T24="",U24&lt;&gt;""),ROUND((VLOOKUP(S24,M6:Q105,5,FALSE)-W24)/1000,3),IF(AND(NOT(ISNA(VLOOKUP(S24,S6:W23,5,FALSE))),T24="",U24&lt;&gt;""),ROUND((VLOOKUP(S24,S6:W23,5,FALSE)-W24)/1000,3),""))))</f>
        <v/>
      </c>
      <c r="Y24" s="19">
        <f>IF(Y23="","",Y23+1)</f>
        <v>418</v>
      </c>
      <c r="Z24" s="41"/>
      <c r="AA24" s="39"/>
      <c r="AB24" s="15" t="str">
        <f>IF(AND(Z24&lt;&gt;"",AA24&lt;&gt;""),ROUND(Z24,3)+ROUND(AB23,3)-ROUND(AA24,3),IF(AND(EXACT(UPPER(Y24),"TBM"),Z24&lt;&gt;""),ROUND(Z24,3),IF(Z24="",AB23,IF(ISNA(VLOOKUP(Y24,A6:E105,5,FALSE)),IF(ISNA(VLOOKUP(Y24,G6:K105,5,FALSE)),IF(ISNA(VLOOKUP(Y24,M6:Q105,5,FALSE)),IF(ISNA(VLOOKUP(Y24,S6:W105,5,FALSE)),IF(ISNA(VLOOKUP(Y24,Y6:AC23,5,FALSE)),"",ROUND(VLOOKUP(Y24,Y6:AC23,5,FALSE),0)/1000+ROUND(Z24,3)),ROUND(VLOOKUP(Y24,S6:W105,5,FALSE),0)/1000+ROUND(Z24,3)),ROUND(VLOOKUP(Y24,M6:Q105,5,FALSE),0)/1000+ROUND(Z24,3)),ROUND(VLOOKUP(Y24,G6:K105,5,FALSE),0)/1000+ROUND(Z24,3)),ROUND(VLOOKUP(Y24,A6:E105,5,FALSE),0)/1000+ROUND(Z24,3)))))</f>
        <v/>
      </c>
      <c r="AC24" s="18" t="str">
        <f>IF(OR(NOT(EXACT(UPPER(Y24),"TBM")),Z24=""),IF(AND(Z24&lt;&gt;"",AA24="",AB24&lt;&gt;""),"",IF(AND(Z24="",AA24&lt;&gt;"",AB24&lt;&gt;""),ROUND(ROUND(AB24,3)-ROUND(AA24,3),3)*1000,IF(AND(Z24&lt;&gt;"",AA24&lt;&gt;"",AB24&lt;&gt;""),ROUND(ROUND(AB23,3)-ROUND(AA24,3),3)*1000,""))),"")</f>
        <v/>
      </c>
      <c r="AD24" s="45" t="str">
        <f>IF(AND(NOT(ISNA(VLOOKUP(Y24,A6:E105,5,FALSE))),Z24="",AA24&lt;&gt;""),ROUND((VLOOKUP(Y24,A6:E105,5,FALSE)-AC24)/1000,3),IF(AND(NOT(ISNA(VLOOKUP(Y24,G6:K105,5,FALSE))),Z24="",AA24&lt;&gt;""),ROUND((VLOOKUP(Y24,G6:K105,5,FALSE)-AC24)/1000,3),IF(AND(NOT(ISNA(VLOOKUP(Y24,M6:Q105,5,FALSE))),Z24="",AA24&lt;&gt;""),ROUND((VLOOKUP(Y24,M6:Q105,5,FALSE)-AC24)/1000,3),IF(AND(NOT(ISNA(VLOOKUP(Y24,S6:W105,5,FALSE))),Z24="",AA24&lt;&gt;""),ROUND((VLOOKUP(Y24,S6:W105,5,FALSE)-AC24)/1000,3),IF(AND(NOT(ISNA(VLOOKUP(Y24,Y6:AC23,5,FALSE))),Z24="",AA24&lt;&gt;""),ROUND((VLOOKUP(Y24,Y6:AC23,5,FALSE)-AC24)/1000,3),"")))))</f>
        <v/>
      </c>
      <c r="AE24" s="19">
        <f>IF(AE23="","",AE23+1)</f>
        <v>518</v>
      </c>
      <c r="AF24" s="41"/>
      <c r="AG24" s="39"/>
      <c r="AH24" s="15" t="str">
        <f>IF(AND(AF24&lt;&gt;"",AG24&lt;&gt;""),ROUND(AF24,3)+ROUND(AH23,3)-ROUND(AG24,3),IF(AND(EXACT(UPPER(AE24),"TBM"),AF24&lt;&gt;""),ROUND(AF24,3),IF(AF24="",AH23,IF(ISNA(VLOOKUP(AE24,A6:E105,5,FALSE)),IF(ISNA(VLOOKUP(AE24,G6:K105,5,FALSE)),IF(ISNA(VLOOKUP(AE24,M6:Q105,5,FALSE)),IF(ISNA(VLOOKUP(AE24,S6:W105,5,FALSE)),IF(ISNA(VLOOKUP(AE24,Y6:AC105,5,FALSE)),IF(ISNA(VLOOKUP(AE24,AE6:AI23,5,FALSE)),"",ROUND(VLOOKUP(AE24,AE6:AI23,5,FALSE),0)/1000+ROUND(AF24,3)),ROUND(VLOOKUP(AE24,Y6:AC105,5,FALSE),0)/1000+ROUND(AF24,3)),ROUND(VLOOKUP(AE24,S6:W105,5,FALSE),0)/1000+ROUND(AF24,3)),ROUND(VLOOKUP(AE24,M6:Q105,5,FALSE),0)/1000+ROUND(AF24,3)),ROUND(VLOOKUP(AE24,G6:K105,5,FALSE),0)/1000+ROUND(AF24,3)),ROUND(VLOOKUP(AE24,A6:E105,5,FALSE),0)/1000+ROUND(AF24,3)))))</f>
        <v/>
      </c>
      <c r="AI24" s="18" t="str">
        <f>IF(OR(NOT(EXACT(UPPER(AE24),"TBM")),AF24=""),IF(AND(AF24&lt;&gt;"",AG24="",AH24&lt;&gt;""),"",IF(AND(AF24="",AG24&lt;&gt;"",AH24&lt;&gt;""),ROUND(ROUND(AH24,3)-ROUND(AG24,3),3)*1000,IF(AND(AF24&lt;&gt;"",AG24&lt;&gt;"",AH24&lt;&gt;""),ROUND(ROUND(AH23,3)-ROUND(AG24,3),3)*1000,""))),"")</f>
        <v/>
      </c>
      <c r="AJ24" s="45" t="str">
        <f>IF(AND(NOT(ISNA(VLOOKUP(AE24,A6:E105,5,FALSE))),AF24="",AG24&lt;&gt;""),ROUND((VLOOKUP(AE24,A6:E105,5,FALSE)-AI24)/1000,3),IF(AND(NOT(ISNA(VLOOKUP(AE24,G6:K105,5,FALSE))),AF24="",AG24&lt;&gt;""),ROUND((VLOOKUP(AE24,G6:K105,5,FALSE)-AI24)/1000,3),IF(AND(NOT(ISNA(VLOOKUP(AE24,M6:Q105,5,FALSE))),AF24="",AG24&lt;&gt;""),ROUND((VLOOKUP(AE24,M6:Q105,5,FALSE)-AI24)/1000,3),IF(AND(NOT(ISNA(VLOOKUP(AE24,S6:W105,5,FALSE))),AF24="",AG24&lt;&gt;""),ROUND((VLOOKUP(AE24,S6:W105,5,FALSE)-AI24)/1000,3),IF(AND(NOT(ISNA(VLOOKUP(AE24,Y6:AC105,5,FALSE))),AF24="",AG24&lt;&gt;""),ROUND((VLOOKUP(AE24,Y6:AC105,5,FALSE)-AI24)/1000,3),IF(AND(NOT(ISNA(VLOOKUP(AE24,AE6:AI23,5,FALSE))),AF24="",AG24&lt;&gt;""),ROUND((VLOOKUP(AE24,AE6:AI23,5,FALSE)-AI24)/1000,3),""))))))</f>
        <v/>
      </c>
      <c r="AK24" s="19">
        <f>IF(AK23="","",AK23+1)</f>
        <v>618</v>
      </c>
      <c r="AL24" s="41"/>
      <c r="AM24" s="39"/>
      <c r="AN24" s="15" t="str">
        <f>IF(AND(AL24&lt;&gt;"",AM24&lt;&gt;""),ROUND(AL24,3)+ROUND(AN23,3)-ROUND(AM24,3),IF(AND(EXACT(UPPER(AK24),"TBM"),AL24&lt;&gt;""),ROUND(AL24,3),IF(AL24="",AN23,IF(ISNA(VLOOKUP(AK24,A6:E105,5,FALSE)),IF(ISNA(VLOOKUP(AK24,G6:K105,5,FALSE)),IF(ISNA(VLOOKUP(AK24,M6:Q105,5,FALSE)),IF(ISNA(VLOOKUP(AK24,S6:W105,5,FALSE)),IF(ISNA(VLOOKUP(AK24,Y6:AC105,5,FALSE)),IF(ISNA(VLOOKUP(AK24,AE6:AI105,5,FALSE)),IF(ISNA(VLOOKUP(AK24,AK6:AO23,5,FALSE)),"",ROUND(VLOOKUP(AK24,AK6:AO23,5,FALSE),0)/1000+ROUND(AL24,3)),ROUND(VLOOKUP(AK24,AE6:AI105,5,FALSE),0)/1000+ROUND(AL24,3)),ROUND(VLOOKUP(AK24,Y6:AC105,5,FALSE),0)/1000+ROUND(AL24,3)),ROUND(VLOOKUP(AK24,S6:W105,5,FALSE),0)/1000+ROUND(AL24,3)),ROUND(VLOOKUP(AK24,M6:Q105,5,FALSE),0)/1000+ROUND(AL24,3)),ROUND(VLOOKUP(AK24,G6:K105,5,FALSE),0)/1000+ROUND(AL24,3)),ROUND(VLOOKUP(AK24,A6:E105,5,FALSE),0)/1000+ROUND(AL24,3)))))</f>
        <v/>
      </c>
      <c r="AO24" s="18" t="str">
        <f>IF(OR(NOT(EXACT(UPPER(AK24),"TBM")),AL24=""),IF(AND(AL24&lt;&gt;"",AM24="",AN24&lt;&gt;""),"",IF(AND(AL24="",AM24&lt;&gt;"",AN24&lt;&gt;""),ROUND(ROUND(AN24,3)-ROUND(AM24,3),3)*1000,IF(AND(AL24&lt;&gt;"",AM24&lt;&gt;"",AN24&lt;&gt;""),ROUND(ROUND(AN23,3)-ROUND(AM24,3),3)*1000,""))),"")</f>
        <v/>
      </c>
      <c r="AP24" s="45" t="str">
        <f>IF(AND(NOT(ISNA(VLOOKUP(AK24,A6:E105,5,FALSE))),AL24="",AM24&lt;&gt;""),ROUND((VLOOKUP(AK24,A6:E105,5,FALSE)-AO24)/1000,3),IF(AND(NOT(ISNA(VLOOKUP(AK24,G6:K105,5,FALSE))),AL24="",AM24&lt;&gt;""),ROUND((VLOOKUP(AK24,G6:K105,5,FALSE)-AO24)/1000,3),IF(AND(NOT(ISNA(VLOOKUP(AK24,M6:Q105,5,FALSE))),AL24="",AM24&lt;&gt;""),ROUND((VLOOKUP(AK24,M6:Q105,5,FALSE)-AO24)/1000,3),IF(AND(NOT(ISNA(VLOOKUP(AK24,S6:W105,5,FALSE))),AL24="",AM24&lt;&gt;""),ROUND((VLOOKUP(AK24,S6:W105,5,FALSE)-AO24)/1000,3),IF(AND(NOT(ISNA(VLOOKUP(AK24,Y6:AC105,5,FALSE))),AL24="",AM24&lt;&gt;""),ROUND((VLOOKUP(AK24,Y6:AC105,5,FALSE)-AO24)/1000,3),IF(AND(NOT(ISNA(VLOOKUP(AK24,AE6:AI105,5,FALSE))),AL24="",AM24&lt;&gt;""),ROUND((VLOOKUP(AK24,AE6:AI105,5,FALSE)-AO24)/1000,3),IF(AND(NOT(ISNA(VLOOKUP(AK24,AK6:AO23,5,FALSE))),AL24="",AM24&lt;&gt;""),ROUND((VLOOKUP(AK24,AK6:AO23,5,FALSE)-AO24)/1000,3),"")))))))</f>
        <v/>
      </c>
      <c r="AQ24" s="19">
        <f>IF(AQ23="","",AQ23+1)</f>
        <v>718</v>
      </c>
      <c r="AR24" s="41"/>
      <c r="AS24" s="39"/>
      <c r="AT24" s="15" t="str">
        <f>IF(AND(AR24&lt;&gt;"",AS24&lt;&gt;""),ROUND(AR24,3)+ROUND(AT23,3)-ROUND(AS24,3),IF(AND(EXACT(UPPER(AQ24),"TBM"),AR24&lt;&gt;""),ROUND(AR24,3),IF(AR24="",AT23,IF(ISNA(VLOOKUP(AQ24,A6:E105,5,FALSE)),IF(ISNA(VLOOKUP(AQ24,G6:K105,5,FALSE)),IF(ISNA(VLOOKUP(AQ24,M6:Q105,5,FALSE)),IF(ISNA(VLOOKUP(AQ24,S6:W105,5,FALSE)),IF(ISNA(VLOOKUP(AQ24,Y6:AC105,5,FALSE)),IF(ISNA(VLOOKUP(AQ24,AE6:AI105,5,FALSE)),IF(ISNA(VLOOKUP(AQ24,AK6:AO105,5,FALSE)),IF(ISNA(VLOOKUP(AQ24,AQ6:AU23,5,FALSE)),"",ROUND(VLOOKUP(AQ24,AQ6:AU23,5,FALSE),0)/1000+ROUND(AR24,3)),ROUND(VLOOKUP(AQ24,AK6:AO105,5,FALSE),0)/1000+ROUND(AR24,3)),ROUND(VLOOKUP(AQ24,AE6:AI105,5,FALSE),0)/1000+ROUND(AR24,3)),ROUND(VLOOKUP(AQ24,Y6:AC105,5,FALSE),0)/1000+ROUND(AR24,3)),ROUND(VLOOKUP(AQ24,S6:W105,5,FALSE),0)/1000+ROUND(AR24,3)),ROUND(VLOOKUP(AQ24,M6:Q105,5,FALSE),0)/1000+ROUND(AR24,3)),ROUND(VLOOKUP(AQ24,G6:K105,5,FALSE),0)/1000+ROUND(AR24,3)),ROUND(VLOOKUP(AQ24,A6:E105,5,FALSE),0)/1000+ROUND(AR24,3)))))</f>
        <v/>
      </c>
      <c r="AU24" s="18" t="str">
        <f>IF(OR(NOT(EXACT(UPPER(AQ24),"TBM")),AR24=""),IF(AND(AR24&lt;&gt;"",AS24="",AT24&lt;&gt;""),"",IF(AND(AR24="",AS24&lt;&gt;"",AT24&lt;&gt;""),ROUND(ROUND(AT24,3)-ROUND(AS24,3),3)*1000,IF(AND(AR24&lt;&gt;"",AS24&lt;&gt;"",AT24&lt;&gt;""),ROUND(ROUND(AT23,3)-ROUND(AS24,3),3)*1000,""))),"")</f>
        <v/>
      </c>
      <c r="AV24" s="45" t="str">
        <f>IF(AND(NOT(ISNA(VLOOKUP(AQ24,A6:E105,5,FALSE))),AR24="",AS24&lt;&gt;""),ROUND((VLOOKUP(AQ24,A6:E105,5,FALSE)-AU24)/1000,3),IF(AND(NOT(ISNA(VLOOKUP(AQ24,G6:K105,5,FALSE))),AR24="",AS24&lt;&gt;""),ROUND((VLOOKUP(AQ24,G6:K105,5,FALSE)-AU24)/1000,3),IF(AND(NOT(ISNA(VLOOKUP(AQ24,M6:Q105,5,FALSE))),AR24="",AS24&lt;&gt;""),ROUND((VLOOKUP(AQ24,M6:Q105,5,FALSE)-AU24)/1000,3),IF(AND(NOT(ISNA(VLOOKUP(AQ24,S6:W105,5,FALSE))),AR24="",AS24&lt;&gt;""),ROUND((VLOOKUP(AQ24,S6:W105,5,FALSE)-AU24)/1000,3),IF(AND(NOT(ISNA(VLOOKUP(AQ24,Y6:AC105,5,FALSE))),AR24="",AS24&lt;&gt;""),ROUND((VLOOKUP(AQ24,Y6:AC105,5,FALSE)-AU24)/1000,3),IF(AND(NOT(ISNA(VLOOKUP(AQ24,AE6:AI105,5,FALSE))),AR24="",AS24&lt;&gt;""),ROUND((VLOOKUP(AQ24,AE6:AI105,5,FALSE)-AU24)/1000,3),IF(AND(NOT(ISNA(VLOOKUP(AQ24,AK6:AO105,5,FALSE))),AR24="",AS24&lt;&gt;""),ROUND((VLOOKUP(AQ24,AK6:AO105,5,FALSE)-AU24)/1000,3),IF(AND(NOT(ISNA(VLOOKUP(AQ24,AQ6:AU23,5,FALSE))),AR24="",AS24&lt;&gt;""),ROUND((VLOOKUP(AQ24,AQ6:AU23,5,FALSE)-AU24)/1000,3),""))))))))</f>
        <v/>
      </c>
      <c r="AW24" s="19">
        <f>IF(AW23="","",AW23+1)</f>
        <v>818</v>
      </c>
      <c r="AX24" s="41"/>
      <c r="AY24" s="39"/>
      <c r="AZ24" s="15" t="str">
        <f>IF(AND(AX24&lt;&gt;"",AY24&lt;&gt;""),ROUND(AX24,3)+ROUND(AZ23,3)-ROUND(AY24,3),IF(AND(EXACT(UPPER(AW24),"TBM"),AX24&lt;&gt;""),ROUND(AX24,3),IF(AX24="",AZ23,IF(ISNA(VLOOKUP(AW24,A6:E105,5,FALSE)),IF(ISNA(VLOOKUP(AW24,G6:K105,5,FALSE)),IF(ISNA(VLOOKUP(AW24,M6:Q105,5,FALSE)),IF(ISNA(VLOOKUP(AW24,S6:W105,5,FALSE)),IF(ISNA(VLOOKUP(AW24,Y6:AC105,5,FALSE)),IF(ISNA(VLOOKUP(AW24,AE6:AI105,5,FALSE)),IF(ISNA(VLOOKUP(AW24,AK6:AO105,5,FALSE)),IF(ISNA(VLOOKUP(AW24,AQ6:AU105,5,FALSE)),IF(ISNA(VLOOKUP(AW24,AW6:BA23,5,FALSE)),"",ROUND(VLOOKUP(AW24,AW6:BA23,5,FALSE),0)/1000+ROUND(AX24,3)),ROUND(VLOOKUP(AW24,AQ6:AU105,5,FALSE),0)/1000+ROUND(AX24,3)),ROUND(VLOOKUP(AW24,AK6:AO105,5,FALSE),0)/1000+ROUND(AX24,3)),ROUND(VLOOKUP(AW24,AE6:AI105,5,FALSE),0)/1000+ROUND(AX24,3)),ROUND(VLOOKUP(AW24,Y6:AC105,5,FALSE),0)/1000+ROUND(AX24,3)),ROUND(VLOOKUP(AW24,S6:W105,5,FALSE),0)/1000+ROUND(AX24,3)),ROUND(VLOOKUP(AW24,M6:Q105,5,FALSE),0)/1000+ROUND(AX24,3)),ROUND(VLOOKUP(AW24,G6:K105,5,FALSE),0)/1000+ROUND(AX24,3)),ROUND(VLOOKUP(AW24,A6:E105,5,FALSE),0)/1000+ROUND(AX24,3)))))</f>
        <v/>
      </c>
      <c r="BA24" s="18" t="str">
        <f>IF(OR(NOT(EXACT(UPPER(AW24),"TBM")),AX24=""),IF(AND(AX24&lt;&gt;"",AY24="",AZ24&lt;&gt;""),"",IF(AND(AX24="",AY24&lt;&gt;"",AZ24&lt;&gt;""),ROUND(ROUND(AZ24,3)-ROUND(AY24,3),3)*1000,IF(AND(AX24&lt;&gt;"",AY24&lt;&gt;"",AZ24&lt;&gt;""),ROUND(ROUND(AZ23,3)-ROUND(AY24,3),3)*1000,""))),"")</f>
        <v/>
      </c>
      <c r="BB24" s="45" t="str">
        <f>IF(AND(NOT(ISNA(VLOOKUP(AW24,A6:E105,5,FALSE))),AX24="",AY24&lt;&gt;""),ROUND((VLOOKUP(AW24,A6:E105,5,FALSE)-BA24)/1000,3),IF(AND(NOT(ISNA(VLOOKUP(AW24,G6:K105,5,FALSE))),AX24="",AY24&lt;&gt;""),ROUND((VLOOKUP(AW24,G6:K105,5,FALSE)-BA24)/1000,3),IF(AND(NOT(ISNA(VLOOKUP(AW24,M6:Q105,5,FALSE))),AX24="",AY24&lt;&gt;""),ROUND((VLOOKUP(AW24,M6:Q105,5,FALSE)-BA24)/1000,3),IF(AND(NOT(ISNA(VLOOKUP(AW24,S6:W105,5,FALSE))),AX24="",AY24&lt;&gt;""),ROUND((VLOOKUP(AW24,S6:W105,5,FALSE)-BA24)/1000,3),IF(AND(NOT(ISNA(VLOOKUP(AW24,Y6:AC105,5,FALSE))),AX24="",AY24&lt;&gt;""),ROUND((VLOOKUP(AW24,Y6:AC105,5,FALSE)-BA24)/1000,3),IF(AND(NOT(ISNA(VLOOKUP(AW24,AE6:AI105,5,FALSE))),AX24="",AY24&lt;&gt;""),ROUND((VLOOKUP(AW24,AE6:AI105,5,FALSE)-BA24)/1000,3),IF(AND(NOT(ISNA(VLOOKUP(AW24,AK6:AO105,5,FALSE))),AX24="",AY24&lt;&gt;""),ROUND((VLOOKUP(AW24,AK6:AO105,5,FALSE)-BA24)/1000,3),IF(AND(NOT(ISNA(VLOOKUP(AW24,AQ6:AU105,5,FALSE))),AX24="",AY24&lt;&gt;""),ROUND((VLOOKUP(AW24,AQ6:AU105,5,FALSE)-BA24)/1000,3),IF(AND(NOT(ISNA(VLOOKUP(AW24,AW6:BA23,5,FALSE))),AX24="",AY24&lt;&gt;""),ROUND((VLOOKUP(AW24,AW6:BA23,5,FALSE)-BA24)/1000,3),"")))))))))</f>
        <v/>
      </c>
      <c r="BC24" s="19">
        <f>IF(BC23="","",BC23+1)</f>
        <v>918</v>
      </c>
      <c r="BD24" s="41"/>
      <c r="BE24" s="39"/>
      <c r="BF24" s="15" t="str">
        <f>IF(AND(BD24&lt;&gt;"",BE24&lt;&gt;""),ROUND(BD24,3)+ROUND(BF23,3)-ROUND(BE24,3),IF(AND(EXACT(UPPER(BC24),"TBM"),BD24&lt;&gt;""),ROUND(BD24,3),IF(BD24="",BF23,IF(ISNA(VLOOKUP(BC24,A6:E105,5,FALSE)),IF(ISNA(VLOOKUP(BC24,G6:K105,5,FALSE)),IF(ISNA(VLOOKUP(BC24,M6:Q105,5,FALSE)),IF(ISNA(VLOOKUP(BC24,S6:W105,5,FALSE)),IF(ISNA(VLOOKUP(BC24,Y6:AC105,5,FALSE)),IF(ISNA(VLOOKUP(BC24,AE6:AI105,5,FALSE)),IF(ISNA(VLOOKUP(BC24,AK6:AO105,5,FALSE)),IF(ISNA(VLOOKUP(BC24,AQ6:AU105,5,FALSE)),IF(ISNA(VLOOKUP(BC24,AW6:BA105,5,FALSE)),IF(ISNA(VLOOKUP(BC24,BC6:BG23,5,FALSE)),"",ROUND(VLOOKUP(BC24,BC6:BG23,5,FALSE),0)/1000+ROUND(BD24,3)),ROUND(VLOOKUP(BC24,AW6:BA105,5,FALSE),0)/1000+ROUND(BD24,3)),ROUND(VLOOKUP(BC24,AQ6:AU105,5,FALSE),0)/1000+ROUND(BD24,3)),ROUND(VLOOKUP(BC24,AK6:AO105,5,FALSE),0)/1000+ROUND(BD24,3)),ROUND(VLOOKUP(BC24,AE6:AI105,5,FALSE),0)/1000+ROUND(BD24,3)),ROUND(VLOOKUP(BC24,Y6:AC105,5,FALSE),0)/1000+ROUND(BD24,3)),ROUND(VLOOKUP(BC24,S6:W105,5,FALSE),0)/1000+ROUND(BD24,3)),ROUND(VLOOKUP(BC24,M6:Q105,5,FALSE),0)/1000+ROUND(BD24,3)),ROUND(VLOOKUP(BC24,G6:K105,5,FALSE),0)/1000+ROUND(BD24,3)),ROUND(VLOOKUP(BC24,A6:E105,5,FALSE),0)/1000+ROUND(BD24,3)))))</f>
        <v/>
      </c>
      <c r="BG24" s="18" t="str">
        <f>IF(OR(NOT(EXACT(UPPER(BC24),"TBM")),BD24=""),IF(AND(BD24&lt;&gt;"",BE24="",BF24&lt;&gt;""),"",IF(AND(BD24="",BE24&lt;&gt;"",BF24&lt;&gt;""),ROUND(ROUND(BF24,3)-ROUND(BE24,3),3)*1000,IF(AND(BD24&lt;&gt;"",BE24&lt;&gt;"",BF24&lt;&gt;""),ROUND(ROUND(BF23,3)-ROUND(BE24,3),3)*1000,""))),"")</f>
        <v/>
      </c>
      <c r="BH24" s="45" t="str">
        <f>IF(AND(NOT(ISNA(VLOOKUP(BC24,A6:E105,5,FALSE))),BD24="",BE24&lt;&gt;""),ROUND((VLOOKUP(BC24,A6:E105,5,FALSE)-BG24)/1000,3),IF(AND(NOT(ISNA(VLOOKUP(BC24,G6:K105,5,FALSE))),BD24="",BE24&lt;&gt;""),ROUND((VLOOKUP(BC24,G6:K105,5,FALSE)-BG24)/1000,3),IF(AND(NOT(ISNA(VLOOKUP(BC24,M6:Q105,5,FALSE))),BD24="",BE24&lt;&gt;""),ROUND((VLOOKUP(BC24,M6:Q105,5,FALSE)-BG24)/1000,3),IF(AND(NOT(ISNA(VLOOKUP(BC24,S6:W105,5,FALSE))),BD24="",BE24&lt;&gt;""),ROUND((VLOOKUP(BC24,S6:W105,5,FALSE)-BG24)/1000,3),IF(AND(NOT(ISNA(VLOOKUP(BC24,Y6:AC105,5,FALSE))),BD24="",BE24&lt;&gt;""),ROUND((VLOOKUP(BC24,Y6:AC105,5,FALSE)-BG24)/1000,3),IF(AND(NOT(ISNA(VLOOKUP(BC24,AE6:AI105,5,FALSE))),BD24="",BE24&lt;&gt;""),ROUND((VLOOKUP(BC24,AE6:AI105,5,FALSE)-BG24)/1000,3),IF(AND(NOT(ISNA(VLOOKUP(BC24,AK6:AO105,5,FALSE))),BD24="",BE24&lt;&gt;""),ROUND((VLOOKUP(BC24,AK6:AO105,5,FALSE)-BG24)/1000,3),IF(AND(NOT(ISNA(VLOOKUP(BC24,AQ6:AU105,5,FALSE))),BD24="",BE24&lt;&gt;""),ROUND((VLOOKUP(BC24,AQ6:AU105,5,FALSE)-BG24)/1000,3),IF(AND(NOT(ISNA(VLOOKUP(BC24,AW6:BA105,5,FALSE))),BD24="",BE24&lt;&gt;""),ROUND((VLOOKUP(BC24,AW6:BA105,5,FALSE)-BG24)/1000,3),IF(AND(NOT(ISNA(VLOOKUP(BC24,BC6:BG23,5,FALSE))),BD24="",BE24&lt;&gt;""),ROUND((VLOOKUP(BC24,BC6:BG23,5,FALSE)-BG24)/1000,3),""))))))))))</f>
        <v/>
      </c>
    </row>
    <row r="25" spans="1:60" x14ac:dyDescent="0.25">
      <c r="A25" s="81">
        <f t="shared" si="3"/>
        <v>19</v>
      </c>
      <c r="B25" s="82"/>
      <c r="C25" s="82"/>
      <c r="D25" s="83" t="str">
        <f>IF(AND(B25&lt;&gt;"",C25&lt;&gt;""),ROUND(B25,3)+ROUND(D24,3)-ROUND(C25,3),IF(AND(EXACT(UPPER(A25),"TBM"),B25&lt;&gt;""),ROUND(B25,3),IF(B25="",D24,IF(ISNA(VLOOKUP(A25,A6:E24,5,FALSE)),"",ROUND(VLOOKUP(A25,A6:E24,5,FALSE),0)/1000+ROUND(B25,3)))))</f>
        <v/>
      </c>
      <c r="E25" s="84" t="str">
        <f t="shared" si="0"/>
        <v/>
      </c>
      <c r="F25" s="85" t="str">
        <f>IF(AND(NOT(ISNA(VLOOKUP(A25,A6:E24,5,FALSE))),B25="",C25&lt;&gt;""),ROUND((VLOOKUP(A25,A6:E24,5,FALSE)-E25)/1000,3),"")</f>
        <v/>
      </c>
      <c r="G25" s="81">
        <f t="shared" si="1"/>
        <v>119</v>
      </c>
      <c r="H25" s="91"/>
      <c r="I25" s="82"/>
      <c r="J25" s="83" t="str">
        <f>IF(AND(H25&lt;&gt;"",I25&lt;&gt;""),ROUND(H25,3)+ROUND(J24,3)-ROUND(I25,3),IF(AND(EXACT(UPPER(G25),"TBM"),H25&lt;&gt;""),ROUND(H25,3),IF(H25="",J24,IF(ISNA(VLOOKUP(G25,A6:E105,5,FALSE)),IF(ISNA(VLOOKUP(G25,G6:K24,5,FALSE)),"",ROUND(VLOOKUP(G25,G6:K24,5,FALSE),0)/1000+ROUND(H25,3)),ROUND(VLOOKUP(G25,A6:E105,5,FALSE),0)/1000+ROUND(H25,3)))))</f>
        <v/>
      </c>
      <c r="K25" s="88" t="str">
        <f t="shared" si="2"/>
        <v/>
      </c>
      <c r="L25" s="85" t="str">
        <f>IF(AND(NOT(ISNA(VLOOKUP(G25,A6:E105,5,FALSE))),H25="",I25&lt;&gt;""),ROUND((VLOOKUP(G25,A6:E105,5,FALSE)-K25)/1000,3),IF(AND(NOT(ISNA(VLOOKUP(G25,G6:K24,5,FALSE))),H25="",I25&lt;&gt;""),ROUND((VLOOKUP(G25,G6:K24,5,FALSE)-K25)/1000,3),""))</f>
        <v/>
      </c>
      <c r="M25" s="81">
        <f>IF(M24="","",M24+1)</f>
        <v>219</v>
      </c>
      <c r="N25" s="91"/>
      <c r="O25" s="82"/>
      <c r="P25" s="83" t="str">
        <f>IF(AND(N25&lt;&gt;"",O25&lt;&gt;""),ROUND(N25,3)+ROUND(P24,3)-ROUND(O25,3),IF(AND(EXACT(UPPER(M25),"TBM"),N25&lt;&gt;""),ROUND(N25,3),IF(N25="",P24,IF(ISNA(VLOOKUP(M25,A6:E105,5,FALSE)),IF(ISNA(VLOOKUP(M25,G6:K105,5,FALSE)),IF(ISNA(VLOOKUP(M25,M6:Q24,5,FALSE)),"",ROUND(VLOOKUP(M25,M6:Q24,5,FALSE),0)/1000+ROUND(N25,3)),ROUND(VLOOKUP(M25,G6:K105,5,FALSE),0)/1000+ROUND(N25,3)),ROUND(VLOOKUP(M25,A6:E105,5,FALSE),0)/1000+ROUND(N25,3)))))</f>
        <v/>
      </c>
      <c r="Q25" s="88" t="str">
        <f>IF(OR(NOT(EXACT(UPPER(M25),"TBM")),N25=""),IF(AND(N25&lt;&gt;"",O25="",P25&lt;&gt;""),"",IF(AND(N25="",O25&lt;&gt;"",P25&lt;&gt;""),ROUND(ROUND(P25,3)-ROUND(O25,3),3)*1000,IF(AND(N25&lt;&gt;"",O25&lt;&gt;"",P25&lt;&gt;""),ROUND(ROUND(P24,3)-ROUND(O25,3),3)*1000,""))),"")</f>
        <v/>
      </c>
      <c r="R25" s="85" t="str">
        <f>IF(AND(NOT(ISNA(VLOOKUP(M25,A6:E105,5,FALSE))),N25="",O25&lt;&gt;""),ROUND((VLOOKUP(M25,A6:E105,5,FALSE)-Q25)/1000,3),IF(AND(NOT(ISNA(VLOOKUP(M25,G6:K105,5,FALSE))),N25="",O25&lt;&gt;""),ROUND((VLOOKUP(M25,G6:K105,5,FALSE)-Q25)/1000,3),IF(AND(NOT(ISNA(VLOOKUP(M25,M6:Q24,5,FALSE))),N25="",O25&lt;&gt;""),ROUND((VLOOKUP(M25,M6:Q24,5,FALSE)-Q25)/1000,3),"")))</f>
        <v/>
      </c>
      <c r="S25" s="81">
        <f>IF(S24="","",S24+1)</f>
        <v>319</v>
      </c>
      <c r="T25" s="91"/>
      <c r="U25" s="82"/>
      <c r="V25" s="83" t="str">
        <f>IF(AND(T25&lt;&gt;"",U25&lt;&gt;""),ROUND(T25,3)+ROUND(V24,3)-ROUND(U25,3),IF(AND(EXACT(UPPER(S25),"TBM"),T25&lt;&gt;""),ROUND(T25,3),IF(T25="",V24,IF(ISNA(VLOOKUP(S25,A6:E105,5,FALSE)),IF(ISNA(VLOOKUP(S25,G6:K105,5,FALSE)),IF(ISNA(VLOOKUP(S25,M6:Q105,5,FALSE)),IF(ISNA(VLOOKUP(S25,S6:W24,5,FALSE)),"",ROUND(VLOOKUP(S25,S6:W24,5,FALSE),0)/1000+ROUND(T25,3)),ROUND(VLOOKUP(S25,M6:Q105,5,FALSE),0)/1000+ROUND(T25,3)),ROUND(VLOOKUP(S25,G6:K105,5,FALSE),0)/1000+ROUND(T25,3)),ROUND(VLOOKUP(S25,A6:E105,5,FALSE),0)/1000+ROUND(T25,3)))))</f>
        <v/>
      </c>
      <c r="W25" s="88" t="str">
        <f>IF(OR(NOT(EXACT(UPPER(S25),"TBM")),T25=""),IF(AND(T25&lt;&gt;"",U25="",V25&lt;&gt;""),"",IF(AND(T25="",U25&lt;&gt;"",V25&lt;&gt;""),ROUND(ROUND(V25,3)-ROUND(U25,3),3)*1000,IF(AND(T25&lt;&gt;"",U25&lt;&gt;"",V25&lt;&gt;""),ROUND(ROUND(V24,3)-ROUND(U25,3),3)*1000,""))),"")</f>
        <v/>
      </c>
      <c r="X25" s="85" t="str">
        <f>IF(AND(NOT(ISNA(VLOOKUP(S25,A6:E105,5,FALSE))),T25="",U25&lt;&gt;""),ROUND((VLOOKUP(S25,A6:E105,5,FALSE)-W25)/1000,3),IF(AND(NOT(ISNA(VLOOKUP(S25,G6:K105,5,FALSE))),T25="",U25&lt;&gt;""),ROUND((VLOOKUP(S25,G6:K105,5,FALSE)-W25)/1000,3),IF(AND(NOT(ISNA(VLOOKUP(S25,M6:Q105,5,FALSE))),T25="",U25&lt;&gt;""),ROUND((VLOOKUP(S25,M6:Q105,5,FALSE)-W25)/1000,3),IF(AND(NOT(ISNA(VLOOKUP(S25,S6:W24,5,FALSE))),T25="",U25&lt;&gt;""),ROUND((VLOOKUP(S25,S6:W24,5,FALSE)-W25)/1000,3),""))))</f>
        <v/>
      </c>
      <c r="Y25" s="81">
        <f>IF(Y24="","",Y24+1)</f>
        <v>419</v>
      </c>
      <c r="Z25" s="91"/>
      <c r="AA25" s="82"/>
      <c r="AB25" s="83" t="str">
        <f>IF(AND(Z25&lt;&gt;"",AA25&lt;&gt;""),ROUND(Z25,3)+ROUND(AB24,3)-ROUND(AA25,3),IF(AND(EXACT(UPPER(Y25),"TBM"),Z25&lt;&gt;""),ROUND(Z25,3),IF(Z25="",AB24,IF(ISNA(VLOOKUP(Y25,A6:E105,5,FALSE)),IF(ISNA(VLOOKUP(Y25,G6:K105,5,FALSE)),IF(ISNA(VLOOKUP(Y25,M6:Q105,5,FALSE)),IF(ISNA(VLOOKUP(Y25,S6:W105,5,FALSE)),IF(ISNA(VLOOKUP(Y25,Y6:AC24,5,FALSE)),"",ROUND(VLOOKUP(Y25,Y6:AC24,5,FALSE),0)/1000+ROUND(Z25,3)),ROUND(VLOOKUP(Y25,S6:W105,5,FALSE),0)/1000+ROUND(Z25,3)),ROUND(VLOOKUP(Y25,M6:Q105,5,FALSE),0)/1000+ROUND(Z25,3)),ROUND(VLOOKUP(Y25,G6:K105,5,FALSE),0)/1000+ROUND(Z25,3)),ROUND(VLOOKUP(Y25,A6:E105,5,FALSE),0)/1000+ROUND(Z25,3)))))</f>
        <v/>
      </c>
      <c r="AC25" s="88" t="str">
        <f>IF(OR(NOT(EXACT(UPPER(Y25),"TBM")),Z25=""),IF(AND(Z25&lt;&gt;"",AA25="",AB25&lt;&gt;""),"",IF(AND(Z25="",AA25&lt;&gt;"",AB25&lt;&gt;""),ROUND(ROUND(AB25,3)-ROUND(AA25,3),3)*1000,IF(AND(Z25&lt;&gt;"",AA25&lt;&gt;"",AB25&lt;&gt;""),ROUND(ROUND(AB24,3)-ROUND(AA25,3),3)*1000,""))),"")</f>
        <v/>
      </c>
      <c r="AD25" s="85" t="str">
        <f>IF(AND(NOT(ISNA(VLOOKUP(Y25,A6:E105,5,FALSE))),Z25="",AA25&lt;&gt;""),ROUND((VLOOKUP(Y25,A6:E105,5,FALSE)-AC25)/1000,3),IF(AND(NOT(ISNA(VLOOKUP(Y25,G6:K105,5,FALSE))),Z25="",AA25&lt;&gt;""),ROUND((VLOOKUP(Y25,G6:K105,5,FALSE)-AC25)/1000,3),IF(AND(NOT(ISNA(VLOOKUP(Y25,M6:Q105,5,FALSE))),Z25="",AA25&lt;&gt;""),ROUND((VLOOKUP(Y25,M6:Q105,5,FALSE)-AC25)/1000,3),IF(AND(NOT(ISNA(VLOOKUP(Y25,S6:W105,5,FALSE))),Z25="",AA25&lt;&gt;""),ROUND((VLOOKUP(Y25,S6:W105,5,FALSE)-AC25)/1000,3),IF(AND(NOT(ISNA(VLOOKUP(Y25,Y6:AC24,5,FALSE))),Z25="",AA25&lt;&gt;""),ROUND((VLOOKUP(Y25,Y6:AC24,5,FALSE)-AC25)/1000,3),"")))))</f>
        <v/>
      </c>
      <c r="AE25" s="81">
        <f>IF(AE24="","",AE24+1)</f>
        <v>519</v>
      </c>
      <c r="AF25" s="91"/>
      <c r="AG25" s="82"/>
      <c r="AH25" s="83" t="str">
        <f>IF(AND(AF25&lt;&gt;"",AG25&lt;&gt;""),ROUND(AF25,3)+ROUND(AH24,3)-ROUND(AG25,3),IF(AND(EXACT(UPPER(AE25),"TBM"),AF25&lt;&gt;""),ROUND(AF25,3),IF(AF25="",AH24,IF(ISNA(VLOOKUP(AE25,A6:E105,5,FALSE)),IF(ISNA(VLOOKUP(AE25,G6:K105,5,FALSE)),IF(ISNA(VLOOKUP(AE25,M6:Q105,5,FALSE)),IF(ISNA(VLOOKUP(AE25,S6:W105,5,FALSE)),IF(ISNA(VLOOKUP(AE25,Y6:AC105,5,FALSE)),IF(ISNA(VLOOKUP(AE25,AE6:AI24,5,FALSE)),"",ROUND(VLOOKUP(AE25,AE6:AI24,5,FALSE),0)/1000+ROUND(AF25,3)),ROUND(VLOOKUP(AE25,Y6:AC105,5,FALSE),0)/1000+ROUND(AF25,3)),ROUND(VLOOKUP(AE25,S6:W105,5,FALSE),0)/1000+ROUND(AF25,3)),ROUND(VLOOKUP(AE25,M6:Q105,5,FALSE),0)/1000+ROUND(AF25,3)),ROUND(VLOOKUP(AE25,G6:K105,5,FALSE),0)/1000+ROUND(AF25,3)),ROUND(VLOOKUP(AE25,A6:E105,5,FALSE),0)/1000+ROUND(AF25,3)))))</f>
        <v/>
      </c>
      <c r="AI25" s="88" t="str">
        <f>IF(OR(NOT(EXACT(UPPER(AE25),"TBM")),AF25=""),IF(AND(AF25&lt;&gt;"",AG25="",AH25&lt;&gt;""),"",IF(AND(AF25="",AG25&lt;&gt;"",AH25&lt;&gt;""),ROUND(ROUND(AH25,3)-ROUND(AG25,3),3)*1000,IF(AND(AF25&lt;&gt;"",AG25&lt;&gt;"",AH25&lt;&gt;""),ROUND(ROUND(AH24,3)-ROUND(AG25,3),3)*1000,""))),"")</f>
        <v/>
      </c>
      <c r="AJ25" s="85" t="str">
        <f>IF(AND(NOT(ISNA(VLOOKUP(AE25,A6:E105,5,FALSE))),AF25="",AG25&lt;&gt;""),ROUND((VLOOKUP(AE25,A6:E105,5,FALSE)-AI25)/1000,3),IF(AND(NOT(ISNA(VLOOKUP(AE25,G6:K105,5,FALSE))),AF25="",AG25&lt;&gt;""),ROUND((VLOOKUP(AE25,G6:K105,5,FALSE)-AI25)/1000,3),IF(AND(NOT(ISNA(VLOOKUP(AE25,M6:Q105,5,FALSE))),AF25="",AG25&lt;&gt;""),ROUND((VLOOKUP(AE25,M6:Q105,5,FALSE)-AI25)/1000,3),IF(AND(NOT(ISNA(VLOOKUP(AE25,S6:W105,5,FALSE))),AF25="",AG25&lt;&gt;""),ROUND((VLOOKUP(AE25,S6:W105,5,FALSE)-AI25)/1000,3),IF(AND(NOT(ISNA(VLOOKUP(AE25,Y6:AC105,5,FALSE))),AF25="",AG25&lt;&gt;""),ROUND((VLOOKUP(AE25,Y6:AC105,5,FALSE)-AI25)/1000,3),IF(AND(NOT(ISNA(VLOOKUP(AE25,AE6:AI24,5,FALSE))),AF25="",AG25&lt;&gt;""),ROUND((VLOOKUP(AE25,AE6:AI24,5,FALSE)-AI25)/1000,3),""))))))</f>
        <v/>
      </c>
      <c r="AK25" s="81">
        <f>IF(AK24="","",AK24+1)</f>
        <v>619</v>
      </c>
      <c r="AL25" s="91"/>
      <c r="AM25" s="82"/>
      <c r="AN25" s="83" t="str">
        <f>IF(AND(AL25&lt;&gt;"",AM25&lt;&gt;""),ROUND(AL25,3)+ROUND(AN24,3)-ROUND(AM25,3),IF(AND(EXACT(UPPER(AK25),"TBM"),AL25&lt;&gt;""),ROUND(AL25,3),IF(AL25="",AN24,IF(ISNA(VLOOKUP(AK25,A6:E105,5,FALSE)),IF(ISNA(VLOOKUP(AK25,G6:K105,5,FALSE)),IF(ISNA(VLOOKUP(AK25,M6:Q105,5,FALSE)),IF(ISNA(VLOOKUP(AK25,S6:W105,5,FALSE)),IF(ISNA(VLOOKUP(AK25,Y6:AC105,5,FALSE)),IF(ISNA(VLOOKUP(AK25,AE6:AI105,5,FALSE)),IF(ISNA(VLOOKUP(AK25,AK6:AO24,5,FALSE)),"",ROUND(VLOOKUP(AK25,AK6:AO24,5,FALSE),0)/1000+ROUND(AL25,3)),ROUND(VLOOKUP(AK25,AE6:AI105,5,FALSE),0)/1000+ROUND(AL25,3)),ROUND(VLOOKUP(AK25,Y6:AC105,5,FALSE),0)/1000+ROUND(AL25,3)),ROUND(VLOOKUP(AK25,S6:W105,5,FALSE),0)/1000+ROUND(AL25,3)),ROUND(VLOOKUP(AK25,M6:Q105,5,FALSE),0)/1000+ROUND(AL25,3)),ROUND(VLOOKUP(AK25,G6:K105,5,FALSE),0)/1000+ROUND(AL25,3)),ROUND(VLOOKUP(AK25,A6:E105,5,FALSE),0)/1000+ROUND(AL25,3)))))</f>
        <v/>
      </c>
      <c r="AO25" s="88" t="str">
        <f>IF(OR(NOT(EXACT(UPPER(AK25),"TBM")),AL25=""),IF(AND(AL25&lt;&gt;"",AM25="",AN25&lt;&gt;""),"",IF(AND(AL25="",AM25&lt;&gt;"",AN25&lt;&gt;""),ROUND(ROUND(AN25,3)-ROUND(AM25,3),3)*1000,IF(AND(AL25&lt;&gt;"",AM25&lt;&gt;"",AN25&lt;&gt;""),ROUND(ROUND(AN24,3)-ROUND(AM25,3),3)*1000,""))),"")</f>
        <v/>
      </c>
      <c r="AP25" s="85" t="str">
        <f>IF(AND(NOT(ISNA(VLOOKUP(AK25,A6:E105,5,FALSE))),AL25="",AM25&lt;&gt;""),ROUND((VLOOKUP(AK25,A6:E105,5,FALSE)-AO25)/1000,3),IF(AND(NOT(ISNA(VLOOKUP(AK25,G6:K105,5,FALSE))),AL25="",AM25&lt;&gt;""),ROUND((VLOOKUP(AK25,G6:K105,5,FALSE)-AO25)/1000,3),IF(AND(NOT(ISNA(VLOOKUP(AK25,M6:Q105,5,FALSE))),AL25="",AM25&lt;&gt;""),ROUND((VLOOKUP(AK25,M6:Q105,5,FALSE)-AO25)/1000,3),IF(AND(NOT(ISNA(VLOOKUP(AK25,S6:W105,5,FALSE))),AL25="",AM25&lt;&gt;""),ROUND((VLOOKUP(AK25,S6:W105,5,FALSE)-AO25)/1000,3),IF(AND(NOT(ISNA(VLOOKUP(AK25,Y6:AC105,5,FALSE))),AL25="",AM25&lt;&gt;""),ROUND((VLOOKUP(AK25,Y6:AC105,5,FALSE)-AO25)/1000,3),IF(AND(NOT(ISNA(VLOOKUP(AK25,AE6:AI105,5,FALSE))),AL25="",AM25&lt;&gt;""),ROUND((VLOOKUP(AK25,AE6:AI105,5,FALSE)-AO25)/1000,3),IF(AND(NOT(ISNA(VLOOKUP(AK25,AK6:AO24,5,FALSE))),AL25="",AM25&lt;&gt;""),ROUND((VLOOKUP(AK25,AK6:AO24,5,FALSE)-AO25)/1000,3),"")))))))</f>
        <v/>
      </c>
      <c r="AQ25" s="81">
        <f>IF(AQ24="","",AQ24+1)</f>
        <v>719</v>
      </c>
      <c r="AR25" s="91"/>
      <c r="AS25" s="82"/>
      <c r="AT25" s="83" t="str">
        <f>IF(AND(AR25&lt;&gt;"",AS25&lt;&gt;""),ROUND(AR25,3)+ROUND(AT24,3)-ROUND(AS25,3),IF(AND(EXACT(UPPER(AQ25),"TBM"),AR25&lt;&gt;""),ROUND(AR25,3),IF(AR25="",AT24,IF(ISNA(VLOOKUP(AQ25,A6:E105,5,FALSE)),IF(ISNA(VLOOKUP(AQ25,G6:K105,5,FALSE)),IF(ISNA(VLOOKUP(AQ25,M6:Q105,5,FALSE)),IF(ISNA(VLOOKUP(AQ25,S6:W105,5,FALSE)),IF(ISNA(VLOOKUP(AQ25,Y6:AC105,5,FALSE)),IF(ISNA(VLOOKUP(AQ25,AE6:AI105,5,FALSE)),IF(ISNA(VLOOKUP(AQ25,AK6:AO105,5,FALSE)),IF(ISNA(VLOOKUP(AQ25,AQ6:AU24,5,FALSE)),"",ROUND(VLOOKUP(AQ25,AQ6:AU24,5,FALSE),0)/1000+ROUND(AR25,3)),ROUND(VLOOKUP(AQ25,AK6:AO105,5,FALSE),0)/1000+ROUND(AR25,3)),ROUND(VLOOKUP(AQ25,AE6:AI105,5,FALSE),0)/1000+ROUND(AR25,3)),ROUND(VLOOKUP(AQ25,Y6:AC105,5,FALSE),0)/1000+ROUND(AR25,3)),ROUND(VLOOKUP(AQ25,S6:W105,5,FALSE),0)/1000+ROUND(AR25,3)),ROUND(VLOOKUP(AQ25,M6:Q105,5,FALSE),0)/1000+ROUND(AR25,3)),ROUND(VLOOKUP(AQ25,G6:K105,5,FALSE),0)/1000+ROUND(AR25,3)),ROUND(VLOOKUP(AQ25,A6:E105,5,FALSE),0)/1000+ROUND(AR25,3)))))</f>
        <v/>
      </c>
      <c r="AU25" s="88" t="str">
        <f>IF(OR(NOT(EXACT(UPPER(AQ25),"TBM")),AR25=""),IF(AND(AR25&lt;&gt;"",AS25="",AT25&lt;&gt;""),"",IF(AND(AR25="",AS25&lt;&gt;"",AT25&lt;&gt;""),ROUND(ROUND(AT25,3)-ROUND(AS25,3),3)*1000,IF(AND(AR25&lt;&gt;"",AS25&lt;&gt;"",AT25&lt;&gt;""),ROUND(ROUND(AT24,3)-ROUND(AS25,3),3)*1000,""))),"")</f>
        <v/>
      </c>
      <c r="AV25" s="85" t="str">
        <f>IF(AND(NOT(ISNA(VLOOKUP(AQ25,A6:E105,5,FALSE))),AR25="",AS25&lt;&gt;""),ROUND((VLOOKUP(AQ25,A6:E105,5,FALSE)-AU25)/1000,3),IF(AND(NOT(ISNA(VLOOKUP(AQ25,G6:K105,5,FALSE))),AR25="",AS25&lt;&gt;""),ROUND((VLOOKUP(AQ25,G6:K105,5,FALSE)-AU25)/1000,3),IF(AND(NOT(ISNA(VLOOKUP(AQ25,M6:Q105,5,FALSE))),AR25="",AS25&lt;&gt;""),ROUND((VLOOKUP(AQ25,M6:Q105,5,FALSE)-AU25)/1000,3),IF(AND(NOT(ISNA(VLOOKUP(AQ25,S6:W105,5,FALSE))),AR25="",AS25&lt;&gt;""),ROUND((VLOOKUP(AQ25,S6:W105,5,FALSE)-AU25)/1000,3),IF(AND(NOT(ISNA(VLOOKUP(AQ25,Y6:AC105,5,FALSE))),AR25="",AS25&lt;&gt;""),ROUND((VLOOKUP(AQ25,Y6:AC105,5,FALSE)-AU25)/1000,3),IF(AND(NOT(ISNA(VLOOKUP(AQ25,AE6:AI105,5,FALSE))),AR25="",AS25&lt;&gt;""),ROUND((VLOOKUP(AQ25,AE6:AI105,5,FALSE)-AU25)/1000,3),IF(AND(NOT(ISNA(VLOOKUP(AQ25,AK6:AO105,5,FALSE))),AR25="",AS25&lt;&gt;""),ROUND((VLOOKUP(AQ25,AK6:AO105,5,FALSE)-AU25)/1000,3),IF(AND(NOT(ISNA(VLOOKUP(AQ25,AQ6:AU24,5,FALSE))),AR25="",AS25&lt;&gt;""),ROUND((VLOOKUP(AQ25,AQ6:AU24,5,FALSE)-AU25)/1000,3),""))))))))</f>
        <v/>
      </c>
      <c r="AW25" s="81">
        <f>IF(AW24="","",AW24+1)</f>
        <v>819</v>
      </c>
      <c r="AX25" s="91"/>
      <c r="AY25" s="82"/>
      <c r="AZ25" s="83" t="str">
        <f>IF(AND(AX25&lt;&gt;"",AY25&lt;&gt;""),ROUND(AX25,3)+ROUND(AZ24,3)-ROUND(AY25,3),IF(AND(EXACT(UPPER(AW25),"TBM"),AX25&lt;&gt;""),ROUND(AX25,3),IF(AX25="",AZ24,IF(ISNA(VLOOKUP(AW25,A6:E105,5,FALSE)),IF(ISNA(VLOOKUP(AW25,G6:K105,5,FALSE)),IF(ISNA(VLOOKUP(AW25,M6:Q105,5,FALSE)),IF(ISNA(VLOOKUP(AW25,S6:W105,5,FALSE)),IF(ISNA(VLOOKUP(AW25,Y6:AC105,5,FALSE)),IF(ISNA(VLOOKUP(AW25,AE6:AI105,5,FALSE)),IF(ISNA(VLOOKUP(AW25,AK6:AO105,5,FALSE)),IF(ISNA(VLOOKUP(AW25,AQ6:AU105,5,FALSE)),IF(ISNA(VLOOKUP(AW25,AW6:BA24,5,FALSE)),"",ROUND(VLOOKUP(AW25,AW6:BA24,5,FALSE),0)/1000+ROUND(AX25,3)),ROUND(VLOOKUP(AW25,AQ6:AU105,5,FALSE),0)/1000+ROUND(AX25,3)),ROUND(VLOOKUP(AW25,AK6:AO105,5,FALSE),0)/1000+ROUND(AX25,3)),ROUND(VLOOKUP(AW25,AE6:AI105,5,FALSE),0)/1000+ROUND(AX25,3)),ROUND(VLOOKUP(AW25,Y6:AC105,5,FALSE),0)/1000+ROUND(AX25,3)),ROUND(VLOOKUP(AW25,S6:W105,5,FALSE),0)/1000+ROUND(AX25,3)),ROUND(VLOOKUP(AW25,M6:Q105,5,FALSE),0)/1000+ROUND(AX25,3)),ROUND(VLOOKUP(AW25,G6:K105,5,FALSE),0)/1000+ROUND(AX25,3)),ROUND(VLOOKUP(AW25,A6:E105,5,FALSE),0)/1000+ROUND(AX25,3)))))</f>
        <v/>
      </c>
      <c r="BA25" s="88" t="str">
        <f>IF(OR(NOT(EXACT(UPPER(AW25),"TBM")),AX25=""),IF(AND(AX25&lt;&gt;"",AY25="",AZ25&lt;&gt;""),"",IF(AND(AX25="",AY25&lt;&gt;"",AZ25&lt;&gt;""),ROUND(ROUND(AZ25,3)-ROUND(AY25,3),3)*1000,IF(AND(AX25&lt;&gt;"",AY25&lt;&gt;"",AZ25&lt;&gt;""),ROUND(ROUND(AZ24,3)-ROUND(AY25,3),3)*1000,""))),"")</f>
        <v/>
      </c>
      <c r="BB25" s="85" t="str">
        <f>IF(AND(NOT(ISNA(VLOOKUP(AW25,A6:E105,5,FALSE))),AX25="",AY25&lt;&gt;""),ROUND((VLOOKUP(AW25,A6:E105,5,FALSE)-BA25)/1000,3),IF(AND(NOT(ISNA(VLOOKUP(AW25,G6:K105,5,FALSE))),AX25="",AY25&lt;&gt;""),ROUND((VLOOKUP(AW25,G6:K105,5,FALSE)-BA25)/1000,3),IF(AND(NOT(ISNA(VLOOKUP(AW25,M6:Q105,5,FALSE))),AX25="",AY25&lt;&gt;""),ROUND((VLOOKUP(AW25,M6:Q105,5,FALSE)-BA25)/1000,3),IF(AND(NOT(ISNA(VLOOKUP(AW25,S6:W105,5,FALSE))),AX25="",AY25&lt;&gt;""),ROUND((VLOOKUP(AW25,S6:W105,5,FALSE)-BA25)/1000,3),IF(AND(NOT(ISNA(VLOOKUP(AW25,Y6:AC105,5,FALSE))),AX25="",AY25&lt;&gt;""),ROUND((VLOOKUP(AW25,Y6:AC105,5,FALSE)-BA25)/1000,3),IF(AND(NOT(ISNA(VLOOKUP(AW25,AE6:AI105,5,FALSE))),AX25="",AY25&lt;&gt;""),ROUND((VLOOKUP(AW25,AE6:AI105,5,FALSE)-BA25)/1000,3),IF(AND(NOT(ISNA(VLOOKUP(AW25,AK6:AO105,5,FALSE))),AX25="",AY25&lt;&gt;""),ROUND((VLOOKUP(AW25,AK6:AO105,5,FALSE)-BA25)/1000,3),IF(AND(NOT(ISNA(VLOOKUP(AW25,AQ6:AU105,5,FALSE))),AX25="",AY25&lt;&gt;""),ROUND((VLOOKUP(AW25,AQ6:AU105,5,FALSE)-BA25)/1000,3),IF(AND(NOT(ISNA(VLOOKUP(AW25,AW6:BA24,5,FALSE))),AX25="",AY25&lt;&gt;""),ROUND((VLOOKUP(AW25,AW6:BA24,5,FALSE)-BA25)/1000,3),"")))))))))</f>
        <v/>
      </c>
      <c r="BC25" s="81">
        <f>IF(BC24="","",BC24+1)</f>
        <v>919</v>
      </c>
      <c r="BD25" s="91"/>
      <c r="BE25" s="82"/>
      <c r="BF25" s="83" t="str">
        <f>IF(AND(BD25&lt;&gt;"",BE25&lt;&gt;""),ROUND(BD25,3)+ROUND(BF24,3)-ROUND(BE25,3),IF(AND(EXACT(UPPER(BC25),"TBM"),BD25&lt;&gt;""),ROUND(BD25,3),IF(BD25="",BF24,IF(ISNA(VLOOKUP(BC25,A6:E105,5,FALSE)),IF(ISNA(VLOOKUP(BC25,G6:K105,5,FALSE)),IF(ISNA(VLOOKUP(BC25,M6:Q105,5,FALSE)),IF(ISNA(VLOOKUP(BC25,S6:W105,5,FALSE)),IF(ISNA(VLOOKUP(BC25,Y6:AC105,5,FALSE)),IF(ISNA(VLOOKUP(BC25,AE6:AI105,5,FALSE)),IF(ISNA(VLOOKUP(BC25,AK6:AO105,5,FALSE)),IF(ISNA(VLOOKUP(BC25,AQ6:AU105,5,FALSE)),IF(ISNA(VLOOKUP(BC25,AW6:BA105,5,FALSE)),IF(ISNA(VLOOKUP(BC25,BC6:BG24,5,FALSE)),"",ROUND(VLOOKUP(BC25,BC6:BG24,5,FALSE),0)/1000+ROUND(BD25,3)),ROUND(VLOOKUP(BC25,AW6:BA105,5,FALSE),0)/1000+ROUND(BD25,3)),ROUND(VLOOKUP(BC25,AQ6:AU105,5,FALSE),0)/1000+ROUND(BD25,3)),ROUND(VLOOKUP(BC25,AK6:AO105,5,FALSE),0)/1000+ROUND(BD25,3)),ROUND(VLOOKUP(BC25,AE6:AI105,5,FALSE),0)/1000+ROUND(BD25,3)),ROUND(VLOOKUP(BC25,Y6:AC105,5,FALSE),0)/1000+ROUND(BD25,3)),ROUND(VLOOKUP(BC25,S6:W105,5,FALSE),0)/1000+ROUND(BD25,3)),ROUND(VLOOKUP(BC25,M6:Q105,5,FALSE),0)/1000+ROUND(BD25,3)),ROUND(VLOOKUP(BC25,G6:K105,5,FALSE),0)/1000+ROUND(BD25,3)),ROUND(VLOOKUP(BC25,A6:E105,5,FALSE),0)/1000+ROUND(BD25,3)))))</f>
        <v/>
      </c>
      <c r="BG25" s="88" t="str">
        <f>IF(OR(NOT(EXACT(UPPER(BC25),"TBM")),BD25=""),IF(AND(BD25&lt;&gt;"",BE25="",BF25&lt;&gt;""),"",IF(AND(BD25="",BE25&lt;&gt;"",BF25&lt;&gt;""),ROUND(ROUND(BF25,3)-ROUND(BE25,3),3)*1000,IF(AND(BD25&lt;&gt;"",BE25&lt;&gt;"",BF25&lt;&gt;""),ROUND(ROUND(BF24,3)-ROUND(BE25,3),3)*1000,""))),"")</f>
        <v/>
      </c>
      <c r="BH25" s="85" t="str">
        <f>IF(AND(NOT(ISNA(VLOOKUP(BC25,A6:E105,5,FALSE))),BD25="",BE25&lt;&gt;""),ROUND((VLOOKUP(BC25,A6:E105,5,FALSE)-BG25)/1000,3),IF(AND(NOT(ISNA(VLOOKUP(BC25,G6:K105,5,FALSE))),BD25="",BE25&lt;&gt;""),ROUND((VLOOKUP(BC25,G6:K105,5,FALSE)-BG25)/1000,3),IF(AND(NOT(ISNA(VLOOKUP(BC25,M6:Q105,5,FALSE))),BD25="",BE25&lt;&gt;""),ROUND((VLOOKUP(BC25,M6:Q105,5,FALSE)-BG25)/1000,3),IF(AND(NOT(ISNA(VLOOKUP(BC25,S6:W105,5,FALSE))),BD25="",BE25&lt;&gt;""),ROUND((VLOOKUP(BC25,S6:W105,5,FALSE)-BG25)/1000,3),IF(AND(NOT(ISNA(VLOOKUP(BC25,Y6:AC105,5,FALSE))),BD25="",BE25&lt;&gt;""),ROUND((VLOOKUP(BC25,Y6:AC105,5,FALSE)-BG25)/1000,3),IF(AND(NOT(ISNA(VLOOKUP(BC25,AE6:AI105,5,FALSE))),BD25="",BE25&lt;&gt;""),ROUND((VLOOKUP(BC25,AE6:AI105,5,FALSE)-BG25)/1000,3),IF(AND(NOT(ISNA(VLOOKUP(BC25,AK6:AO105,5,FALSE))),BD25="",BE25&lt;&gt;""),ROUND((VLOOKUP(BC25,AK6:AO105,5,FALSE)-BG25)/1000,3),IF(AND(NOT(ISNA(VLOOKUP(BC25,AQ6:AU105,5,FALSE))),BD25="",BE25&lt;&gt;""),ROUND((VLOOKUP(BC25,AQ6:AU105,5,FALSE)-BG25)/1000,3),IF(AND(NOT(ISNA(VLOOKUP(BC25,AW6:BA105,5,FALSE))),BD25="",BE25&lt;&gt;""),ROUND((VLOOKUP(BC25,AW6:BA105,5,FALSE)-BG25)/1000,3),IF(AND(NOT(ISNA(VLOOKUP(BC25,BC6:BG24,5,FALSE))),BD25="",BE25&lt;&gt;""),ROUND((VLOOKUP(BC25,BC6:BG24,5,FALSE)-BG25)/1000,3),""))))))))))</f>
        <v/>
      </c>
    </row>
    <row r="26" spans="1:60" x14ac:dyDescent="0.25">
      <c r="A26" s="64">
        <f t="shared" si="3"/>
        <v>20</v>
      </c>
      <c r="B26" s="38"/>
      <c r="C26" s="38"/>
      <c r="D26" s="17" t="str">
        <f>IF(AND(B26&lt;&gt;"",C26&lt;&gt;""),ROUND(B26,3)+ROUND(D25,3)-ROUND(C26,3),IF(AND(EXACT(UPPER(A26),"TBM"),B26&lt;&gt;""),ROUND(B26,3),IF(B26="",D25,IF(ISNA(VLOOKUP(A26,A6:E25,5,FALSE)),"",ROUND(VLOOKUP(A26,A6:E25,5,FALSE),0)/1000+ROUND(B26,3)))))</f>
        <v/>
      </c>
      <c r="E26" s="22" t="str">
        <f t="shared" si="0"/>
        <v/>
      </c>
      <c r="F26" s="44" t="str">
        <f>IF(AND(NOT(ISNA(VLOOKUP(A26,A6:E25,5,FALSE))),B26="",C26&lt;&gt;""),ROUND((VLOOKUP(A26,A6:E25,5,FALSE)-E26)/1000,3),"")</f>
        <v/>
      </c>
      <c r="G26" s="64">
        <f t="shared" si="1"/>
        <v>120</v>
      </c>
      <c r="H26" s="43"/>
      <c r="I26" s="43"/>
      <c r="J26" s="17" t="str">
        <f>IF(AND(H26&lt;&gt;"",I26&lt;&gt;""),ROUND(H26,3)+ROUND(J25,3)-ROUND(I26,3),IF(AND(EXACT(UPPER(G26),"TBM"),H26&lt;&gt;""),ROUND(H26,3),IF(H26="",J25,IF(ISNA(VLOOKUP(G26,A6:E105,5,FALSE)),IF(ISNA(VLOOKUP(G26,G6:K25,5,FALSE)),"",ROUND(VLOOKUP(G26,G6:K25,5,FALSE),0)/1000+ROUND(H26,3)),ROUND(VLOOKUP(G26,A6:E105,5,FALSE),0)/1000+ROUND(H26,3)))))</f>
        <v/>
      </c>
      <c r="K26" s="18" t="str">
        <f t="shared" si="2"/>
        <v/>
      </c>
      <c r="L26" s="44" t="str">
        <f>IF(AND(NOT(ISNA(VLOOKUP(G26,A6:E105,5,FALSE))),H26="",I26&lt;&gt;""),ROUND((VLOOKUP(G26,A6:E105,5,FALSE)-K26)/1000,3),IF(AND(NOT(ISNA(VLOOKUP(G26,G6:K25,5,FALSE))),H26="",I26&lt;&gt;""),ROUND((VLOOKUP(G26,G6:K25,5,FALSE)-K26)/1000,3),""))</f>
        <v/>
      </c>
      <c r="M26" s="64">
        <f>IF(M25="","",M25+1)</f>
        <v>220</v>
      </c>
      <c r="N26" s="43"/>
      <c r="O26" s="43"/>
      <c r="P26" s="17" t="str">
        <f>IF(AND(N26&lt;&gt;"",O26&lt;&gt;""),ROUND(N26,3)+ROUND(P25,3)-ROUND(O26,3),IF(AND(EXACT(UPPER(M26),"TBM"),N26&lt;&gt;""),ROUND(N26,3),IF(N26="",P25,IF(ISNA(VLOOKUP(M26,A6:E105,5,FALSE)),IF(ISNA(VLOOKUP(M26,G6:K105,5,FALSE)),IF(ISNA(VLOOKUP(M26,M6:Q25,5,FALSE)),"",ROUND(VLOOKUP(M26,M6:Q25,5,FALSE),0)/1000+ROUND(N26,3)),ROUND(VLOOKUP(M26,G6:K105,5,FALSE),0)/1000+ROUND(N26,3)),ROUND(VLOOKUP(M26,A6:E105,5,FALSE),0)/1000+ROUND(N26,3)))))</f>
        <v/>
      </c>
      <c r="Q26" s="18" t="str">
        <f>IF(OR(NOT(EXACT(UPPER(M26),"TBM")),N26=""),IF(AND(N26&lt;&gt;"",O26="",P26&lt;&gt;""),"",IF(AND(N26="",O26&lt;&gt;"",P26&lt;&gt;""),ROUND(ROUND(P26,3)-ROUND(O26,3),3)*1000,IF(AND(N26&lt;&gt;"",O26&lt;&gt;"",P26&lt;&gt;""),ROUND(ROUND(P25,3)-ROUND(O26,3),3)*1000,""))),"")</f>
        <v/>
      </c>
      <c r="R26" s="44" t="str">
        <f>IF(AND(NOT(ISNA(VLOOKUP(M26,A6:E105,5,FALSE))),N26="",O26&lt;&gt;""),ROUND((VLOOKUP(M26,A6:E105,5,FALSE)-Q26)/1000,3),IF(AND(NOT(ISNA(VLOOKUP(M26,G6:K105,5,FALSE))),N26="",O26&lt;&gt;""),ROUND((VLOOKUP(M26,G6:K105,5,FALSE)-Q26)/1000,3),IF(AND(NOT(ISNA(VLOOKUP(M26,M6:Q25,5,FALSE))),N26="",O26&lt;&gt;""),ROUND((VLOOKUP(M26,M6:Q25,5,FALSE)-Q26)/1000,3),"")))</f>
        <v/>
      </c>
      <c r="S26" s="64">
        <f>IF(S25="","",S25+1)</f>
        <v>320</v>
      </c>
      <c r="T26" s="43"/>
      <c r="U26" s="43"/>
      <c r="V26" s="17" t="str">
        <f>IF(AND(T26&lt;&gt;"",U26&lt;&gt;""),ROUND(T26,3)+ROUND(V25,3)-ROUND(U26,3),IF(AND(EXACT(UPPER(S26),"TBM"),T26&lt;&gt;""),ROUND(T26,3),IF(T26="",V25,IF(ISNA(VLOOKUP(S26,A6:E105,5,FALSE)),IF(ISNA(VLOOKUP(S26,G6:K105,5,FALSE)),IF(ISNA(VLOOKUP(S26,M6:Q105,5,FALSE)),IF(ISNA(VLOOKUP(S26,S6:W25,5,FALSE)),"",ROUND(VLOOKUP(S26,S6:W25,5,FALSE),0)/1000+ROUND(T26,3)),ROUND(VLOOKUP(S26,M6:Q105,5,FALSE),0)/1000+ROUND(T26,3)),ROUND(VLOOKUP(S26,G6:K105,5,FALSE),0)/1000+ROUND(T26,3)),ROUND(VLOOKUP(S26,A6:E105,5,FALSE),0)/1000+ROUND(T26,3)))))</f>
        <v/>
      </c>
      <c r="W26" s="18" t="str">
        <f>IF(OR(NOT(EXACT(UPPER(S26),"TBM")),T26=""),IF(AND(T26&lt;&gt;"",U26="",V26&lt;&gt;""),"",IF(AND(T26="",U26&lt;&gt;"",V26&lt;&gt;""),ROUND(ROUND(V26,3)-ROUND(U26,3),3)*1000,IF(AND(T26&lt;&gt;"",U26&lt;&gt;"",V26&lt;&gt;""),ROUND(ROUND(V25,3)-ROUND(U26,3),3)*1000,""))),"")</f>
        <v/>
      </c>
      <c r="X26" s="44" t="str">
        <f>IF(AND(NOT(ISNA(VLOOKUP(S26,A6:E105,5,FALSE))),T26="",U26&lt;&gt;""),ROUND((VLOOKUP(S26,A6:E105,5,FALSE)-W26)/1000,3),IF(AND(NOT(ISNA(VLOOKUP(S26,G6:K105,5,FALSE))),T26="",U26&lt;&gt;""),ROUND((VLOOKUP(S26,G6:K105,5,FALSE)-W26)/1000,3),IF(AND(NOT(ISNA(VLOOKUP(S26,M6:Q105,5,FALSE))),T26="",U26&lt;&gt;""),ROUND((VLOOKUP(S26,M6:Q105,5,FALSE)-W26)/1000,3),IF(AND(NOT(ISNA(VLOOKUP(S26,S6:W25,5,FALSE))),T26="",U26&lt;&gt;""),ROUND((VLOOKUP(S26,S6:W25,5,FALSE)-W26)/1000,3),""))))</f>
        <v/>
      </c>
      <c r="Y26" s="64">
        <f>IF(Y25="","",Y25+1)</f>
        <v>420</v>
      </c>
      <c r="Z26" s="43"/>
      <c r="AA26" s="43"/>
      <c r="AB26" s="17" t="str">
        <f>IF(AND(Z26&lt;&gt;"",AA26&lt;&gt;""),ROUND(Z26,3)+ROUND(AB25,3)-ROUND(AA26,3),IF(AND(EXACT(UPPER(Y26),"TBM"),Z26&lt;&gt;""),ROUND(Z26,3),IF(Z26="",AB25,IF(ISNA(VLOOKUP(Y26,A6:E105,5,FALSE)),IF(ISNA(VLOOKUP(Y26,G6:K105,5,FALSE)),IF(ISNA(VLOOKUP(Y26,M6:Q105,5,FALSE)),IF(ISNA(VLOOKUP(Y26,S6:W105,5,FALSE)),IF(ISNA(VLOOKUP(Y26,Y6:AC25,5,FALSE)),"",ROUND(VLOOKUP(Y26,Y6:AC25,5,FALSE),0)/1000+ROUND(Z26,3)),ROUND(VLOOKUP(Y26,S6:W105,5,FALSE),0)/1000+ROUND(Z26,3)),ROUND(VLOOKUP(Y26,M6:Q105,5,FALSE),0)/1000+ROUND(Z26,3)),ROUND(VLOOKUP(Y26,G6:K105,5,FALSE),0)/1000+ROUND(Z26,3)),ROUND(VLOOKUP(Y26,A6:E105,5,FALSE),0)/1000+ROUND(Z26,3)))))</f>
        <v/>
      </c>
      <c r="AC26" s="18" t="str">
        <f>IF(OR(NOT(EXACT(UPPER(Y26),"TBM")),Z26=""),IF(AND(Z26&lt;&gt;"",AA26="",AB26&lt;&gt;""),"",IF(AND(Z26="",AA26&lt;&gt;"",AB26&lt;&gt;""),ROUND(ROUND(AB26,3)-ROUND(AA26,3),3)*1000,IF(AND(Z26&lt;&gt;"",AA26&lt;&gt;"",AB26&lt;&gt;""),ROUND(ROUND(AB25,3)-ROUND(AA26,3),3)*1000,""))),"")</f>
        <v/>
      </c>
      <c r="AD26" s="44" t="str">
        <f>IF(AND(NOT(ISNA(VLOOKUP(Y26,A6:E105,5,FALSE))),Z26="",AA26&lt;&gt;""),ROUND((VLOOKUP(Y26,A6:E105,5,FALSE)-AC26)/1000,3),IF(AND(NOT(ISNA(VLOOKUP(Y26,G6:K105,5,FALSE))),Z26="",AA26&lt;&gt;""),ROUND((VLOOKUP(Y26,G6:K105,5,FALSE)-AC26)/1000,3),IF(AND(NOT(ISNA(VLOOKUP(Y26,M6:Q105,5,FALSE))),Z26="",AA26&lt;&gt;""),ROUND((VLOOKUP(Y26,M6:Q105,5,FALSE)-AC26)/1000,3),IF(AND(NOT(ISNA(VLOOKUP(Y26,S6:W105,5,FALSE))),Z26="",AA26&lt;&gt;""),ROUND((VLOOKUP(Y26,S6:W105,5,FALSE)-AC26)/1000,3),IF(AND(NOT(ISNA(VLOOKUP(Y26,Y6:AC25,5,FALSE))),Z26="",AA26&lt;&gt;""),ROUND((VLOOKUP(Y26,Y6:AC25,5,FALSE)-AC26)/1000,3),"")))))</f>
        <v/>
      </c>
      <c r="AE26" s="64">
        <f>IF(AE25="","",AE25+1)</f>
        <v>520</v>
      </c>
      <c r="AF26" s="43"/>
      <c r="AG26" s="43"/>
      <c r="AH26" s="17" t="str">
        <f>IF(AND(AF26&lt;&gt;"",AG26&lt;&gt;""),ROUND(AF26,3)+ROUND(AH25,3)-ROUND(AG26,3),IF(AND(EXACT(UPPER(AE26),"TBM"),AF26&lt;&gt;""),ROUND(AF26,3),IF(AF26="",AH25,IF(ISNA(VLOOKUP(AE26,A6:E105,5,FALSE)),IF(ISNA(VLOOKUP(AE26,G6:K105,5,FALSE)),IF(ISNA(VLOOKUP(AE26,M6:Q105,5,FALSE)),IF(ISNA(VLOOKUP(AE26,S6:W105,5,FALSE)),IF(ISNA(VLOOKUP(AE26,Y6:AC105,5,FALSE)),IF(ISNA(VLOOKUP(AE26,AE6:AI25,5,FALSE)),"",ROUND(VLOOKUP(AE26,AE6:AI25,5,FALSE),0)/1000+ROUND(AF26,3)),ROUND(VLOOKUP(AE26,Y6:AC105,5,FALSE),0)/1000+ROUND(AF26,3)),ROUND(VLOOKUP(AE26,S6:W105,5,FALSE),0)/1000+ROUND(AF26,3)),ROUND(VLOOKUP(AE26,M6:Q105,5,FALSE),0)/1000+ROUND(AF26,3)),ROUND(VLOOKUP(AE26,G6:K105,5,FALSE),0)/1000+ROUND(AF26,3)),ROUND(VLOOKUP(AE26,A6:E105,5,FALSE),0)/1000+ROUND(AF26,3)))))</f>
        <v/>
      </c>
      <c r="AI26" s="18" t="str">
        <f>IF(OR(NOT(EXACT(UPPER(AE26),"TBM")),AF26=""),IF(AND(AF26&lt;&gt;"",AG26="",AH26&lt;&gt;""),"",IF(AND(AF26="",AG26&lt;&gt;"",AH26&lt;&gt;""),ROUND(ROUND(AH26,3)-ROUND(AG26,3),3)*1000,IF(AND(AF26&lt;&gt;"",AG26&lt;&gt;"",AH26&lt;&gt;""),ROUND(ROUND(AH25,3)-ROUND(AG26,3),3)*1000,""))),"")</f>
        <v/>
      </c>
      <c r="AJ26" s="44" t="str">
        <f>IF(AND(NOT(ISNA(VLOOKUP(AE26,A6:E105,5,FALSE))),AF26="",AG26&lt;&gt;""),ROUND((VLOOKUP(AE26,A6:E105,5,FALSE)-AI26)/1000,3),IF(AND(NOT(ISNA(VLOOKUP(AE26,G6:K105,5,FALSE))),AF26="",AG26&lt;&gt;""),ROUND((VLOOKUP(AE26,G6:K105,5,FALSE)-AI26)/1000,3),IF(AND(NOT(ISNA(VLOOKUP(AE26,M6:Q105,5,FALSE))),AF26="",AG26&lt;&gt;""),ROUND((VLOOKUP(AE26,M6:Q105,5,FALSE)-AI26)/1000,3),IF(AND(NOT(ISNA(VLOOKUP(AE26,S6:W105,5,FALSE))),AF26="",AG26&lt;&gt;""),ROUND((VLOOKUP(AE26,S6:W105,5,FALSE)-AI26)/1000,3),IF(AND(NOT(ISNA(VLOOKUP(AE26,Y6:AC105,5,FALSE))),AF26="",AG26&lt;&gt;""),ROUND((VLOOKUP(AE26,Y6:AC105,5,FALSE)-AI26)/1000,3),IF(AND(NOT(ISNA(VLOOKUP(AE26,AE6:AI25,5,FALSE))),AF26="",AG26&lt;&gt;""),ROUND((VLOOKUP(AE26,AE6:AI25,5,FALSE)-AI26)/1000,3),""))))))</f>
        <v/>
      </c>
      <c r="AK26" s="64">
        <f>IF(AK25="","",AK25+1)</f>
        <v>620</v>
      </c>
      <c r="AL26" s="43"/>
      <c r="AM26" s="43"/>
      <c r="AN26" s="17" t="str">
        <f>IF(AND(AL26&lt;&gt;"",AM26&lt;&gt;""),ROUND(AL26,3)+ROUND(AN25,3)-ROUND(AM26,3),IF(AND(EXACT(UPPER(AK26),"TBM"),AL26&lt;&gt;""),ROUND(AL26,3),IF(AL26="",AN25,IF(ISNA(VLOOKUP(AK26,A6:E105,5,FALSE)),IF(ISNA(VLOOKUP(AK26,G6:K105,5,FALSE)),IF(ISNA(VLOOKUP(AK26,M6:Q105,5,FALSE)),IF(ISNA(VLOOKUP(AK26,S6:W105,5,FALSE)),IF(ISNA(VLOOKUP(AK26,Y6:AC105,5,FALSE)),IF(ISNA(VLOOKUP(AK26,AE6:AI105,5,FALSE)),IF(ISNA(VLOOKUP(AK26,AK6:AO25,5,FALSE)),"",ROUND(VLOOKUP(AK26,AK6:AO25,5,FALSE),0)/1000+ROUND(AL26,3)),ROUND(VLOOKUP(AK26,AE6:AI105,5,FALSE),0)/1000+ROUND(AL26,3)),ROUND(VLOOKUP(AK26,Y6:AC105,5,FALSE),0)/1000+ROUND(AL26,3)),ROUND(VLOOKUP(AK26,S6:W105,5,FALSE),0)/1000+ROUND(AL26,3)),ROUND(VLOOKUP(AK26,M6:Q105,5,FALSE),0)/1000+ROUND(AL26,3)),ROUND(VLOOKUP(AK26,G6:K105,5,FALSE),0)/1000+ROUND(AL26,3)),ROUND(VLOOKUP(AK26,A6:E105,5,FALSE),0)/1000+ROUND(AL26,3)))))</f>
        <v/>
      </c>
      <c r="AO26" s="18" t="str">
        <f>IF(OR(NOT(EXACT(UPPER(AK26),"TBM")),AL26=""),IF(AND(AL26&lt;&gt;"",AM26="",AN26&lt;&gt;""),"",IF(AND(AL26="",AM26&lt;&gt;"",AN26&lt;&gt;""),ROUND(ROUND(AN26,3)-ROUND(AM26,3),3)*1000,IF(AND(AL26&lt;&gt;"",AM26&lt;&gt;"",AN26&lt;&gt;""),ROUND(ROUND(AN25,3)-ROUND(AM26,3),3)*1000,""))),"")</f>
        <v/>
      </c>
      <c r="AP26" s="44" t="str">
        <f>IF(AND(NOT(ISNA(VLOOKUP(AK26,A6:E105,5,FALSE))),AL26="",AM26&lt;&gt;""),ROUND((VLOOKUP(AK26,A6:E105,5,FALSE)-AO26)/1000,3),IF(AND(NOT(ISNA(VLOOKUP(AK26,G6:K105,5,FALSE))),AL26="",AM26&lt;&gt;""),ROUND((VLOOKUP(AK26,G6:K105,5,FALSE)-AO26)/1000,3),IF(AND(NOT(ISNA(VLOOKUP(AK26,M6:Q105,5,FALSE))),AL26="",AM26&lt;&gt;""),ROUND((VLOOKUP(AK26,M6:Q105,5,FALSE)-AO26)/1000,3),IF(AND(NOT(ISNA(VLOOKUP(AK26,S6:W105,5,FALSE))),AL26="",AM26&lt;&gt;""),ROUND((VLOOKUP(AK26,S6:W105,5,FALSE)-AO26)/1000,3),IF(AND(NOT(ISNA(VLOOKUP(AK26,Y6:AC105,5,FALSE))),AL26="",AM26&lt;&gt;""),ROUND((VLOOKUP(AK26,Y6:AC105,5,FALSE)-AO26)/1000,3),IF(AND(NOT(ISNA(VLOOKUP(AK26,AE6:AI105,5,FALSE))),AL26="",AM26&lt;&gt;""),ROUND((VLOOKUP(AK26,AE6:AI105,5,FALSE)-AO26)/1000,3),IF(AND(NOT(ISNA(VLOOKUP(AK26,AK6:AO25,5,FALSE))),AL26="",AM26&lt;&gt;""),ROUND((VLOOKUP(AK26,AK6:AO25,5,FALSE)-AO26)/1000,3),"")))))))</f>
        <v/>
      </c>
      <c r="AQ26" s="64">
        <f>IF(AQ25="","",AQ25+1)</f>
        <v>720</v>
      </c>
      <c r="AR26" s="43"/>
      <c r="AS26" s="43"/>
      <c r="AT26" s="17" t="str">
        <f>IF(AND(AR26&lt;&gt;"",AS26&lt;&gt;""),ROUND(AR26,3)+ROUND(AT25,3)-ROUND(AS26,3),IF(AND(EXACT(UPPER(AQ26),"TBM"),AR26&lt;&gt;""),ROUND(AR26,3),IF(AR26="",AT25,IF(ISNA(VLOOKUP(AQ26,A6:E105,5,FALSE)),IF(ISNA(VLOOKUP(AQ26,G6:K105,5,FALSE)),IF(ISNA(VLOOKUP(AQ26,M6:Q105,5,FALSE)),IF(ISNA(VLOOKUP(AQ26,S6:W105,5,FALSE)),IF(ISNA(VLOOKUP(AQ26,Y6:AC105,5,FALSE)),IF(ISNA(VLOOKUP(AQ26,AE6:AI105,5,FALSE)),IF(ISNA(VLOOKUP(AQ26,AK6:AO105,5,FALSE)),IF(ISNA(VLOOKUP(AQ26,AQ6:AU25,5,FALSE)),"",ROUND(VLOOKUP(AQ26,AQ6:AU25,5,FALSE),0)/1000+ROUND(AR26,3)),ROUND(VLOOKUP(AQ26,AK6:AO105,5,FALSE),0)/1000+ROUND(AR26,3)),ROUND(VLOOKUP(AQ26,AE6:AI105,5,FALSE),0)/1000+ROUND(AR26,3)),ROUND(VLOOKUP(AQ26,Y6:AC105,5,FALSE),0)/1000+ROUND(AR26,3)),ROUND(VLOOKUP(AQ26,S6:W105,5,FALSE),0)/1000+ROUND(AR26,3)),ROUND(VLOOKUP(AQ26,M6:Q105,5,FALSE),0)/1000+ROUND(AR26,3)),ROUND(VLOOKUP(AQ26,G6:K105,5,FALSE),0)/1000+ROUND(AR26,3)),ROUND(VLOOKUP(AQ26,A6:E105,5,FALSE),0)/1000+ROUND(AR26,3)))))</f>
        <v/>
      </c>
      <c r="AU26" s="18" t="str">
        <f>IF(OR(NOT(EXACT(UPPER(AQ26),"TBM")),AR26=""),IF(AND(AR26&lt;&gt;"",AS26="",AT26&lt;&gt;""),"",IF(AND(AR26="",AS26&lt;&gt;"",AT26&lt;&gt;""),ROUND(ROUND(AT26,3)-ROUND(AS26,3),3)*1000,IF(AND(AR26&lt;&gt;"",AS26&lt;&gt;"",AT26&lt;&gt;""),ROUND(ROUND(AT25,3)-ROUND(AS26,3),3)*1000,""))),"")</f>
        <v/>
      </c>
      <c r="AV26" s="44" t="str">
        <f>IF(AND(NOT(ISNA(VLOOKUP(AQ26,A6:E105,5,FALSE))),AR26="",AS26&lt;&gt;""),ROUND((VLOOKUP(AQ26,A6:E105,5,FALSE)-AU26)/1000,3),IF(AND(NOT(ISNA(VLOOKUP(AQ26,G6:K105,5,FALSE))),AR26="",AS26&lt;&gt;""),ROUND((VLOOKUP(AQ26,G6:K105,5,FALSE)-AU26)/1000,3),IF(AND(NOT(ISNA(VLOOKUP(AQ26,M6:Q105,5,FALSE))),AR26="",AS26&lt;&gt;""),ROUND((VLOOKUP(AQ26,M6:Q105,5,FALSE)-AU26)/1000,3),IF(AND(NOT(ISNA(VLOOKUP(AQ26,S6:W105,5,FALSE))),AR26="",AS26&lt;&gt;""),ROUND((VLOOKUP(AQ26,S6:W105,5,FALSE)-AU26)/1000,3),IF(AND(NOT(ISNA(VLOOKUP(AQ26,Y6:AC105,5,FALSE))),AR26="",AS26&lt;&gt;""),ROUND((VLOOKUP(AQ26,Y6:AC105,5,FALSE)-AU26)/1000,3),IF(AND(NOT(ISNA(VLOOKUP(AQ26,AE6:AI105,5,FALSE))),AR26="",AS26&lt;&gt;""),ROUND((VLOOKUP(AQ26,AE6:AI105,5,FALSE)-AU26)/1000,3),IF(AND(NOT(ISNA(VLOOKUP(AQ26,AK6:AO105,5,FALSE))),AR26="",AS26&lt;&gt;""),ROUND((VLOOKUP(AQ26,AK6:AO105,5,FALSE)-AU26)/1000,3),IF(AND(NOT(ISNA(VLOOKUP(AQ26,AQ6:AU25,5,FALSE))),AR26="",AS26&lt;&gt;""),ROUND((VLOOKUP(AQ26,AQ6:AU25,5,FALSE)-AU26)/1000,3),""))))))))</f>
        <v/>
      </c>
      <c r="AW26" s="64">
        <f>IF(AW25="","",AW25+1)</f>
        <v>820</v>
      </c>
      <c r="AX26" s="43"/>
      <c r="AY26" s="43"/>
      <c r="AZ26" s="17" t="str">
        <f>IF(AND(AX26&lt;&gt;"",AY26&lt;&gt;""),ROUND(AX26,3)+ROUND(AZ25,3)-ROUND(AY26,3),IF(AND(EXACT(UPPER(AW26),"TBM"),AX26&lt;&gt;""),ROUND(AX26,3),IF(AX26="",AZ25,IF(ISNA(VLOOKUP(AW26,A6:E105,5,FALSE)),IF(ISNA(VLOOKUP(AW26,G6:K105,5,FALSE)),IF(ISNA(VLOOKUP(AW26,M6:Q105,5,FALSE)),IF(ISNA(VLOOKUP(AW26,S6:W105,5,FALSE)),IF(ISNA(VLOOKUP(AW26,Y6:AC105,5,FALSE)),IF(ISNA(VLOOKUP(AW26,AE6:AI105,5,FALSE)),IF(ISNA(VLOOKUP(AW26,AK6:AO105,5,FALSE)),IF(ISNA(VLOOKUP(AW26,AQ6:AU105,5,FALSE)),IF(ISNA(VLOOKUP(AW26,AW6:BA25,5,FALSE)),"",ROUND(VLOOKUP(AW26,AW6:BA25,5,FALSE),0)/1000+ROUND(AX26,3)),ROUND(VLOOKUP(AW26,AQ6:AU105,5,FALSE),0)/1000+ROUND(AX26,3)),ROUND(VLOOKUP(AW26,AK6:AO105,5,FALSE),0)/1000+ROUND(AX26,3)),ROUND(VLOOKUP(AW26,AE6:AI105,5,FALSE),0)/1000+ROUND(AX26,3)),ROUND(VLOOKUP(AW26,Y6:AC105,5,FALSE),0)/1000+ROUND(AX26,3)),ROUND(VLOOKUP(AW26,S6:W105,5,FALSE),0)/1000+ROUND(AX26,3)),ROUND(VLOOKUP(AW26,M6:Q105,5,FALSE),0)/1000+ROUND(AX26,3)),ROUND(VLOOKUP(AW26,G6:K105,5,FALSE),0)/1000+ROUND(AX26,3)),ROUND(VLOOKUP(AW26,A6:E105,5,FALSE),0)/1000+ROUND(AX26,3)))))</f>
        <v/>
      </c>
      <c r="BA26" s="18" t="str">
        <f>IF(OR(NOT(EXACT(UPPER(AW26),"TBM")),AX26=""),IF(AND(AX26&lt;&gt;"",AY26="",AZ26&lt;&gt;""),"",IF(AND(AX26="",AY26&lt;&gt;"",AZ26&lt;&gt;""),ROUND(ROUND(AZ26,3)-ROUND(AY26,3),3)*1000,IF(AND(AX26&lt;&gt;"",AY26&lt;&gt;"",AZ26&lt;&gt;""),ROUND(ROUND(AZ25,3)-ROUND(AY26,3),3)*1000,""))),"")</f>
        <v/>
      </c>
      <c r="BB26" s="44" t="str">
        <f>IF(AND(NOT(ISNA(VLOOKUP(AW26,A6:E105,5,FALSE))),AX26="",AY26&lt;&gt;""),ROUND((VLOOKUP(AW26,A6:E105,5,FALSE)-BA26)/1000,3),IF(AND(NOT(ISNA(VLOOKUP(AW26,G6:K105,5,FALSE))),AX26="",AY26&lt;&gt;""),ROUND((VLOOKUP(AW26,G6:K105,5,FALSE)-BA26)/1000,3),IF(AND(NOT(ISNA(VLOOKUP(AW26,M6:Q105,5,FALSE))),AX26="",AY26&lt;&gt;""),ROUND((VLOOKUP(AW26,M6:Q105,5,FALSE)-BA26)/1000,3),IF(AND(NOT(ISNA(VLOOKUP(AW26,S6:W105,5,FALSE))),AX26="",AY26&lt;&gt;""),ROUND((VLOOKUP(AW26,S6:W105,5,FALSE)-BA26)/1000,3),IF(AND(NOT(ISNA(VLOOKUP(AW26,Y6:AC105,5,FALSE))),AX26="",AY26&lt;&gt;""),ROUND((VLOOKUP(AW26,Y6:AC105,5,FALSE)-BA26)/1000,3),IF(AND(NOT(ISNA(VLOOKUP(AW26,AE6:AI105,5,FALSE))),AX26="",AY26&lt;&gt;""),ROUND((VLOOKUP(AW26,AE6:AI105,5,FALSE)-BA26)/1000,3),IF(AND(NOT(ISNA(VLOOKUP(AW26,AK6:AO105,5,FALSE))),AX26="",AY26&lt;&gt;""),ROUND((VLOOKUP(AW26,AK6:AO105,5,FALSE)-BA26)/1000,3),IF(AND(NOT(ISNA(VLOOKUP(AW26,AQ6:AU105,5,FALSE))),AX26="",AY26&lt;&gt;""),ROUND((VLOOKUP(AW26,AQ6:AU105,5,FALSE)-BA26)/1000,3),IF(AND(NOT(ISNA(VLOOKUP(AW26,AW6:BA25,5,FALSE))),AX26="",AY26&lt;&gt;""),ROUND((VLOOKUP(AW26,AW6:BA25,5,FALSE)-BA26)/1000,3),"")))))))))</f>
        <v/>
      </c>
      <c r="BC26" s="64">
        <f>IF(BC25="","",BC25+1)</f>
        <v>920</v>
      </c>
      <c r="BD26" s="43"/>
      <c r="BE26" s="43"/>
      <c r="BF26" s="17" t="str">
        <f>IF(AND(BD26&lt;&gt;"",BE26&lt;&gt;""),ROUND(BD26,3)+ROUND(BF25,3)-ROUND(BE26,3),IF(AND(EXACT(UPPER(BC26),"TBM"),BD26&lt;&gt;""),ROUND(BD26,3),IF(BD26="",BF25,IF(ISNA(VLOOKUP(BC26,A6:E105,5,FALSE)),IF(ISNA(VLOOKUP(BC26,G6:K105,5,FALSE)),IF(ISNA(VLOOKUP(BC26,M6:Q105,5,FALSE)),IF(ISNA(VLOOKUP(BC26,S6:W105,5,FALSE)),IF(ISNA(VLOOKUP(BC26,Y6:AC105,5,FALSE)),IF(ISNA(VLOOKUP(BC26,AE6:AI105,5,FALSE)),IF(ISNA(VLOOKUP(BC26,AK6:AO105,5,FALSE)),IF(ISNA(VLOOKUP(BC26,AQ6:AU105,5,FALSE)),IF(ISNA(VLOOKUP(BC26,AW6:BA105,5,FALSE)),IF(ISNA(VLOOKUP(BC26,BC6:BG25,5,FALSE)),"",ROUND(VLOOKUP(BC26,BC6:BG25,5,FALSE),0)/1000+ROUND(BD26,3)),ROUND(VLOOKUP(BC26,AW6:BA105,5,FALSE),0)/1000+ROUND(BD26,3)),ROUND(VLOOKUP(BC26,AQ6:AU105,5,FALSE),0)/1000+ROUND(BD26,3)),ROUND(VLOOKUP(BC26,AK6:AO105,5,FALSE),0)/1000+ROUND(BD26,3)),ROUND(VLOOKUP(BC26,AE6:AI105,5,FALSE),0)/1000+ROUND(BD26,3)),ROUND(VLOOKUP(BC26,Y6:AC105,5,FALSE),0)/1000+ROUND(BD26,3)),ROUND(VLOOKUP(BC26,S6:W105,5,FALSE),0)/1000+ROUND(BD26,3)),ROUND(VLOOKUP(BC26,M6:Q105,5,FALSE),0)/1000+ROUND(BD26,3)),ROUND(VLOOKUP(BC26,G6:K105,5,FALSE),0)/1000+ROUND(BD26,3)),ROUND(VLOOKUP(BC26,A6:E105,5,FALSE),0)/1000+ROUND(BD26,3)))))</f>
        <v/>
      </c>
      <c r="BG26" s="18" t="str">
        <f>IF(OR(NOT(EXACT(UPPER(BC26),"TBM")),BD26=""),IF(AND(BD26&lt;&gt;"",BE26="",BF26&lt;&gt;""),"",IF(AND(BD26="",BE26&lt;&gt;"",BF26&lt;&gt;""),ROUND(ROUND(BF26,3)-ROUND(BE26,3),3)*1000,IF(AND(BD26&lt;&gt;"",BE26&lt;&gt;"",BF26&lt;&gt;""),ROUND(ROUND(BF25,3)-ROUND(BE26,3),3)*1000,""))),"")</f>
        <v/>
      </c>
      <c r="BH26" s="44" t="str">
        <f>IF(AND(NOT(ISNA(VLOOKUP(BC26,A6:E105,5,FALSE))),BD26="",BE26&lt;&gt;""),ROUND((VLOOKUP(BC26,A6:E105,5,FALSE)-BG26)/1000,3),IF(AND(NOT(ISNA(VLOOKUP(BC26,G6:K105,5,FALSE))),BD26="",BE26&lt;&gt;""),ROUND((VLOOKUP(BC26,G6:K105,5,FALSE)-BG26)/1000,3),IF(AND(NOT(ISNA(VLOOKUP(BC26,M6:Q105,5,FALSE))),BD26="",BE26&lt;&gt;""),ROUND((VLOOKUP(BC26,M6:Q105,5,FALSE)-BG26)/1000,3),IF(AND(NOT(ISNA(VLOOKUP(BC26,S6:W105,5,FALSE))),BD26="",BE26&lt;&gt;""),ROUND((VLOOKUP(BC26,S6:W105,5,FALSE)-BG26)/1000,3),IF(AND(NOT(ISNA(VLOOKUP(BC26,Y6:AC105,5,FALSE))),BD26="",BE26&lt;&gt;""),ROUND((VLOOKUP(BC26,Y6:AC105,5,FALSE)-BG26)/1000,3),IF(AND(NOT(ISNA(VLOOKUP(BC26,AE6:AI105,5,FALSE))),BD26="",BE26&lt;&gt;""),ROUND((VLOOKUP(BC26,AE6:AI105,5,FALSE)-BG26)/1000,3),IF(AND(NOT(ISNA(VLOOKUP(BC26,AK6:AO105,5,FALSE))),BD26="",BE26&lt;&gt;""),ROUND((VLOOKUP(BC26,AK6:AO105,5,FALSE)-BG26)/1000,3),IF(AND(NOT(ISNA(VLOOKUP(BC26,AQ6:AU105,5,FALSE))),BD26="",BE26&lt;&gt;""),ROUND((VLOOKUP(BC26,AQ6:AU105,5,FALSE)-BG26)/1000,3),IF(AND(NOT(ISNA(VLOOKUP(BC26,AW6:BA105,5,FALSE))),BD26="",BE26&lt;&gt;""),ROUND((VLOOKUP(BC26,AW6:BA105,5,FALSE)-BG26)/1000,3),IF(AND(NOT(ISNA(VLOOKUP(BC26,BC6:BG25,5,FALSE))),BD26="",BE26&lt;&gt;""),ROUND((VLOOKUP(BC26,BC6:BG25,5,FALSE)-BG26)/1000,3),""))))))))))</f>
        <v/>
      </c>
    </row>
    <row r="27" spans="1:60" x14ac:dyDescent="0.25">
      <c r="A27" s="19">
        <f t="shared" si="3"/>
        <v>21</v>
      </c>
      <c r="B27" s="38"/>
      <c r="C27" s="38"/>
      <c r="D27" s="15" t="str">
        <f>IF(AND(B27&lt;&gt;"",C27&lt;&gt;""),ROUND(B27,3)+ROUND(D26,3)-ROUND(C27,3),IF(AND(EXACT(UPPER(A27),"TBM"),B27&lt;&gt;""),ROUND(B27,3),IF(B27="",D26,IF(ISNA(VLOOKUP(A27,A6:E26,5,FALSE)),"",ROUND(VLOOKUP(A27,A6:E26,5,FALSE),0)/1000+ROUND(B27,3)))))</f>
        <v/>
      </c>
      <c r="E27" s="21" t="str">
        <f t="shared" si="0"/>
        <v/>
      </c>
      <c r="F27" s="45" t="str">
        <f>IF(AND(NOT(ISNA(VLOOKUP(A27,A6:E26,5,FALSE))),B27="",C27&lt;&gt;""),ROUND((VLOOKUP(A27,A6:E26,5,FALSE)-E27)/1000,3),"")</f>
        <v/>
      </c>
      <c r="G27" s="19">
        <f t="shared" si="1"/>
        <v>121</v>
      </c>
      <c r="H27" s="39"/>
      <c r="I27" s="39"/>
      <c r="J27" s="15" t="str">
        <f>IF(AND(H27&lt;&gt;"",I27&lt;&gt;""),ROUND(H27,3)+ROUND(J26,3)-ROUND(I27,3),IF(AND(EXACT(UPPER(G27),"TBM"),H27&lt;&gt;""),ROUND(H27,3),IF(H27="",J26,IF(ISNA(VLOOKUP(G27,A6:E105,5,FALSE)),IF(ISNA(VLOOKUP(G27,G6:K26,5,FALSE)),"",ROUND(VLOOKUP(G27,G6:K26,5,FALSE),0)/1000+ROUND(H27,3)),ROUND(VLOOKUP(G27,A6:E105,5,FALSE),0)/1000+ROUND(H27,3)))))</f>
        <v/>
      </c>
      <c r="K27" s="18" t="str">
        <f t="shared" si="2"/>
        <v/>
      </c>
      <c r="L27" s="45" t="str">
        <f>IF(AND(NOT(ISNA(VLOOKUP(G27,A6:E105,5,FALSE))),H27="",I27&lt;&gt;""),ROUND((VLOOKUP(G27,A6:E105,5,FALSE)-K27)/1000,3),IF(AND(NOT(ISNA(VLOOKUP(G27,G6:K26,5,FALSE))),H27="",I27&lt;&gt;""),ROUND((VLOOKUP(G27,G6:K26,5,FALSE)-K27)/1000,3),""))</f>
        <v/>
      </c>
      <c r="M27" s="19">
        <f>IF(M26="","",M26+1)</f>
        <v>221</v>
      </c>
      <c r="N27" s="39"/>
      <c r="O27" s="39"/>
      <c r="P27" s="15" t="str">
        <f>IF(AND(N27&lt;&gt;"",O27&lt;&gt;""),ROUND(N27,3)+ROUND(P26,3)-ROUND(O27,3),IF(AND(EXACT(UPPER(M27),"TBM"),N27&lt;&gt;""),ROUND(N27,3),IF(N27="",P26,IF(ISNA(VLOOKUP(M27,A6:E105,5,FALSE)),IF(ISNA(VLOOKUP(M27,G6:K105,5,FALSE)),IF(ISNA(VLOOKUP(M27,M6:Q26,5,FALSE)),"",ROUND(VLOOKUP(M27,M6:Q26,5,FALSE),0)/1000+ROUND(N27,3)),ROUND(VLOOKUP(M27,G6:K105,5,FALSE),0)/1000+ROUND(N27,3)),ROUND(VLOOKUP(M27,A6:E105,5,FALSE),0)/1000+ROUND(N27,3)))))</f>
        <v/>
      </c>
      <c r="Q27" s="18" t="str">
        <f>IF(OR(NOT(EXACT(UPPER(M27),"TBM")),N27=""),IF(AND(N27&lt;&gt;"",O27="",P27&lt;&gt;""),"",IF(AND(N27="",O27&lt;&gt;"",P27&lt;&gt;""),ROUND(ROUND(P27,3)-ROUND(O27,3),3)*1000,IF(AND(N27&lt;&gt;"",O27&lt;&gt;"",P27&lt;&gt;""),ROUND(ROUND(P26,3)-ROUND(O27,3),3)*1000,""))),"")</f>
        <v/>
      </c>
      <c r="R27" s="45" t="str">
        <f>IF(AND(NOT(ISNA(VLOOKUP(M27,A6:E105,5,FALSE))),N27="",O27&lt;&gt;""),ROUND((VLOOKUP(M27,A6:E105,5,FALSE)-Q27)/1000,3),IF(AND(NOT(ISNA(VLOOKUP(M27,G6:K105,5,FALSE))),N27="",O27&lt;&gt;""),ROUND((VLOOKUP(M27,G6:K105,5,FALSE)-Q27)/1000,3),IF(AND(NOT(ISNA(VLOOKUP(M27,M6:Q26,5,FALSE))),N27="",O27&lt;&gt;""),ROUND((VLOOKUP(M27,M6:Q26,5,FALSE)-Q27)/1000,3),"")))</f>
        <v/>
      </c>
      <c r="S27" s="19">
        <f>IF(S26="","",S26+1)</f>
        <v>321</v>
      </c>
      <c r="T27" s="39"/>
      <c r="U27" s="39"/>
      <c r="V27" s="15" t="str">
        <f>IF(AND(T27&lt;&gt;"",U27&lt;&gt;""),ROUND(T27,3)+ROUND(V26,3)-ROUND(U27,3),IF(AND(EXACT(UPPER(S27),"TBM"),T27&lt;&gt;""),ROUND(T27,3),IF(T27="",V26,IF(ISNA(VLOOKUP(S27,A6:E105,5,FALSE)),IF(ISNA(VLOOKUP(S27,G6:K105,5,FALSE)),IF(ISNA(VLOOKUP(S27,M6:Q105,5,FALSE)),IF(ISNA(VLOOKUP(S27,S6:W26,5,FALSE)),"",ROUND(VLOOKUP(S27,S6:W26,5,FALSE),0)/1000+ROUND(T27,3)),ROUND(VLOOKUP(S27,M6:Q105,5,FALSE),0)/1000+ROUND(T27,3)),ROUND(VLOOKUP(S27,G6:K105,5,FALSE),0)/1000+ROUND(T27,3)),ROUND(VLOOKUP(S27,A6:E105,5,FALSE),0)/1000+ROUND(T27,3)))))</f>
        <v/>
      </c>
      <c r="W27" s="18" t="str">
        <f>IF(OR(NOT(EXACT(UPPER(S27),"TBM")),T27=""),IF(AND(T27&lt;&gt;"",U27="",V27&lt;&gt;""),"",IF(AND(T27="",U27&lt;&gt;"",V27&lt;&gt;""),ROUND(ROUND(V27,3)-ROUND(U27,3),3)*1000,IF(AND(T27&lt;&gt;"",U27&lt;&gt;"",V27&lt;&gt;""),ROUND(ROUND(V26,3)-ROUND(U27,3),3)*1000,""))),"")</f>
        <v/>
      </c>
      <c r="X27" s="45" t="str">
        <f>IF(AND(NOT(ISNA(VLOOKUP(S27,A6:E105,5,FALSE))),T27="",U27&lt;&gt;""),ROUND((VLOOKUP(S27,A6:E105,5,FALSE)-W27)/1000,3),IF(AND(NOT(ISNA(VLOOKUP(S27,G6:K105,5,FALSE))),T27="",U27&lt;&gt;""),ROUND((VLOOKUP(S27,G6:K105,5,FALSE)-W27)/1000,3),IF(AND(NOT(ISNA(VLOOKUP(S27,M6:Q105,5,FALSE))),T27="",U27&lt;&gt;""),ROUND((VLOOKUP(S27,M6:Q105,5,FALSE)-W27)/1000,3),IF(AND(NOT(ISNA(VLOOKUP(S27,S6:W26,5,FALSE))),T27="",U27&lt;&gt;""),ROUND((VLOOKUP(S27,S6:W26,5,FALSE)-W27)/1000,3),""))))</f>
        <v/>
      </c>
      <c r="Y27" s="19">
        <f>IF(Y26="","",Y26+1)</f>
        <v>421</v>
      </c>
      <c r="Z27" s="39"/>
      <c r="AA27" s="39"/>
      <c r="AB27" s="15" t="str">
        <f>IF(AND(Z27&lt;&gt;"",AA27&lt;&gt;""),ROUND(Z27,3)+ROUND(AB26,3)-ROUND(AA27,3),IF(AND(EXACT(UPPER(Y27),"TBM"),Z27&lt;&gt;""),ROUND(Z27,3),IF(Z27="",AB26,IF(ISNA(VLOOKUP(Y27,A6:E105,5,FALSE)),IF(ISNA(VLOOKUP(Y27,G6:K105,5,FALSE)),IF(ISNA(VLOOKUP(Y27,M6:Q105,5,FALSE)),IF(ISNA(VLOOKUP(Y27,S6:W105,5,FALSE)),IF(ISNA(VLOOKUP(Y27,Y6:AC26,5,FALSE)),"",ROUND(VLOOKUP(Y27,Y6:AC26,5,FALSE),0)/1000+ROUND(Z27,3)),ROUND(VLOOKUP(Y27,S6:W105,5,FALSE),0)/1000+ROUND(Z27,3)),ROUND(VLOOKUP(Y27,M6:Q105,5,FALSE),0)/1000+ROUND(Z27,3)),ROUND(VLOOKUP(Y27,G6:K105,5,FALSE),0)/1000+ROUND(Z27,3)),ROUND(VLOOKUP(Y27,A6:E105,5,FALSE),0)/1000+ROUND(Z27,3)))))</f>
        <v/>
      </c>
      <c r="AC27" s="18" t="str">
        <f>IF(OR(NOT(EXACT(UPPER(Y27),"TBM")),Z27=""),IF(AND(Z27&lt;&gt;"",AA27="",AB27&lt;&gt;""),"",IF(AND(Z27="",AA27&lt;&gt;"",AB27&lt;&gt;""),ROUND(ROUND(AB27,3)-ROUND(AA27,3),3)*1000,IF(AND(Z27&lt;&gt;"",AA27&lt;&gt;"",AB27&lt;&gt;""),ROUND(ROUND(AB26,3)-ROUND(AA27,3),3)*1000,""))),"")</f>
        <v/>
      </c>
      <c r="AD27" s="45" t="str">
        <f>IF(AND(NOT(ISNA(VLOOKUP(Y27,A6:E105,5,FALSE))),Z27="",AA27&lt;&gt;""),ROUND((VLOOKUP(Y27,A6:E105,5,FALSE)-AC27)/1000,3),IF(AND(NOT(ISNA(VLOOKUP(Y27,G6:K105,5,FALSE))),Z27="",AA27&lt;&gt;""),ROUND((VLOOKUP(Y27,G6:K105,5,FALSE)-AC27)/1000,3),IF(AND(NOT(ISNA(VLOOKUP(Y27,M6:Q105,5,FALSE))),Z27="",AA27&lt;&gt;""),ROUND((VLOOKUP(Y27,M6:Q105,5,FALSE)-AC27)/1000,3),IF(AND(NOT(ISNA(VLOOKUP(Y27,S6:W105,5,FALSE))),Z27="",AA27&lt;&gt;""),ROUND((VLOOKUP(Y27,S6:W105,5,FALSE)-AC27)/1000,3),IF(AND(NOT(ISNA(VLOOKUP(Y27,Y6:AC26,5,FALSE))),Z27="",AA27&lt;&gt;""),ROUND((VLOOKUP(Y27,Y6:AC26,5,FALSE)-AC27)/1000,3),"")))))</f>
        <v/>
      </c>
      <c r="AE27" s="19">
        <f>IF(AE26="","",AE26+1)</f>
        <v>521</v>
      </c>
      <c r="AF27" s="39"/>
      <c r="AG27" s="39"/>
      <c r="AH27" s="15" t="str">
        <f>IF(AND(AF27&lt;&gt;"",AG27&lt;&gt;""),ROUND(AF27,3)+ROUND(AH26,3)-ROUND(AG27,3),IF(AND(EXACT(UPPER(AE27),"TBM"),AF27&lt;&gt;""),ROUND(AF27,3),IF(AF27="",AH26,IF(ISNA(VLOOKUP(AE27,A6:E105,5,FALSE)),IF(ISNA(VLOOKUP(AE27,G6:K105,5,FALSE)),IF(ISNA(VLOOKUP(AE27,M6:Q105,5,FALSE)),IF(ISNA(VLOOKUP(AE27,S6:W105,5,FALSE)),IF(ISNA(VLOOKUP(AE27,Y6:AC105,5,FALSE)),IF(ISNA(VLOOKUP(AE27,AE6:AI26,5,FALSE)),"",ROUND(VLOOKUP(AE27,AE6:AI26,5,FALSE),0)/1000+ROUND(AF27,3)),ROUND(VLOOKUP(AE27,Y6:AC105,5,FALSE),0)/1000+ROUND(AF27,3)),ROUND(VLOOKUP(AE27,S6:W105,5,FALSE),0)/1000+ROUND(AF27,3)),ROUND(VLOOKUP(AE27,M6:Q105,5,FALSE),0)/1000+ROUND(AF27,3)),ROUND(VLOOKUP(AE27,G6:K105,5,FALSE),0)/1000+ROUND(AF27,3)),ROUND(VLOOKUP(AE27,A6:E105,5,FALSE),0)/1000+ROUND(AF27,3)))))</f>
        <v/>
      </c>
      <c r="AI27" s="18" t="str">
        <f>IF(OR(NOT(EXACT(UPPER(AE27),"TBM")),AF27=""),IF(AND(AF27&lt;&gt;"",AG27="",AH27&lt;&gt;""),"",IF(AND(AF27="",AG27&lt;&gt;"",AH27&lt;&gt;""),ROUND(ROUND(AH27,3)-ROUND(AG27,3),3)*1000,IF(AND(AF27&lt;&gt;"",AG27&lt;&gt;"",AH27&lt;&gt;""),ROUND(ROUND(AH26,3)-ROUND(AG27,3),3)*1000,""))),"")</f>
        <v/>
      </c>
      <c r="AJ27" s="45" t="str">
        <f>IF(AND(NOT(ISNA(VLOOKUP(AE27,A6:E105,5,FALSE))),AF27="",AG27&lt;&gt;""),ROUND((VLOOKUP(AE27,A6:E105,5,FALSE)-AI27)/1000,3),IF(AND(NOT(ISNA(VLOOKUP(AE27,G6:K105,5,FALSE))),AF27="",AG27&lt;&gt;""),ROUND((VLOOKUP(AE27,G6:K105,5,FALSE)-AI27)/1000,3),IF(AND(NOT(ISNA(VLOOKUP(AE27,M6:Q105,5,FALSE))),AF27="",AG27&lt;&gt;""),ROUND((VLOOKUP(AE27,M6:Q105,5,FALSE)-AI27)/1000,3),IF(AND(NOT(ISNA(VLOOKUP(AE27,S6:W105,5,FALSE))),AF27="",AG27&lt;&gt;""),ROUND((VLOOKUP(AE27,S6:W105,5,FALSE)-AI27)/1000,3),IF(AND(NOT(ISNA(VLOOKUP(AE27,Y6:AC105,5,FALSE))),AF27="",AG27&lt;&gt;""),ROUND((VLOOKUP(AE27,Y6:AC105,5,FALSE)-AI27)/1000,3),IF(AND(NOT(ISNA(VLOOKUP(AE27,AE6:AI26,5,FALSE))),AF27="",AG27&lt;&gt;""),ROUND((VLOOKUP(AE27,AE6:AI26,5,FALSE)-AI27)/1000,3),""))))))</f>
        <v/>
      </c>
      <c r="AK27" s="19">
        <f>IF(AK26="","",AK26+1)</f>
        <v>621</v>
      </c>
      <c r="AL27" s="39"/>
      <c r="AM27" s="39"/>
      <c r="AN27" s="15" t="str">
        <f>IF(AND(AL27&lt;&gt;"",AM27&lt;&gt;""),ROUND(AL27,3)+ROUND(AN26,3)-ROUND(AM27,3),IF(AND(EXACT(UPPER(AK27),"TBM"),AL27&lt;&gt;""),ROUND(AL27,3),IF(AL27="",AN26,IF(ISNA(VLOOKUP(AK27,A6:E105,5,FALSE)),IF(ISNA(VLOOKUP(AK27,G6:K105,5,FALSE)),IF(ISNA(VLOOKUP(AK27,M6:Q105,5,FALSE)),IF(ISNA(VLOOKUP(AK27,S6:W105,5,FALSE)),IF(ISNA(VLOOKUP(AK27,Y6:AC105,5,FALSE)),IF(ISNA(VLOOKUP(AK27,AE6:AI105,5,FALSE)),IF(ISNA(VLOOKUP(AK27,AK6:AO26,5,FALSE)),"",ROUND(VLOOKUP(AK27,AK6:AO26,5,FALSE),0)/1000+ROUND(AL27,3)),ROUND(VLOOKUP(AK27,AE6:AI105,5,FALSE),0)/1000+ROUND(AL27,3)),ROUND(VLOOKUP(AK27,Y6:AC105,5,FALSE),0)/1000+ROUND(AL27,3)),ROUND(VLOOKUP(AK27,S6:W105,5,FALSE),0)/1000+ROUND(AL27,3)),ROUND(VLOOKUP(AK27,M6:Q105,5,FALSE),0)/1000+ROUND(AL27,3)),ROUND(VLOOKUP(AK27,G6:K105,5,FALSE),0)/1000+ROUND(AL27,3)),ROUND(VLOOKUP(AK27,A6:E105,5,FALSE),0)/1000+ROUND(AL27,3)))))</f>
        <v/>
      </c>
      <c r="AO27" s="18" t="str">
        <f>IF(OR(NOT(EXACT(UPPER(AK27),"TBM")),AL27=""),IF(AND(AL27&lt;&gt;"",AM27="",AN27&lt;&gt;""),"",IF(AND(AL27="",AM27&lt;&gt;"",AN27&lt;&gt;""),ROUND(ROUND(AN27,3)-ROUND(AM27,3),3)*1000,IF(AND(AL27&lt;&gt;"",AM27&lt;&gt;"",AN27&lt;&gt;""),ROUND(ROUND(AN26,3)-ROUND(AM27,3),3)*1000,""))),"")</f>
        <v/>
      </c>
      <c r="AP27" s="45" t="str">
        <f>IF(AND(NOT(ISNA(VLOOKUP(AK27,A6:E105,5,FALSE))),AL27="",AM27&lt;&gt;""),ROUND((VLOOKUP(AK27,A6:E105,5,FALSE)-AO27)/1000,3),IF(AND(NOT(ISNA(VLOOKUP(AK27,G6:K105,5,FALSE))),AL27="",AM27&lt;&gt;""),ROUND((VLOOKUP(AK27,G6:K105,5,FALSE)-AO27)/1000,3),IF(AND(NOT(ISNA(VLOOKUP(AK27,M6:Q105,5,FALSE))),AL27="",AM27&lt;&gt;""),ROUND((VLOOKUP(AK27,M6:Q105,5,FALSE)-AO27)/1000,3),IF(AND(NOT(ISNA(VLOOKUP(AK27,S6:W105,5,FALSE))),AL27="",AM27&lt;&gt;""),ROUND((VLOOKUP(AK27,S6:W105,5,FALSE)-AO27)/1000,3),IF(AND(NOT(ISNA(VLOOKUP(AK27,Y6:AC105,5,FALSE))),AL27="",AM27&lt;&gt;""),ROUND((VLOOKUP(AK27,Y6:AC105,5,FALSE)-AO27)/1000,3),IF(AND(NOT(ISNA(VLOOKUP(AK27,AE6:AI105,5,FALSE))),AL27="",AM27&lt;&gt;""),ROUND((VLOOKUP(AK27,AE6:AI105,5,FALSE)-AO27)/1000,3),IF(AND(NOT(ISNA(VLOOKUP(AK27,AK6:AO26,5,FALSE))),AL27="",AM27&lt;&gt;""),ROUND((VLOOKUP(AK27,AK6:AO26,5,FALSE)-AO27)/1000,3),"")))))))</f>
        <v/>
      </c>
      <c r="AQ27" s="19">
        <f>IF(AQ26="","",AQ26+1)</f>
        <v>721</v>
      </c>
      <c r="AR27" s="39"/>
      <c r="AS27" s="39"/>
      <c r="AT27" s="15" t="str">
        <f>IF(AND(AR27&lt;&gt;"",AS27&lt;&gt;""),ROUND(AR27,3)+ROUND(AT26,3)-ROUND(AS27,3),IF(AND(EXACT(UPPER(AQ27),"TBM"),AR27&lt;&gt;""),ROUND(AR27,3),IF(AR27="",AT26,IF(ISNA(VLOOKUP(AQ27,A6:E105,5,FALSE)),IF(ISNA(VLOOKUP(AQ27,G6:K105,5,FALSE)),IF(ISNA(VLOOKUP(AQ27,M6:Q105,5,FALSE)),IF(ISNA(VLOOKUP(AQ27,S6:W105,5,FALSE)),IF(ISNA(VLOOKUP(AQ27,Y6:AC105,5,FALSE)),IF(ISNA(VLOOKUP(AQ27,AE6:AI105,5,FALSE)),IF(ISNA(VLOOKUP(AQ27,AK6:AO105,5,FALSE)),IF(ISNA(VLOOKUP(AQ27,AQ6:AU26,5,FALSE)),"",ROUND(VLOOKUP(AQ27,AQ6:AU26,5,FALSE),0)/1000+ROUND(AR27,3)),ROUND(VLOOKUP(AQ27,AK6:AO105,5,FALSE),0)/1000+ROUND(AR27,3)),ROUND(VLOOKUP(AQ27,AE6:AI105,5,FALSE),0)/1000+ROUND(AR27,3)),ROUND(VLOOKUP(AQ27,Y6:AC105,5,FALSE),0)/1000+ROUND(AR27,3)),ROUND(VLOOKUP(AQ27,S6:W105,5,FALSE),0)/1000+ROUND(AR27,3)),ROUND(VLOOKUP(AQ27,M6:Q105,5,FALSE),0)/1000+ROUND(AR27,3)),ROUND(VLOOKUP(AQ27,G6:K105,5,FALSE),0)/1000+ROUND(AR27,3)),ROUND(VLOOKUP(AQ27,A6:E105,5,FALSE),0)/1000+ROUND(AR27,3)))))</f>
        <v/>
      </c>
      <c r="AU27" s="18" t="str">
        <f>IF(OR(NOT(EXACT(UPPER(AQ27),"TBM")),AR27=""),IF(AND(AR27&lt;&gt;"",AS27="",AT27&lt;&gt;""),"",IF(AND(AR27="",AS27&lt;&gt;"",AT27&lt;&gt;""),ROUND(ROUND(AT27,3)-ROUND(AS27,3),3)*1000,IF(AND(AR27&lt;&gt;"",AS27&lt;&gt;"",AT27&lt;&gt;""),ROUND(ROUND(AT26,3)-ROUND(AS27,3),3)*1000,""))),"")</f>
        <v/>
      </c>
      <c r="AV27" s="45" t="str">
        <f>IF(AND(NOT(ISNA(VLOOKUP(AQ27,A6:E105,5,FALSE))),AR27="",AS27&lt;&gt;""),ROUND((VLOOKUP(AQ27,A6:E105,5,FALSE)-AU27)/1000,3),IF(AND(NOT(ISNA(VLOOKUP(AQ27,G6:K105,5,FALSE))),AR27="",AS27&lt;&gt;""),ROUND((VLOOKUP(AQ27,G6:K105,5,FALSE)-AU27)/1000,3),IF(AND(NOT(ISNA(VLOOKUP(AQ27,M6:Q105,5,FALSE))),AR27="",AS27&lt;&gt;""),ROUND((VLOOKUP(AQ27,M6:Q105,5,FALSE)-AU27)/1000,3),IF(AND(NOT(ISNA(VLOOKUP(AQ27,S6:W105,5,FALSE))),AR27="",AS27&lt;&gt;""),ROUND((VLOOKUP(AQ27,S6:W105,5,FALSE)-AU27)/1000,3),IF(AND(NOT(ISNA(VLOOKUP(AQ27,Y6:AC105,5,FALSE))),AR27="",AS27&lt;&gt;""),ROUND((VLOOKUP(AQ27,Y6:AC105,5,FALSE)-AU27)/1000,3),IF(AND(NOT(ISNA(VLOOKUP(AQ27,AE6:AI105,5,FALSE))),AR27="",AS27&lt;&gt;""),ROUND((VLOOKUP(AQ27,AE6:AI105,5,FALSE)-AU27)/1000,3),IF(AND(NOT(ISNA(VLOOKUP(AQ27,AK6:AO105,5,FALSE))),AR27="",AS27&lt;&gt;""),ROUND((VLOOKUP(AQ27,AK6:AO105,5,FALSE)-AU27)/1000,3),IF(AND(NOT(ISNA(VLOOKUP(AQ27,AQ6:AU26,5,FALSE))),AR27="",AS27&lt;&gt;""),ROUND((VLOOKUP(AQ27,AQ6:AU26,5,FALSE)-AU27)/1000,3),""))))))))</f>
        <v/>
      </c>
      <c r="AW27" s="19">
        <f>IF(AW26="","",AW26+1)</f>
        <v>821</v>
      </c>
      <c r="AX27" s="39"/>
      <c r="AY27" s="39"/>
      <c r="AZ27" s="15" t="str">
        <f>IF(AND(AX27&lt;&gt;"",AY27&lt;&gt;""),ROUND(AX27,3)+ROUND(AZ26,3)-ROUND(AY27,3),IF(AND(EXACT(UPPER(AW27),"TBM"),AX27&lt;&gt;""),ROUND(AX27,3),IF(AX27="",AZ26,IF(ISNA(VLOOKUP(AW27,A6:E105,5,FALSE)),IF(ISNA(VLOOKUP(AW27,G6:K105,5,FALSE)),IF(ISNA(VLOOKUP(AW27,M6:Q105,5,FALSE)),IF(ISNA(VLOOKUP(AW27,S6:W105,5,FALSE)),IF(ISNA(VLOOKUP(AW27,Y6:AC105,5,FALSE)),IF(ISNA(VLOOKUP(AW27,AE6:AI105,5,FALSE)),IF(ISNA(VLOOKUP(AW27,AK6:AO105,5,FALSE)),IF(ISNA(VLOOKUP(AW27,AQ6:AU105,5,FALSE)),IF(ISNA(VLOOKUP(AW27,AW6:BA26,5,FALSE)),"",ROUND(VLOOKUP(AW27,AW6:BA26,5,FALSE),0)/1000+ROUND(AX27,3)),ROUND(VLOOKUP(AW27,AQ6:AU105,5,FALSE),0)/1000+ROUND(AX27,3)),ROUND(VLOOKUP(AW27,AK6:AO105,5,FALSE),0)/1000+ROUND(AX27,3)),ROUND(VLOOKUP(AW27,AE6:AI105,5,FALSE),0)/1000+ROUND(AX27,3)),ROUND(VLOOKUP(AW27,Y6:AC105,5,FALSE),0)/1000+ROUND(AX27,3)),ROUND(VLOOKUP(AW27,S6:W105,5,FALSE),0)/1000+ROUND(AX27,3)),ROUND(VLOOKUP(AW27,M6:Q105,5,FALSE),0)/1000+ROUND(AX27,3)),ROUND(VLOOKUP(AW27,G6:K105,5,FALSE),0)/1000+ROUND(AX27,3)),ROUND(VLOOKUP(AW27,A6:E105,5,FALSE),0)/1000+ROUND(AX27,3)))))</f>
        <v/>
      </c>
      <c r="BA27" s="18" t="str">
        <f>IF(OR(NOT(EXACT(UPPER(AW27),"TBM")),AX27=""),IF(AND(AX27&lt;&gt;"",AY27="",AZ27&lt;&gt;""),"",IF(AND(AX27="",AY27&lt;&gt;"",AZ27&lt;&gt;""),ROUND(ROUND(AZ27,3)-ROUND(AY27,3),3)*1000,IF(AND(AX27&lt;&gt;"",AY27&lt;&gt;"",AZ27&lt;&gt;""),ROUND(ROUND(AZ26,3)-ROUND(AY27,3),3)*1000,""))),"")</f>
        <v/>
      </c>
      <c r="BB27" s="45" t="str">
        <f>IF(AND(NOT(ISNA(VLOOKUP(AW27,A6:E105,5,FALSE))),AX27="",AY27&lt;&gt;""),ROUND((VLOOKUP(AW27,A6:E105,5,FALSE)-BA27)/1000,3),IF(AND(NOT(ISNA(VLOOKUP(AW27,G6:K105,5,FALSE))),AX27="",AY27&lt;&gt;""),ROUND((VLOOKUP(AW27,G6:K105,5,FALSE)-BA27)/1000,3),IF(AND(NOT(ISNA(VLOOKUP(AW27,M6:Q105,5,FALSE))),AX27="",AY27&lt;&gt;""),ROUND((VLOOKUP(AW27,M6:Q105,5,FALSE)-BA27)/1000,3),IF(AND(NOT(ISNA(VLOOKUP(AW27,S6:W105,5,FALSE))),AX27="",AY27&lt;&gt;""),ROUND((VLOOKUP(AW27,S6:W105,5,FALSE)-BA27)/1000,3),IF(AND(NOT(ISNA(VLOOKUP(AW27,Y6:AC105,5,FALSE))),AX27="",AY27&lt;&gt;""),ROUND((VLOOKUP(AW27,Y6:AC105,5,FALSE)-BA27)/1000,3),IF(AND(NOT(ISNA(VLOOKUP(AW27,AE6:AI105,5,FALSE))),AX27="",AY27&lt;&gt;""),ROUND((VLOOKUP(AW27,AE6:AI105,5,FALSE)-BA27)/1000,3),IF(AND(NOT(ISNA(VLOOKUP(AW27,AK6:AO105,5,FALSE))),AX27="",AY27&lt;&gt;""),ROUND((VLOOKUP(AW27,AK6:AO105,5,FALSE)-BA27)/1000,3),IF(AND(NOT(ISNA(VLOOKUP(AW27,AQ6:AU105,5,FALSE))),AX27="",AY27&lt;&gt;""),ROUND((VLOOKUP(AW27,AQ6:AU105,5,FALSE)-BA27)/1000,3),IF(AND(NOT(ISNA(VLOOKUP(AW27,AW6:BA26,5,FALSE))),AX27="",AY27&lt;&gt;""),ROUND((VLOOKUP(AW27,AW6:BA26,5,FALSE)-BA27)/1000,3),"")))))))))</f>
        <v/>
      </c>
      <c r="BC27" s="19">
        <f>IF(BC26="","",BC26+1)</f>
        <v>921</v>
      </c>
      <c r="BD27" s="39"/>
      <c r="BE27" s="39"/>
      <c r="BF27" s="15" t="str">
        <f>IF(AND(BD27&lt;&gt;"",BE27&lt;&gt;""),ROUND(BD27,3)+ROUND(BF26,3)-ROUND(BE27,3),IF(AND(EXACT(UPPER(BC27),"TBM"),BD27&lt;&gt;""),ROUND(BD27,3),IF(BD27="",BF26,IF(ISNA(VLOOKUP(BC27,A6:E105,5,FALSE)),IF(ISNA(VLOOKUP(BC27,G6:K105,5,FALSE)),IF(ISNA(VLOOKUP(BC27,M6:Q105,5,FALSE)),IF(ISNA(VLOOKUP(BC27,S6:W105,5,FALSE)),IF(ISNA(VLOOKUP(BC27,Y6:AC105,5,FALSE)),IF(ISNA(VLOOKUP(BC27,AE6:AI105,5,FALSE)),IF(ISNA(VLOOKUP(BC27,AK6:AO105,5,FALSE)),IF(ISNA(VLOOKUP(BC27,AQ6:AU105,5,FALSE)),IF(ISNA(VLOOKUP(BC27,AW6:BA105,5,FALSE)),IF(ISNA(VLOOKUP(BC27,BC6:BG26,5,FALSE)),"",ROUND(VLOOKUP(BC27,BC6:BG26,5,FALSE),0)/1000+ROUND(BD27,3)),ROUND(VLOOKUP(BC27,AW6:BA105,5,FALSE),0)/1000+ROUND(BD27,3)),ROUND(VLOOKUP(BC27,AQ6:AU105,5,FALSE),0)/1000+ROUND(BD27,3)),ROUND(VLOOKUP(BC27,AK6:AO105,5,FALSE),0)/1000+ROUND(BD27,3)),ROUND(VLOOKUP(BC27,AE6:AI105,5,FALSE),0)/1000+ROUND(BD27,3)),ROUND(VLOOKUP(BC27,Y6:AC105,5,FALSE),0)/1000+ROUND(BD27,3)),ROUND(VLOOKUP(BC27,S6:W105,5,FALSE),0)/1000+ROUND(BD27,3)),ROUND(VLOOKUP(BC27,M6:Q105,5,FALSE),0)/1000+ROUND(BD27,3)),ROUND(VLOOKUP(BC27,G6:K105,5,FALSE),0)/1000+ROUND(BD27,3)),ROUND(VLOOKUP(BC27,A6:E105,5,FALSE),0)/1000+ROUND(BD27,3)))))</f>
        <v/>
      </c>
      <c r="BG27" s="18" t="str">
        <f>IF(OR(NOT(EXACT(UPPER(BC27),"TBM")),BD27=""),IF(AND(BD27&lt;&gt;"",BE27="",BF27&lt;&gt;""),"",IF(AND(BD27="",BE27&lt;&gt;"",BF27&lt;&gt;""),ROUND(ROUND(BF27,3)-ROUND(BE27,3),3)*1000,IF(AND(BD27&lt;&gt;"",BE27&lt;&gt;"",BF27&lt;&gt;""),ROUND(ROUND(BF26,3)-ROUND(BE27,3),3)*1000,""))),"")</f>
        <v/>
      </c>
      <c r="BH27" s="45" t="str">
        <f>IF(AND(NOT(ISNA(VLOOKUP(BC27,A6:E105,5,FALSE))),BD27="",BE27&lt;&gt;""),ROUND((VLOOKUP(BC27,A6:E105,5,FALSE)-BG27)/1000,3),IF(AND(NOT(ISNA(VLOOKUP(BC27,G6:K105,5,FALSE))),BD27="",BE27&lt;&gt;""),ROUND((VLOOKUP(BC27,G6:K105,5,FALSE)-BG27)/1000,3),IF(AND(NOT(ISNA(VLOOKUP(BC27,M6:Q105,5,FALSE))),BD27="",BE27&lt;&gt;""),ROUND((VLOOKUP(BC27,M6:Q105,5,FALSE)-BG27)/1000,3),IF(AND(NOT(ISNA(VLOOKUP(BC27,S6:W105,5,FALSE))),BD27="",BE27&lt;&gt;""),ROUND((VLOOKUP(BC27,S6:W105,5,FALSE)-BG27)/1000,3),IF(AND(NOT(ISNA(VLOOKUP(BC27,Y6:AC105,5,FALSE))),BD27="",BE27&lt;&gt;""),ROUND((VLOOKUP(BC27,Y6:AC105,5,FALSE)-BG27)/1000,3),IF(AND(NOT(ISNA(VLOOKUP(BC27,AE6:AI105,5,FALSE))),BD27="",BE27&lt;&gt;""),ROUND((VLOOKUP(BC27,AE6:AI105,5,FALSE)-BG27)/1000,3),IF(AND(NOT(ISNA(VLOOKUP(BC27,AK6:AO105,5,FALSE))),BD27="",BE27&lt;&gt;""),ROUND((VLOOKUP(BC27,AK6:AO105,5,FALSE)-BG27)/1000,3),IF(AND(NOT(ISNA(VLOOKUP(BC27,AQ6:AU105,5,FALSE))),BD27="",BE27&lt;&gt;""),ROUND((VLOOKUP(BC27,AQ6:AU105,5,FALSE)-BG27)/1000,3),IF(AND(NOT(ISNA(VLOOKUP(BC27,AW6:BA105,5,FALSE))),BD27="",BE27&lt;&gt;""),ROUND((VLOOKUP(BC27,AW6:BA105,5,FALSE)-BG27)/1000,3),IF(AND(NOT(ISNA(VLOOKUP(BC27,BC6:BG26,5,FALSE))),BD27="",BE27&lt;&gt;""),ROUND((VLOOKUP(BC27,BC6:BG26,5,FALSE)-BG27)/1000,3),""))))))))))</f>
        <v/>
      </c>
    </row>
    <row r="28" spans="1:60" x14ac:dyDescent="0.25">
      <c r="A28" s="19">
        <f t="shared" si="3"/>
        <v>22</v>
      </c>
      <c r="B28" s="39"/>
      <c r="C28" s="39"/>
      <c r="D28" s="15" t="str">
        <f>IF(AND(B28&lt;&gt;"",C28&lt;&gt;""),ROUND(B28,3)+ROUND(D27,3)-ROUND(C28,3),IF(AND(EXACT(UPPER(A28),"TBM"),B28&lt;&gt;""),ROUND(B28,3),IF(B28="",D27,IF(ISNA(VLOOKUP(A28,A6:E27,5,FALSE)),"",ROUND(VLOOKUP(A28,A6:E27,5,FALSE),0)/1000+ROUND(B28,3)))))</f>
        <v/>
      </c>
      <c r="E28" s="22" t="str">
        <f t="shared" si="0"/>
        <v/>
      </c>
      <c r="F28" s="44" t="str">
        <f>IF(AND(NOT(ISNA(VLOOKUP(A28,A6:E27,5,FALSE))),B28="",C28&lt;&gt;""),ROUND((VLOOKUP(A28,A6:E27,5,FALSE)-E28)/1000,3),"")</f>
        <v/>
      </c>
      <c r="G28" s="19">
        <f t="shared" si="1"/>
        <v>122</v>
      </c>
      <c r="H28" s="43"/>
      <c r="I28" s="43"/>
      <c r="J28" s="15" t="str">
        <f>IF(AND(H28&lt;&gt;"",I28&lt;&gt;""),ROUND(H28,3)+ROUND(J27,3)-ROUND(I28,3),IF(AND(EXACT(UPPER(G28),"TBM"),H28&lt;&gt;""),ROUND(H28,3),IF(H28="",J27,IF(ISNA(VLOOKUP(G28,A6:E105,5,FALSE)),IF(ISNA(VLOOKUP(G28,G6:K27,5,FALSE)),"",ROUND(VLOOKUP(G28,G6:K27,5,FALSE),0)/1000+ROUND(H28,3)),ROUND(VLOOKUP(G28,A6:E105,5,FALSE),0)/1000+ROUND(H28,3)))))</f>
        <v/>
      </c>
      <c r="K28" s="18" t="str">
        <f t="shared" si="2"/>
        <v/>
      </c>
      <c r="L28" s="44" t="str">
        <f>IF(AND(NOT(ISNA(VLOOKUP(G28,A6:E105,5,FALSE))),H28="",I28&lt;&gt;""),ROUND((VLOOKUP(G28,A6:E105,5,FALSE)-K28)/1000,3),IF(AND(NOT(ISNA(VLOOKUP(G28,G6:K27,5,FALSE))),H28="",I28&lt;&gt;""),ROUND((VLOOKUP(G28,G6:K27,5,FALSE)-K28)/1000,3),""))</f>
        <v/>
      </c>
      <c r="M28" s="19">
        <f>IF(M27="","",M27+1)</f>
        <v>222</v>
      </c>
      <c r="N28" s="43"/>
      <c r="O28" s="43"/>
      <c r="P28" s="15" t="str">
        <f>IF(AND(N28&lt;&gt;"",O28&lt;&gt;""),ROUND(N28,3)+ROUND(P27,3)-ROUND(O28,3),IF(AND(EXACT(UPPER(M28),"TBM"),N28&lt;&gt;""),ROUND(N28,3),IF(N28="",P27,IF(ISNA(VLOOKUP(M28,A6:E105,5,FALSE)),IF(ISNA(VLOOKUP(M28,G6:K105,5,FALSE)),IF(ISNA(VLOOKUP(M28,M6:Q27,5,FALSE)),"",ROUND(VLOOKUP(M28,M6:Q27,5,FALSE),0)/1000+ROUND(N28,3)),ROUND(VLOOKUP(M28,G6:K105,5,FALSE),0)/1000+ROUND(N28,3)),ROUND(VLOOKUP(M28,A6:E105,5,FALSE),0)/1000+ROUND(N28,3)))))</f>
        <v/>
      </c>
      <c r="Q28" s="18" t="str">
        <f>IF(OR(NOT(EXACT(UPPER(M28),"TBM")),N28=""),IF(AND(N28&lt;&gt;"",O28="",P28&lt;&gt;""),"",IF(AND(N28="",O28&lt;&gt;"",P28&lt;&gt;""),ROUND(ROUND(P28,3)-ROUND(O28,3),3)*1000,IF(AND(N28&lt;&gt;"",O28&lt;&gt;"",P28&lt;&gt;""),ROUND(ROUND(P27,3)-ROUND(O28,3),3)*1000,""))),"")</f>
        <v/>
      </c>
      <c r="R28" s="44" t="str">
        <f>IF(AND(NOT(ISNA(VLOOKUP(M28,A6:E105,5,FALSE))),N28="",O28&lt;&gt;""),ROUND((VLOOKUP(M28,A6:E105,5,FALSE)-Q28)/1000,3),IF(AND(NOT(ISNA(VLOOKUP(M28,G6:K105,5,FALSE))),N28="",O28&lt;&gt;""),ROUND((VLOOKUP(M28,G6:K105,5,FALSE)-Q28)/1000,3),IF(AND(NOT(ISNA(VLOOKUP(M28,M6:Q27,5,FALSE))),N28="",O28&lt;&gt;""),ROUND((VLOOKUP(M28,M6:Q27,5,FALSE)-Q28)/1000,3),"")))</f>
        <v/>
      </c>
      <c r="S28" s="19">
        <f>IF(S27="","",S27+1)</f>
        <v>322</v>
      </c>
      <c r="T28" s="43"/>
      <c r="U28" s="43"/>
      <c r="V28" s="15" t="str">
        <f>IF(AND(T28&lt;&gt;"",U28&lt;&gt;""),ROUND(T28,3)+ROUND(V27,3)-ROUND(U28,3),IF(AND(EXACT(UPPER(S28),"TBM"),T28&lt;&gt;""),ROUND(T28,3),IF(T28="",V27,IF(ISNA(VLOOKUP(S28,A6:E105,5,FALSE)),IF(ISNA(VLOOKUP(S28,G6:K105,5,FALSE)),IF(ISNA(VLOOKUP(S28,M6:Q105,5,FALSE)),IF(ISNA(VLOOKUP(S28,S6:W27,5,FALSE)),"",ROUND(VLOOKUP(S28,S6:W27,5,FALSE),0)/1000+ROUND(T28,3)),ROUND(VLOOKUP(S28,M6:Q105,5,FALSE),0)/1000+ROUND(T28,3)),ROUND(VLOOKUP(S28,G6:K105,5,FALSE),0)/1000+ROUND(T28,3)),ROUND(VLOOKUP(S28,A6:E105,5,FALSE),0)/1000+ROUND(T28,3)))))</f>
        <v/>
      </c>
      <c r="W28" s="18" t="str">
        <f>IF(OR(NOT(EXACT(UPPER(S28),"TBM")),T28=""),IF(AND(T28&lt;&gt;"",U28="",V28&lt;&gt;""),"",IF(AND(T28="",U28&lt;&gt;"",V28&lt;&gt;""),ROUND(ROUND(V28,3)-ROUND(U28,3),3)*1000,IF(AND(T28&lt;&gt;"",U28&lt;&gt;"",V28&lt;&gt;""),ROUND(ROUND(V27,3)-ROUND(U28,3),3)*1000,""))),"")</f>
        <v/>
      </c>
      <c r="X28" s="44" t="str">
        <f>IF(AND(NOT(ISNA(VLOOKUP(S28,A6:E105,5,FALSE))),T28="",U28&lt;&gt;""),ROUND((VLOOKUP(S28,A6:E105,5,FALSE)-W28)/1000,3),IF(AND(NOT(ISNA(VLOOKUP(S28,G6:K105,5,FALSE))),T28="",U28&lt;&gt;""),ROUND((VLOOKUP(S28,G6:K105,5,FALSE)-W28)/1000,3),IF(AND(NOT(ISNA(VLOOKUP(S28,M6:Q105,5,FALSE))),T28="",U28&lt;&gt;""),ROUND((VLOOKUP(S28,M6:Q105,5,FALSE)-W28)/1000,3),IF(AND(NOT(ISNA(VLOOKUP(S28,S6:W27,5,FALSE))),T28="",U28&lt;&gt;""),ROUND((VLOOKUP(S28,S6:W27,5,FALSE)-W28)/1000,3),""))))</f>
        <v/>
      </c>
      <c r="Y28" s="19">
        <f>IF(Y27="","",Y27+1)</f>
        <v>422</v>
      </c>
      <c r="Z28" s="43"/>
      <c r="AA28" s="43"/>
      <c r="AB28" s="15" t="str">
        <f>IF(AND(Z28&lt;&gt;"",AA28&lt;&gt;""),ROUND(Z28,3)+ROUND(AB27,3)-ROUND(AA28,3),IF(AND(EXACT(UPPER(Y28),"TBM"),Z28&lt;&gt;""),ROUND(Z28,3),IF(Z28="",AB27,IF(ISNA(VLOOKUP(Y28,A6:E105,5,FALSE)),IF(ISNA(VLOOKUP(Y28,G6:K105,5,FALSE)),IF(ISNA(VLOOKUP(Y28,M6:Q105,5,FALSE)),IF(ISNA(VLOOKUP(Y28,S6:W105,5,FALSE)),IF(ISNA(VLOOKUP(Y28,Y6:AC27,5,FALSE)),"",ROUND(VLOOKUP(Y28,Y6:AC27,5,FALSE),0)/1000+ROUND(Z28,3)),ROUND(VLOOKUP(Y28,S6:W105,5,FALSE),0)/1000+ROUND(Z28,3)),ROUND(VLOOKUP(Y28,M6:Q105,5,FALSE),0)/1000+ROUND(Z28,3)),ROUND(VLOOKUP(Y28,G6:K105,5,FALSE),0)/1000+ROUND(Z28,3)),ROUND(VLOOKUP(Y28,A6:E105,5,FALSE),0)/1000+ROUND(Z28,3)))))</f>
        <v/>
      </c>
      <c r="AC28" s="18" t="str">
        <f>IF(OR(NOT(EXACT(UPPER(Y28),"TBM")),Z28=""),IF(AND(Z28&lt;&gt;"",AA28="",AB28&lt;&gt;""),"",IF(AND(Z28="",AA28&lt;&gt;"",AB28&lt;&gt;""),ROUND(ROUND(AB28,3)-ROUND(AA28,3),3)*1000,IF(AND(Z28&lt;&gt;"",AA28&lt;&gt;"",AB28&lt;&gt;""),ROUND(ROUND(AB27,3)-ROUND(AA28,3),3)*1000,""))),"")</f>
        <v/>
      </c>
      <c r="AD28" s="44" t="str">
        <f>IF(AND(NOT(ISNA(VLOOKUP(Y28,A6:E105,5,FALSE))),Z28="",AA28&lt;&gt;""),ROUND((VLOOKUP(Y28,A6:E105,5,FALSE)-AC28)/1000,3),IF(AND(NOT(ISNA(VLOOKUP(Y28,G6:K105,5,FALSE))),Z28="",AA28&lt;&gt;""),ROUND((VLOOKUP(Y28,G6:K105,5,FALSE)-AC28)/1000,3),IF(AND(NOT(ISNA(VLOOKUP(Y28,M6:Q105,5,FALSE))),Z28="",AA28&lt;&gt;""),ROUND((VLOOKUP(Y28,M6:Q105,5,FALSE)-AC28)/1000,3),IF(AND(NOT(ISNA(VLOOKUP(Y28,S6:W105,5,FALSE))),Z28="",AA28&lt;&gt;""),ROUND((VLOOKUP(Y28,S6:W105,5,FALSE)-AC28)/1000,3),IF(AND(NOT(ISNA(VLOOKUP(Y28,Y6:AC27,5,FALSE))),Z28="",AA28&lt;&gt;""),ROUND((VLOOKUP(Y28,Y6:AC27,5,FALSE)-AC28)/1000,3),"")))))</f>
        <v/>
      </c>
      <c r="AE28" s="19">
        <f>IF(AE27="","",AE27+1)</f>
        <v>522</v>
      </c>
      <c r="AF28" s="43"/>
      <c r="AG28" s="43"/>
      <c r="AH28" s="15" t="str">
        <f>IF(AND(AF28&lt;&gt;"",AG28&lt;&gt;""),ROUND(AF28,3)+ROUND(AH27,3)-ROUND(AG28,3),IF(AND(EXACT(UPPER(AE28),"TBM"),AF28&lt;&gt;""),ROUND(AF28,3),IF(AF28="",AH27,IF(ISNA(VLOOKUP(AE28,A6:E105,5,FALSE)),IF(ISNA(VLOOKUP(AE28,G6:K105,5,FALSE)),IF(ISNA(VLOOKUP(AE28,M6:Q105,5,FALSE)),IF(ISNA(VLOOKUP(AE28,S6:W105,5,FALSE)),IF(ISNA(VLOOKUP(AE28,Y6:AC105,5,FALSE)),IF(ISNA(VLOOKUP(AE28,AE6:AI27,5,FALSE)),"",ROUND(VLOOKUP(AE28,AE6:AI27,5,FALSE),0)/1000+ROUND(AF28,3)),ROUND(VLOOKUP(AE28,Y6:AC105,5,FALSE),0)/1000+ROUND(AF28,3)),ROUND(VLOOKUP(AE28,S6:W105,5,FALSE),0)/1000+ROUND(AF28,3)),ROUND(VLOOKUP(AE28,M6:Q105,5,FALSE),0)/1000+ROUND(AF28,3)),ROUND(VLOOKUP(AE28,G6:K105,5,FALSE),0)/1000+ROUND(AF28,3)),ROUND(VLOOKUP(AE28,A6:E105,5,FALSE),0)/1000+ROUND(AF28,3)))))</f>
        <v/>
      </c>
      <c r="AI28" s="18" t="str">
        <f>IF(OR(NOT(EXACT(UPPER(AE28),"TBM")),AF28=""),IF(AND(AF28&lt;&gt;"",AG28="",AH28&lt;&gt;""),"",IF(AND(AF28="",AG28&lt;&gt;"",AH28&lt;&gt;""),ROUND(ROUND(AH28,3)-ROUND(AG28,3),3)*1000,IF(AND(AF28&lt;&gt;"",AG28&lt;&gt;"",AH28&lt;&gt;""),ROUND(ROUND(AH27,3)-ROUND(AG28,3),3)*1000,""))),"")</f>
        <v/>
      </c>
      <c r="AJ28" s="44" t="str">
        <f>IF(AND(NOT(ISNA(VLOOKUP(AE28,A6:E105,5,FALSE))),AF28="",AG28&lt;&gt;""),ROUND((VLOOKUP(AE28,A6:E105,5,FALSE)-AI28)/1000,3),IF(AND(NOT(ISNA(VLOOKUP(AE28,G6:K105,5,FALSE))),AF28="",AG28&lt;&gt;""),ROUND((VLOOKUP(AE28,G6:K105,5,FALSE)-AI28)/1000,3),IF(AND(NOT(ISNA(VLOOKUP(AE28,M6:Q105,5,FALSE))),AF28="",AG28&lt;&gt;""),ROUND((VLOOKUP(AE28,M6:Q105,5,FALSE)-AI28)/1000,3),IF(AND(NOT(ISNA(VLOOKUP(AE28,S6:W105,5,FALSE))),AF28="",AG28&lt;&gt;""),ROUND((VLOOKUP(AE28,S6:W105,5,FALSE)-AI28)/1000,3),IF(AND(NOT(ISNA(VLOOKUP(AE28,Y6:AC105,5,FALSE))),AF28="",AG28&lt;&gt;""),ROUND((VLOOKUP(AE28,Y6:AC105,5,FALSE)-AI28)/1000,3),IF(AND(NOT(ISNA(VLOOKUP(AE28,AE6:AI27,5,FALSE))),AF28="",AG28&lt;&gt;""),ROUND((VLOOKUP(AE28,AE6:AI27,5,FALSE)-AI28)/1000,3),""))))))</f>
        <v/>
      </c>
      <c r="AK28" s="19">
        <f>IF(AK27="","",AK27+1)</f>
        <v>622</v>
      </c>
      <c r="AL28" s="43"/>
      <c r="AM28" s="43"/>
      <c r="AN28" s="15" t="str">
        <f>IF(AND(AL28&lt;&gt;"",AM28&lt;&gt;""),ROUND(AL28,3)+ROUND(AN27,3)-ROUND(AM28,3),IF(AND(EXACT(UPPER(AK28),"TBM"),AL28&lt;&gt;""),ROUND(AL28,3),IF(AL28="",AN27,IF(ISNA(VLOOKUP(AK28,A6:E105,5,FALSE)),IF(ISNA(VLOOKUP(AK28,G6:K105,5,FALSE)),IF(ISNA(VLOOKUP(AK28,M6:Q105,5,FALSE)),IF(ISNA(VLOOKUP(AK28,S6:W105,5,FALSE)),IF(ISNA(VLOOKUP(AK28,Y6:AC105,5,FALSE)),IF(ISNA(VLOOKUP(AK28,AE6:AI105,5,FALSE)),IF(ISNA(VLOOKUP(AK28,AK6:AO27,5,FALSE)),"",ROUND(VLOOKUP(AK28,AK6:AO27,5,FALSE),0)/1000+ROUND(AL28,3)),ROUND(VLOOKUP(AK28,AE6:AI105,5,FALSE),0)/1000+ROUND(AL28,3)),ROUND(VLOOKUP(AK28,Y6:AC105,5,FALSE),0)/1000+ROUND(AL28,3)),ROUND(VLOOKUP(AK28,S6:W105,5,FALSE),0)/1000+ROUND(AL28,3)),ROUND(VLOOKUP(AK28,M6:Q105,5,FALSE),0)/1000+ROUND(AL28,3)),ROUND(VLOOKUP(AK28,G6:K105,5,FALSE),0)/1000+ROUND(AL28,3)),ROUND(VLOOKUP(AK28,A6:E105,5,FALSE),0)/1000+ROUND(AL28,3)))))</f>
        <v/>
      </c>
      <c r="AO28" s="18" t="str">
        <f>IF(OR(NOT(EXACT(UPPER(AK28),"TBM")),AL28=""),IF(AND(AL28&lt;&gt;"",AM28="",AN28&lt;&gt;""),"",IF(AND(AL28="",AM28&lt;&gt;"",AN28&lt;&gt;""),ROUND(ROUND(AN28,3)-ROUND(AM28,3),3)*1000,IF(AND(AL28&lt;&gt;"",AM28&lt;&gt;"",AN28&lt;&gt;""),ROUND(ROUND(AN27,3)-ROUND(AM28,3),3)*1000,""))),"")</f>
        <v/>
      </c>
      <c r="AP28" s="44" t="str">
        <f>IF(AND(NOT(ISNA(VLOOKUP(AK28,A6:E105,5,FALSE))),AL28="",AM28&lt;&gt;""),ROUND((VLOOKUP(AK28,A6:E105,5,FALSE)-AO28)/1000,3),IF(AND(NOT(ISNA(VLOOKUP(AK28,G6:K105,5,FALSE))),AL28="",AM28&lt;&gt;""),ROUND((VLOOKUP(AK28,G6:K105,5,FALSE)-AO28)/1000,3),IF(AND(NOT(ISNA(VLOOKUP(AK28,M6:Q105,5,FALSE))),AL28="",AM28&lt;&gt;""),ROUND((VLOOKUP(AK28,M6:Q105,5,FALSE)-AO28)/1000,3),IF(AND(NOT(ISNA(VLOOKUP(AK28,S6:W105,5,FALSE))),AL28="",AM28&lt;&gt;""),ROUND((VLOOKUP(AK28,S6:W105,5,FALSE)-AO28)/1000,3),IF(AND(NOT(ISNA(VLOOKUP(AK28,Y6:AC105,5,FALSE))),AL28="",AM28&lt;&gt;""),ROUND((VLOOKUP(AK28,Y6:AC105,5,FALSE)-AO28)/1000,3),IF(AND(NOT(ISNA(VLOOKUP(AK28,AE6:AI105,5,FALSE))),AL28="",AM28&lt;&gt;""),ROUND((VLOOKUP(AK28,AE6:AI105,5,FALSE)-AO28)/1000,3),IF(AND(NOT(ISNA(VLOOKUP(AK28,AK6:AO27,5,FALSE))),AL28="",AM28&lt;&gt;""),ROUND((VLOOKUP(AK28,AK6:AO27,5,FALSE)-AO28)/1000,3),"")))))))</f>
        <v/>
      </c>
      <c r="AQ28" s="19">
        <f>IF(AQ27="","",AQ27+1)</f>
        <v>722</v>
      </c>
      <c r="AR28" s="43"/>
      <c r="AS28" s="43"/>
      <c r="AT28" s="15" t="str">
        <f>IF(AND(AR28&lt;&gt;"",AS28&lt;&gt;""),ROUND(AR28,3)+ROUND(AT27,3)-ROUND(AS28,3),IF(AND(EXACT(UPPER(AQ28),"TBM"),AR28&lt;&gt;""),ROUND(AR28,3),IF(AR28="",AT27,IF(ISNA(VLOOKUP(AQ28,A6:E105,5,FALSE)),IF(ISNA(VLOOKUP(AQ28,G6:K105,5,FALSE)),IF(ISNA(VLOOKUP(AQ28,M6:Q105,5,FALSE)),IF(ISNA(VLOOKUP(AQ28,S6:W105,5,FALSE)),IF(ISNA(VLOOKUP(AQ28,Y6:AC105,5,FALSE)),IF(ISNA(VLOOKUP(AQ28,AE6:AI105,5,FALSE)),IF(ISNA(VLOOKUP(AQ28,AK6:AO105,5,FALSE)),IF(ISNA(VLOOKUP(AQ28,AQ6:AU27,5,FALSE)),"",ROUND(VLOOKUP(AQ28,AQ6:AU27,5,FALSE),0)/1000+ROUND(AR28,3)),ROUND(VLOOKUP(AQ28,AK6:AO105,5,FALSE),0)/1000+ROUND(AR28,3)),ROUND(VLOOKUP(AQ28,AE6:AI105,5,FALSE),0)/1000+ROUND(AR28,3)),ROUND(VLOOKUP(AQ28,Y6:AC105,5,FALSE),0)/1000+ROUND(AR28,3)),ROUND(VLOOKUP(AQ28,S6:W105,5,FALSE),0)/1000+ROUND(AR28,3)),ROUND(VLOOKUP(AQ28,M6:Q105,5,FALSE),0)/1000+ROUND(AR28,3)),ROUND(VLOOKUP(AQ28,G6:K105,5,FALSE),0)/1000+ROUND(AR28,3)),ROUND(VLOOKUP(AQ28,A6:E105,5,FALSE),0)/1000+ROUND(AR28,3)))))</f>
        <v/>
      </c>
      <c r="AU28" s="18" t="str">
        <f>IF(OR(NOT(EXACT(UPPER(AQ28),"TBM")),AR28=""),IF(AND(AR28&lt;&gt;"",AS28="",AT28&lt;&gt;""),"",IF(AND(AR28="",AS28&lt;&gt;"",AT28&lt;&gt;""),ROUND(ROUND(AT28,3)-ROUND(AS28,3),3)*1000,IF(AND(AR28&lt;&gt;"",AS28&lt;&gt;"",AT28&lt;&gt;""),ROUND(ROUND(AT27,3)-ROUND(AS28,3),3)*1000,""))),"")</f>
        <v/>
      </c>
      <c r="AV28" s="44" t="str">
        <f>IF(AND(NOT(ISNA(VLOOKUP(AQ28,A6:E105,5,FALSE))),AR28="",AS28&lt;&gt;""),ROUND((VLOOKUP(AQ28,A6:E105,5,FALSE)-AU28)/1000,3),IF(AND(NOT(ISNA(VLOOKUP(AQ28,G6:K105,5,FALSE))),AR28="",AS28&lt;&gt;""),ROUND((VLOOKUP(AQ28,G6:K105,5,FALSE)-AU28)/1000,3),IF(AND(NOT(ISNA(VLOOKUP(AQ28,M6:Q105,5,FALSE))),AR28="",AS28&lt;&gt;""),ROUND((VLOOKUP(AQ28,M6:Q105,5,FALSE)-AU28)/1000,3),IF(AND(NOT(ISNA(VLOOKUP(AQ28,S6:W105,5,FALSE))),AR28="",AS28&lt;&gt;""),ROUND((VLOOKUP(AQ28,S6:W105,5,FALSE)-AU28)/1000,3),IF(AND(NOT(ISNA(VLOOKUP(AQ28,Y6:AC105,5,FALSE))),AR28="",AS28&lt;&gt;""),ROUND((VLOOKUP(AQ28,Y6:AC105,5,FALSE)-AU28)/1000,3),IF(AND(NOT(ISNA(VLOOKUP(AQ28,AE6:AI105,5,FALSE))),AR28="",AS28&lt;&gt;""),ROUND((VLOOKUP(AQ28,AE6:AI105,5,FALSE)-AU28)/1000,3),IF(AND(NOT(ISNA(VLOOKUP(AQ28,AK6:AO105,5,FALSE))),AR28="",AS28&lt;&gt;""),ROUND((VLOOKUP(AQ28,AK6:AO105,5,FALSE)-AU28)/1000,3),IF(AND(NOT(ISNA(VLOOKUP(AQ28,AQ6:AU27,5,FALSE))),AR28="",AS28&lt;&gt;""),ROUND((VLOOKUP(AQ28,AQ6:AU27,5,FALSE)-AU28)/1000,3),""))))))))</f>
        <v/>
      </c>
      <c r="AW28" s="19">
        <f>IF(AW27="","",AW27+1)</f>
        <v>822</v>
      </c>
      <c r="AX28" s="43"/>
      <c r="AY28" s="43"/>
      <c r="AZ28" s="15" t="str">
        <f>IF(AND(AX28&lt;&gt;"",AY28&lt;&gt;""),ROUND(AX28,3)+ROUND(AZ27,3)-ROUND(AY28,3),IF(AND(EXACT(UPPER(AW28),"TBM"),AX28&lt;&gt;""),ROUND(AX28,3),IF(AX28="",AZ27,IF(ISNA(VLOOKUP(AW28,A6:E105,5,FALSE)),IF(ISNA(VLOOKUP(AW28,G6:K105,5,FALSE)),IF(ISNA(VLOOKUP(AW28,M6:Q105,5,FALSE)),IF(ISNA(VLOOKUP(AW28,S6:W105,5,FALSE)),IF(ISNA(VLOOKUP(AW28,Y6:AC105,5,FALSE)),IF(ISNA(VLOOKUP(AW28,AE6:AI105,5,FALSE)),IF(ISNA(VLOOKUP(AW28,AK6:AO105,5,FALSE)),IF(ISNA(VLOOKUP(AW28,AQ6:AU105,5,FALSE)),IF(ISNA(VLOOKUP(AW28,AW6:BA27,5,FALSE)),"",ROUND(VLOOKUP(AW28,AW6:BA27,5,FALSE),0)/1000+ROUND(AX28,3)),ROUND(VLOOKUP(AW28,AQ6:AU105,5,FALSE),0)/1000+ROUND(AX28,3)),ROUND(VLOOKUP(AW28,AK6:AO105,5,FALSE),0)/1000+ROUND(AX28,3)),ROUND(VLOOKUP(AW28,AE6:AI105,5,FALSE),0)/1000+ROUND(AX28,3)),ROUND(VLOOKUP(AW28,Y6:AC105,5,FALSE),0)/1000+ROUND(AX28,3)),ROUND(VLOOKUP(AW28,S6:W105,5,FALSE),0)/1000+ROUND(AX28,3)),ROUND(VLOOKUP(AW28,M6:Q105,5,FALSE),0)/1000+ROUND(AX28,3)),ROUND(VLOOKUP(AW28,G6:K105,5,FALSE),0)/1000+ROUND(AX28,3)),ROUND(VLOOKUP(AW28,A6:E105,5,FALSE),0)/1000+ROUND(AX28,3)))))</f>
        <v/>
      </c>
      <c r="BA28" s="18" t="str">
        <f>IF(OR(NOT(EXACT(UPPER(AW28),"TBM")),AX28=""),IF(AND(AX28&lt;&gt;"",AY28="",AZ28&lt;&gt;""),"",IF(AND(AX28="",AY28&lt;&gt;"",AZ28&lt;&gt;""),ROUND(ROUND(AZ28,3)-ROUND(AY28,3),3)*1000,IF(AND(AX28&lt;&gt;"",AY28&lt;&gt;"",AZ28&lt;&gt;""),ROUND(ROUND(AZ27,3)-ROUND(AY28,3),3)*1000,""))),"")</f>
        <v/>
      </c>
      <c r="BB28" s="44" t="str">
        <f>IF(AND(NOT(ISNA(VLOOKUP(AW28,A6:E105,5,FALSE))),AX28="",AY28&lt;&gt;""),ROUND((VLOOKUP(AW28,A6:E105,5,FALSE)-BA28)/1000,3),IF(AND(NOT(ISNA(VLOOKUP(AW28,G6:K105,5,FALSE))),AX28="",AY28&lt;&gt;""),ROUND((VLOOKUP(AW28,G6:K105,5,FALSE)-BA28)/1000,3),IF(AND(NOT(ISNA(VLOOKUP(AW28,M6:Q105,5,FALSE))),AX28="",AY28&lt;&gt;""),ROUND((VLOOKUP(AW28,M6:Q105,5,FALSE)-BA28)/1000,3),IF(AND(NOT(ISNA(VLOOKUP(AW28,S6:W105,5,FALSE))),AX28="",AY28&lt;&gt;""),ROUND((VLOOKUP(AW28,S6:W105,5,FALSE)-BA28)/1000,3),IF(AND(NOT(ISNA(VLOOKUP(AW28,Y6:AC105,5,FALSE))),AX28="",AY28&lt;&gt;""),ROUND((VLOOKUP(AW28,Y6:AC105,5,FALSE)-BA28)/1000,3),IF(AND(NOT(ISNA(VLOOKUP(AW28,AE6:AI105,5,FALSE))),AX28="",AY28&lt;&gt;""),ROUND((VLOOKUP(AW28,AE6:AI105,5,FALSE)-BA28)/1000,3),IF(AND(NOT(ISNA(VLOOKUP(AW28,AK6:AO105,5,FALSE))),AX28="",AY28&lt;&gt;""),ROUND((VLOOKUP(AW28,AK6:AO105,5,FALSE)-BA28)/1000,3),IF(AND(NOT(ISNA(VLOOKUP(AW28,AQ6:AU105,5,FALSE))),AX28="",AY28&lt;&gt;""),ROUND((VLOOKUP(AW28,AQ6:AU105,5,FALSE)-BA28)/1000,3),IF(AND(NOT(ISNA(VLOOKUP(AW28,AW6:BA27,5,FALSE))),AX28="",AY28&lt;&gt;""),ROUND((VLOOKUP(AW28,AW6:BA27,5,FALSE)-BA28)/1000,3),"")))))))))</f>
        <v/>
      </c>
      <c r="BC28" s="19">
        <f>IF(BC27="","",BC27+1)</f>
        <v>922</v>
      </c>
      <c r="BD28" s="43"/>
      <c r="BE28" s="43"/>
      <c r="BF28" s="15" t="str">
        <f>IF(AND(BD28&lt;&gt;"",BE28&lt;&gt;""),ROUND(BD28,3)+ROUND(BF27,3)-ROUND(BE28,3),IF(AND(EXACT(UPPER(BC28),"TBM"),BD28&lt;&gt;""),ROUND(BD28,3),IF(BD28="",BF27,IF(ISNA(VLOOKUP(BC28,A6:E105,5,FALSE)),IF(ISNA(VLOOKUP(BC28,G6:K105,5,FALSE)),IF(ISNA(VLOOKUP(BC28,M6:Q105,5,FALSE)),IF(ISNA(VLOOKUP(BC28,S6:W105,5,FALSE)),IF(ISNA(VLOOKUP(BC28,Y6:AC105,5,FALSE)),IF(ISNA(VLOOKUP(BC28,AE6:AI105,5,FALSE)),IF(ISNA(VLOOKUP(BC28,AK6:AO105,5,FALSE)),IF(ISNA(VLOOKUP(BC28,AQ6:AU105,5,FALSE)),IF(ISNA(VLOOKUP(BC28,AW6:BA105,5,FALSE)),IF(ISNA(VLOOKUP(BC28,BC6:BG27,5,FALSE)),"",ROUND(VLOOKUP(BC28,BC6:BG27,5,FALSE),0)/1000+ROUND(BD28,3)),ROUND(VLOOKUP(BC28,AW6:BA105,5,FALSE),0)/1000+ROUND(BD28,3)),ROUND(VLOOKUP(BC28,AQ6:AU105,5,FALSE),0)/1000+ROUND(BD28,3)),ROUND(VLOOKUP(BC28,AK6:AO105,5,FALSE),0)/1000+ROUND(BD28,3)),ROUND(VLOOKUP(BC28,AE6:AI105,5,FALSE),0)/1000+ROUND(BD28,3)),ROUND(VLOOKUP(BC28,Y6:AC105,5,FALSE),0)/1000+ROUND(BD28,3)),ROUND(VLOOKUP(BC28,S6:W105,5,FALSE),0)/1000+ROUND(BD28,3)),ROUND(VLOOKUP(BC28,M6:Q105,5,FALSE),0)/1000+ROUND(BD28,3)),ROUND(VLOOKUP(BC28,G6:K105,5,FALSE),0)/1000+ROUND(BD28,3)),ROUND(VLOOKUP(BC28,A6:E105,5,FALSE),0)/1000+ROUND(BD28,3)))))</f>
        <v/>
      </c>
      <c r="BG28" s="18" t="str">
        <f>IF(OR(NOT(EXACT(UPPER(BC28),"TBM")),BD28=""),IF(AND(BD28&lt;&gt;"",BE28="",BF28&lt;&gt;""),"",IF(AND(BD28="",BE28&lt;&gt;"",BF28&lt;&gt;""),ROUND(ROUND(BF28,3)-ROUND(BE28,3),3)*1000,IF(AND(BD28&lt;&gt;"",BE28&lt;&gt;"",BF28&lt;&gt;""),ROUND(ROUND(BF27,3)-ROUND(BE28,3),3)*1000,""))),"")</f>
        <v/>
      </c>
      <c r="BH28" s="44" t="str">
        <f>IF(AND(NOT(ISNA(VLOOKUP(BC28,A6:E105,5,FALSE))),BD28="",BE28&lt;&gt;""),ROUND((VLOOKUP(BC28,A6:E105,5,FALSE)-BG28)/1000,3),IF(AND(NOT(ISNA(VLOOKUP(BC28,G6:K105,5,FALSE))),BD28="",BE28&lt;&gt;""),ROUND((VLOOKUP(BC28,G6:K105,5,FALSE)-BG28)/1000,3),IF(AND(NOT(ISNA(VLOOKUP(BC28,M6:Q105,5,FALSE))),BD28="",BE28&lt;&gt;""),ROUND((VLOOKUP(BC28,M6:Q105,5,FALSE)-BG28)/1000,3),IF(AND(NOT(ISNA(VLOOKUP(BC28,S6:W105,5,FALSE))),BD28="",BE28&lt;&gt;""),ROUND((VLOOKUP(BC28,S6:W105,5,FALSE)-BG28)/1000,3),IF(AND(NOT(ISNA(VLOOKUP(BC28,Y6:AC105,5,FALSE))),BD28="",BE28&lt;&gt;""),ROUND((VLOOKUP(BC28,Y6:AC105,5,FALSE)-BG28)/1000,3),IF(AND(NOT(ISNA(VLOOKUP(BC28,AE6:AI105,5,FALSE))),BD28="",BE28&lt;&gt;""),ROUND((VLOOKUP(BC28,AE6:AI105,5,FALSE)-BG28)/1000,3),IF(AND(NOT(ISNA(VLOOKUP(BC28,AK6:AO105,5,FALSE))),BD28="",BE28&lt;&gt;""),ROUND((VLOOKUP(BC28,AK6:AO105,5,FALSE)-BG28)/1000,3),IF(AND(NOT(ISNA(VLOOKUP(BC28,AQ6:AU105,5,FALSE))),BD28="",BE28&lt;&gt;""),ROUND((VLOOKUP(BC28,AQ6:AU105,5,FALSE)-BG28)/1000,3),IF(AND(NOT(ISNA(VLOOKUP(BC28,AW6:BA105,5,FALSE))),BD28="",BE28&lt;&gt;""),ROUND((VLOOKUP(BC28,AW6:BA105,5,FALSE)-BG28)/1000,3),IF(AND(NOT(ISNA(VLOOKUP(BC28,BC6:BG27,5,FALSE))),BD28="",BE28&lt;&gt;""),ROUND((VLOOKUP(BC28,BC6:BG27,5,FALSE)-BG28)/1000,3),""))))))))))</f>
        <v/>
      </c>
    </row>
    <row r="29" spans="1:60" x14ac:dyDescent="0.25">
      <c r="A29" s="19">
        <f t="shared" si="3"/>
        <v>23</v>
      </c>
      <c r="B29" s="39"/>
      <c r="C29" s="39"/>
      <c r="D29" s="15" t="str">
        <f>IF(AND(B29&lt;&gt;"",C29&lt;&gt;""),ROUND(B29,3)+ROUND(D28,3)-ROUND(C29,3),IF(AND(EXACT(UPPER(A29),"TBM"),B29&lt;&gt;""),ROUND(B29,3),IF(B29="",D28,IF(ISNA(VLOOKUP(A29,A6:E28,5,FALSE)),"",ROUND(VLOOKUP(A29,A6:E28,5,FALSE),0)/1000+ROUND(B29,3)))))</f>
        <v/>
      </c>
      <c r="E29" s="21" t="str">
        <f t="shared" si="0"/>
        <v/>
      </c>
      <c r="F29" s="45" t="str">
        <f>IF(AND(NOT(ISNA(VLOOKUP(A29,A6:E28,5,FALSE))),B29="",C29&lt;&gt;""),ROUND((VLOOKUP(A29,A6:E28,5,FALSE)-E29)/1000,3),"")</f>
        <v/>
      </c>
      <c r="G29" s="19">
        <f t="shared" si="1"/>
        <v>123</v>
      </c>
      <c r="H29" s="39"/>
      <c r="I29" s="39"/>
      <c r="J29" s="15" t="str">
        <f>IF(AND(H29&lt;&gt;"",I29&lt;&gt;""),ROUND(H29,3)+ROUND(J28,3)-ROUND(I29,3),IF(AND(EXACT(UPPER(G29),"TBM"),H29&lt;&gt;""),ROUND(H29,3),IF(H29="",J28,IF(ISNA(VLOOKUP(G29,A6:E105,5,FALSE)),IF(ISNA(VLOOKUP(G29,G6:K28,5,FALSE)),"",ROUND(VLOOKUP(G29,G6:K28,5,FALSE),0)/1000+ROUND(H29,3)),ROUND(VLOOKUP(G29,A6:E105,5,FALSE),0)/1000+ROUND(H29,3)))))</f>
        <v/>
      </c>
      <c r="K29" s="18" t="str">
        <f t="shared" si="2"/>
        <v/>
      </c>
      <c r="L29" s="45" t="str">
        <f>IF(AND(NOT(ISNA(VLOOKUP(G29,A6:E105,5,FALSE))),H29="",I29&lt;&gt;""),ROUND((VLOOKUP(G29,A6:E105,5,FALSE)-K29)/1000,3),IF(AND(NOT(ISNA(VLOOKUP(G29,G6:K28,5,FALSE))),H29="",I29&lt;&gt;""),ROUND((VLOOKUP(G29,G6:K28,5,FALSE)-K29)/1000,3),""))</f>
        <v/>
      </c>
      <c r="M29" s="19">
        <f>IF(M28="","",M28+1)</f>
        <v>223</v>
      </c>
      <c r="N29" s="39"/>
      <c r="O29" s="39"/>
      <c r="P29" s="15" t="str">
        <f>IF(AND(N29&lt;&gt;"",O29&lt;&gt;""),ROUND(N29,3)+ROUND(P28,3)-ROUND(O29,3),IF(AND(EXACT(UPPER(M29),"TBM"),N29&lt;&gt;""),ROUND(N29,3),IF(N29="",P28,IF(ISNA(VLOOKUP(M29,A6:E105,5,FALSE)),IF(ISNA(VLOOKUP(M29,G6:K105,5,FALSE)),IF(ISNA(VLOOKUP(M29,M6:Q28,5,FALSE)),"",ROUND(VLOOKUP(M29,M6:Q28,5,FALSE),0)/1000+ROUND(N29,3)),ROUND(VLOOKUP(M29,G6:K105,5,FALSE),0)/1000+ROUND(N29,3)),ROUND(VLOOKUP(M29,A6:E105,5,FALSE),0)/1000+ROUND(N29,3)))))</f>
        <v/>
      </c>
      <c r="Q29" s="18" t="str">
        <f>IF(OR(NOT(EXACT(UPPER(M29),"TBM")),N29=""),IF(AND(N29&lt;&gt;"",O29="",P29&lt;&gt;""),"",IF(AND(N29="",O29&lt;&gt;"",P29&lt;&gt;""),ROUND(ROUND(P29,3)-ROUND(O29,3),3)*1000,IF(AND(N29&lt;&gt;"",O29&lt;&gt;"",P29&lt;&gt;""),ROUND(ROUND(P28,3)-ROUND(O29,3),3)*1000,""))),"")</f>
        <v/>
      </c>
      <c r="R29" s="45" t="str">
        <f>IF(AND(NOT(ISNA(VLOOKUP(M29,A6:E105,5,FALSE))),N29="",O29&lt;&gt;""),ROUND((VLOOKUP(M29,A6:E105,5,FALSE)-Q29)/1000,3),IF(AND(NOT(ISNA(VLOOKUP(M29,G6:K105,5,FALSE))),N29="",O29&lt;&gt;""),ROUND((VLOOKUP(M29,G6:K105,5,FALSE)-Q29)/1000,3),IF(AND(NOT(ISNA(VLOOKUP(M29,M6:Q28,5,FALSE))),N29="",O29&lt;&gt;""),ROUND((VLOOKUP(M29,M6:Q28,5,FALSE)-Q29)/1000,3),"")))</f>
        <v/>
      </c>
      <c r="S29" s="19">
        <f>IF(S28="","",S28+1)</f>
        <v>323</v>
      </c>
      <c r="T29" s="39"/>
      <c r="U29" s="39"/>
      <c r="V29" s="15" t="str">
        <f>IF(AND(T29&lt;&gt;"",U29&lt;&gt;""),ROUND(T29,3)+ROUND(V28,3)-ROUND(U29,3),IF(AND(EXACT(UPPER(S29),"TBM"),T29&lt;&gt;""),ROUND(T29,3),IF(T29="",V28,IF(ISNA(VLOOKUP(S29,A6:E105,5,FALSE)),IF(ISNA(VLOOKUP(S29,G6:K105,5,FALSE)),IF(ISNA(VLOOKUP(S29,M6:Q105,5,FALSE)),IF(ISNA(VLOOKUP(S29,S6:W28,5,FALSE)),"",ROUND(VLOOKUP(S29,S6:W28,5,FALSE),0)/1000+ROUND(T29,3)),ROUND(VLOOKUP(S29,M6:Q105,5,FALSE),0)/1000+ROUND(T29,3)),ROUND(VLOOKUP(S29,G6:K105,5,FALSE),0)/1000+ROUND(T29,3)),ROUND(VLOOKUP(S29,A6:E105,5,FALSE),0)/1000+ROUND(T29,3)))))</f>
        <v/>
      </c>
      <c r="W29" s="18" t="str">
        <f>IF(OR(NOT(EXACT(UPPER(S29),"TBM")),T29=""),IF(AND(T29&lt;&gt;"",U29="",V29&lt;&gt;""),"",IF(AND(T29="",U29&lt;&gt;"",V29&lt;&gt;""),ROUND(ROUND(V29,3)-ROUND(U29,3),3)*1000,IF(AND(T29&lt;&gt;"",U29&lt;&gt;"",V29&lt;&gt;""),ROUND(ROUND(V28,3)-ROUND(U29,3),3)*1000,""))),"")</f>
        <v/>
      </c>
      <c r="X29" s="45" t="str">
        <f>IF(AND(NOT(ISNA(VLOOKUP(S29,A6:E105,5,FALSE))),T29="",U29&lt;&gt;""),ROUND((VLOOKUP(S29,A6:E105,5,FALSE)-W29)/1000,3),IF(AND(NOT(ISNA(VLOOKUP(S29,G6:K105,5,FALSE))),T29="",U29&lt;&gt;""),ROUND((VLOOKUP(S29,G6:K105,5,FALSE)-W29)/1000,3),IF(AND(NOT(ISNA(VLOOKUP(S29,M6:Q105,5,FALSE))),T29="",U29&lt;&gt;""),ROUND((VLOOKUP(S29,M6:Q105,5,FALSE)-W29)/1000,3),IF(AND(NOT(ISNA(VLOOKUP(S29,S6:W28,5,FALSE))),T29="",U29&lt;&gt;""),ROUND((VLOOKUP(S29,S6:W28,5,FALSE)-W29)/1000,3),""))))</f>
        <v/>
      </c>
      <c r="Y29" s="19">
        <f>IF(Y28="","",Y28+1)</f>
        <v>423</v>
      </c>
      <c r="Z29" s="39"/>
      <c r="AA29" s="39"/>
      <c r="AB29" s="15" t="str">
        <f>IF(AND(Z29&lt;&gt;"",AA29&lt;&gt;""),ROUND(Z29,3)+ROUND(AB28,3)-ROUND(AA29,3),IF(AND(EXACT(UPPER(Y29),"TBM"),Z29&lt;&gt;""),ROUND(Z29,3),IF(Z29="",AB28,IF(ISNA(VLOOKUP(Y29,A6:E105,5,FALSE)),IF(ISNA(VLOOKUP(Y29,G6:K105,5,FALSE)),IF(ISNA(VLOOKUP(Y29,M6:Q105,5,FALSE)),IF(ISNA(VLOOKUP(Y29,S6:W105,5,FALSE)),IF(ISNA(VLOOKUP(Y29,Y6:AC28,5,FALSE)),"",ROUND(VLOOKUP(Y29,Y6:AC28,5,FALSE),0)/1000+ROUND(Z29,3)),ROUND(VLOOKUP(Y29,S6:W105,5,FALSE),0)/1000+ROUND(Z29,3)),ROUND(VLOOKUP(Y29,M6:Q105,5,FALSE),0)/1000+ROUND(Z29,3)),ROUND(VLOOKUP(Y29,G6:K105,5,FALSE),0)/1000+ROUND(Z29,3)),ROUND(VLOOKUP(Y29,A6:E105,5,FALSE),0)/1000+ROUND(Z29,3)))))</f>
        <v/>
      </c>
      <c r="AC29" s="18" t="str">
        <f>IF(OR(NOT(EXACT(UPPER(Y29),"TBM")),Z29=""),IF(AND(Z29&lt;&gt;"",AA29="",AB29&lt;&gt;""),"",IF(AND(Z29="",AA29&lt;&gt;"",AB29&lt;&gt;""),ROUND(ROUND(AB29,3)-ROUND(AA29,3),3)*1000,IF(AND(Z29&lt;&gt;"",AA29&lt;&gt;"",AB29&lt;&gt;""),ROUND(ROUND(AB28,3)-ROUND(AA29,3),3)*1000,""))),"")</f>
        <v/>
      </c>
      <c r="AD29" s="45" t="str">
        <f>IF(AND(NOT(ISNA(VLOOKUP(Y29,A6:E105,5,FALSE))),Z29="",AA29&lt;&gt;""),ROUND((VLOOKUP(Y29,A6:E105,5,FALSE)-AC29)/1000,3),IF(AND(NOT(ISNA(VLOOKUP(Y29,G6:K105,5,FALSE))),Z29="",AA29&lt;&gt;""),ROUND((VLOOKUP(Y29,G6:K105,5,FALSE)-AC29)/1000,3),IF(AND(NOT(ISNA(VLOOKUP(Y29,M6:Q105,5,FALSE))),Z29="",AA29&lt;&gt;""),ROUND((VLOOKUP(Y29,M6:Q105,5,FALSE)-AC29)/1000,3),IF(AND(NOT(ISNA(VLOOKUP(Y29,S6:W105,5,FALSE))),Z29="",AA29&lt;&gt;""),ROUND((VLOOKUP(Y29,S6:W105,5,FALSE)-AC29)/1000,3),IF(AND(NOT(ISNA(VLOOKUP(Y29,Y6:AC28,5,FALSE))),Z29="",AA29&lt;&gt;""),ROUND((VLOOKUP(Y29,Y6:AC28,5,FALSE)-AC29)/1000,3),"")))))</f>
        <v/>
      </c>
      <c r="AE29" s="19">
        <f>IF(AE28="","",AE28+1)</f>
        <v>523</v>
      </c>
      <c r="AF29" s="39"/>
      <c r="AG29" s="39"/>
      <c r="AH29" s="15" t="str">
        <f>IF(AND(AF29&lt;&gt;"",AG29&lt;&gt;""),ROUND(AF29,3)+ROUND(AH28,3)-ROUND(AG29,3),IF(AND(EXACT(UPPER(AE29),"TBM"),AF29&lt;&gt;""),ROUND(AF29,3),IF(AF29="",AH28,IF(ISNA(VLOOKUP(AE29,A6:E105,5,FALSE)),IF(ISNA(VLOOKUP(AE29,G6:K105,5,FALSE)),IF(ISNA(VLOOKUP(AE29,M6:Q105,5,FALSE)),IF(ISNA(VLOOKUP(AE29,S6:W105,5,FALSE)),IF(ISNA(VLOOKUP(AE29,Y6:AC105,5,FALSE)),IF(ISNA(VLOOKUP(AE29,AE6:AI28,5,FALSE)),"",ROUND(VLOOKUP(AE29,AE6:AI28,5,FALSE),0)/1000+ROUND(AF29,3)),ROUND(VLOOKUP(AE29,Y6:AC105,5,FALSE),0)/1000+ROUND(AF29,3)),ROUND(VLOOKUP(AE29,S6:W105,5,FALSE),0)/1000+ROUND(AF29,3)),ROUND(VLOOKUP(AE29,M6:Q105,5,FALSE),0)/1000+ROUND(AF29,3)),ROUND(VLOOKUP(AE29,G6:K105,5,FALSE),0)/1000+ROUND(AF29,3)),ROUND(VLOOKUP(AE29,A6:E105,5,FALSE),0)/1000+ROUND(AF29,3)))))</f>
        <v/>
      </c>
      <c r="AI29" s="18" t="str">
        <f>IF(OR(NOT(EXACT(UPPER(AE29),"TBM")),AF29=""),IF(AND(AF29&lt;&gt;"",AG29="",AH29&lt;&gt;""),"",IF(AND(AF29="",AG29&lt;&gt;"",AH29&lt;&gt;""),ROUND(ROUND(AH29,3)-ROUND(AG29,3),3)*1000,IF(AND(AF29&lt;&gt;"",AG29&lt;&gt;"",AH29&lt;&gt;""),ROUND(ROUND(AH28,3)-ROUND(AG29,3),3)*1000,""))),"")</f>
        <v/>
      </c>
      <c r="AJ29" s="45" t="str">
        <f>IF(AND(NOT(ISNA(VLOOKUP(AE29,A6:E105,5,FALSE))),AF29="",AG29&lt;&gt;""),ROUND((VLOOKUP(AE29,A6:E105,5,FALSE)-AI29)/1000,3),IF(AND(NOT(ISNA(VLOOKUP(AE29,G6:K105,5,FALSE))),AF29="",AG29&lt;&gt;""),ROUND((VLOOKUP(AE29,G6:K105,5,FALSE)-AI29)/1000,3),IF(AND(NOT(ISNA(VLOOKUP(AE29,M6:Q105,5,FALSE))),AF29="",AG29&lt;&gt;""),ROUND((VLOOKUP(AE29,M6:Q105,5,FALSE)-AI29)/1000,3),IF(AND(NOT(ISNA(VLOOKUP(AE29,S6:W105,5,FALSE))),AF29="",AG29&lt;&gt;""),ROUND((VLOOKUP(AE29,S6:W105,5,FALSE)-AI29)/1000,3),IF(AND(NOT(ISNA(VLOOKUP(AE29,Y6:AC105,5,FALSE))),AF29="",AG29&lt;&gt;""),ROUND((VLOOKUP(AE29,Y6:AC105,5,FALSE)-AI29)/1000,3),IF(AND(NOT(ISNA(VLOOKUP(AE29,AE6:AI28,5,FALSE))),AF29="",AG29&lt;&gt;""),ROUND((VLOOKUP(AE29,AE6:AI28,5,FALSE)-AI29)/1000,3),""))))))</f>
        <v/>
      </c>
      <c r="AK29" s="19">
        <f>IF(AK28="","",AK28+1)</f>
        <v>623</v>
      </c>
      <c r="AL29" s="39"/>
      <c r="AM29" s="39"/>
      <c r="AN29" s="15" t="str">
        <f>IF(AND(AL29&lt;&gt;"",AM29&lt;&gt;""),ROUND(AL29,3)+ROUND(AN28,3)-ROUND(AM29,3),IF(AND(EXACT(UPPER(AK29),"TBM"),AL29&lt;&gt;""),ROUND(AL29,3),IF(AL29="",AN28,IF(ISNA(VLOOKUP(AK29,A6:E105,5,FALSE)),IF(ISNA(VLOOKUP(AK29,G6:K105,5,FALSE)),IF(ISNA(VLOOKUP(AK29,M6:Q105,5,FALSE)),IF(ISNA(VLOOKUP(AK29,S6:W105,5,FALSE)),IF(ISNA(VLOOKUP(AK29,Y6:AC105,5,FALSE)),IF(ISNA(VLOOKUP(AK29,AE6:AI105,5,FALSE)),IF(ISNA(VLOOKUP(AK29,AK6:AO28,5,FALSE)),"",ROUND(VLOOKUP(AK29,AK6:AO28,5,FALSE),0)/1000+ROUND(AL29,3)),ROUND(VLOOKUP(AK29,AE6:AI105,5,FALSE),0)/1000+ROUND(AL29,3)),ROUND(VLOOKUP(AK29,Y6:AC105,5,FALSE),0)/1000+ROUND(AL29,3)),ROUND(VLOOKUP(AK29,S6:W105,5,FALSE),0)/1000+ROUND(AL29,3)),ROUND(VLOOKUP(AK29,M6:Q105,5,FALSE),0)/1000+ROUND(AL29,3)),ROUND(VLOOKUP(AK29,G6:K105,5,FALSE),0)/1000+ROUND(AL29,3)),ROUND(VLOOKUP(AK29,A6:E105,5,FALSE),0)/1000+ROUND(AL29,3)))))</f>
        <v/>
      </c>
      <c r="AO29" s="18" t="str">
        <f>IF(OR(NOT(EXACT(UPPER(AK29),"TBM")),AL29=""),IF(AND(AL29&lt;&gt;"",AM29="",AN29&lt;&gt;""),"",IF(AND(AL29="",AM29&lt;&gt;"",AN29&lt;&gt;""),ROUND(ROUND(AN29,3)-ROUND(AM29,3),3)*1000,IF(AND(AL29&lt;&gt;"",AM29&lt;&gt;"",AN29&lt;&gt;""),ROUND(ROUND(AN28,3)-ROUND(AM29,3),3)*1000,""))),"")</f>
        <v/>
      </c>
      <c r="AP29" s="45" t="str">
        <f>IF(AND(NOT(ISNA(VLOOKUP(AK29,A6:E105,5,FALSE))),AL29="",AM29&lt;&gt;""),ROUND((VLOOKUP(AK29,A6:E105,5,FALSE)-AO29)/1000,3),IF(AND(NOT(ISNA(VLOOKUP(AK29,G6:K105,5,FALSE))),AL29="",AM29&lt;&gt;""),ROUND((VLOOKUP(AK29,G6:K105,5,FALSE)-AO29)/1000,3),IF(AND(NOT(ISNA(VLOOKUP(AK29,M6:Q105,5,FALSE))),AL29="",AM29&lt;&gt;""),ROUND((VLOOKUP(AK29,M6:Q105,5,FALSE)-AO29)/1000,3),IF(AND(NOT(ISNA(VLOOKUP(AK29,S6:W105,5,FALSE))),AL29="",AM29&lt;&gt;""),ROUND((VLOOKUP(AK29,S6:W105,5,FALSE)-AO29)/1000,3),IF(AND(NOT(ISNA(VLOOKUP(AK29,Y6:AC105,5,FALSE))),AL29="",AM29&lt;&gt;""),ROUND((VLOOKUP(AK29,Y6:AC105,5,FALSE)-AO29)/1000,3),IF(AND(NOT(ISNA(VLOOKUP(AK29,AE6:AI105,5,FALSE))),AL29="",AM29&lt;&gt;""),ROUND((VLOOKUP(AK29,AE6:AI105,5,FALSE)-AO29)/1000,3),IF(AND(NOT(ISNA(VLOOKUP(AK29,AK6:AO28,5,FALSE))),AL29="",AM29&lt;&gt;""),ROUND((VLOOKUP(AK29,AK6:AO28,5,FALSE)-AO29)/1000,3),"")))))))</f>
        <v/>
      </c>
      <c r="AQ29" s="19">
        <f>IF(AQ28="","",AQ28+1)</f>
        <v>723</v>
      </c>
      <c r="AR29" s="39"/>
      <c r="AS29" s="39"/>
      <c r="AT29" s="15" t="str">
        <f>IF(AND(AR29&lt;&gt;"",AS29&lt;&gt;""),ROUND(AR29,3)+ROUND(AT28,3)-ROUND(AS29,3),IF(AND(EXACT(UPPER(AQ29),"TBM"),AR29&lt;&gt;""),ROUND(AR29,3),IF(AR29="",AT28,IF(ISNA(VLOOKUP(AQ29,A6:E105,5,FALSE)),IF(ISNA(VLOOKUP(AQ29,G6:K105,5,FALSE)),IF(ISNA(VLOOKUP(AQ29,M6:Q105,5,FALSE)),IF(ISNA(VLOOKUP(AQ29,S6:W105,5,FALSE)),IF(ISNA(VLOOKUP(AQ29,Y6:AC105,5,FALSE)),IF(ISNA(VLOOKUP(AQ29,AE6:AI105,5,FALSE)),IF(ISNA(VLOOKUP(AQ29,AK6:AO105,5,FALSE)),IF(ISNA(VLOOKUP(AQ29,AQ6:AU28,5,FALSE)),"",ROUND(VLOOKUP(AQ29,AQ6:AU28,5,FALSE),0)/1000+ROUND(AR29,3)),ROUND(VLOOKUP(AQ29,AK6:AO105,5,FALSE),0)/1000+ROUND(AR29,3)),ROUND(VLOOKUP(AQ29,AE6:AI105,5,FALSE),0)/1000+ROUND(AR29,3)),ROUND(VLOOKUP(AQ29,Y6:AC105,5,FALSE),0)/1000+ROUND(AR29,3)),ROUND(VLOOKUP(AQ29,S6:W105,5,FALSE),0)/1000+ROUND(AR29,3)),ROUND(VLOOKUP(AQ29,M6:Q105,5,FALSE),0)/1000+ROUND(AR29,3)),ROUND(VLOOKUP(AQ29,G6:K105,5,FALSE),0)/1000+ROUND(AR29,3)),ROUND(VLOOKUP(AQ29,A6:E105,5,FALSE),0)/1000+ROUND(AR29,3)))))</f>
        <v/>
      </c>
      <c r="AU29" s="18" t="str">
        <f>IF(OR(NOT(EXACT(UPPER(AQ29),"TBM")),AR29=""),IF(AND(AR29&lt;&gt;"",AS29="",AT29&lt;&gt;""),"",IF(AND(AR29="",AS29&lt;&gt;"",AT29&lt;&gt;""),ROUND(ROUND(AT29,3)-ROUND(AS29,3),3)*1000,IF(AND(AR29&lt;&gt;"",AS29&lt;&gt;"",AT29&lt;&gt;""),ROUND(ROUND(AT28,3)-ROUND(AS29,3),3)*1000,""))),"")</f>
        <v/>
      </c>
      <c r="AV29" s="45" t="str">
        <f>IF(AND(NOT(ISNA(VLOOKUP(AQ29,A6:E105,5,FALSE))),AR29="",AS29&lt;&gt;""),ROUND((VLOOKUP(AQ29,A6:E105,5,FALSE)-AU29)/1000,3),IF(AND(NOT(ISNA(VLOOKUP(AQ29,G6:K105,5,FALSE))),AR29="",AS29&lt;&gt;""),ROUND((VLOOKUP(AQ29,G6:K105,5,FALSE)-AU29)/1000,3),IF(AND(NOT(ISNA(VLOOKUP(AQ29,M6:Q105,5,FALSE))),AR29="",AS29&lt;&gt;""),ROUND((VLOOKUP(AQ29,M6:Q105,5,FALSE)-AU29)/1000,3),IF(AND(NOT(ISNA(VLOOKUP(AQ29,S6:W105,5,FALSE))),AR29="",AS29&lt;&gt;""),ROUND((VLOOKUP(AQ29,S6:W105,5,FALSE)-AU29)/1000,3),IF(AND(NOT(ISNA(VLOOKUP(AQ29,Y6:AC105,5,FALSE))),AR29="",AS29&lt;&gt;""),ROUND((VLOOKUP(AQ29,Y6:AC105,5,FALSE)-AU29)/1000,3),IF(AND(NOT(ISNA(VLOOKUP(AQ29,AE6:AI105,5,FALSE))),AR29="",AS29&lt;&gt;""),ROUND((VLOOKUP(AQ29,AE6:AI105,5,FALSE)-AU29)/1000,3),IF(AND(NOT(ISNA(VLOOKUP(AQ29,AK6:AO105,5,FALSE))),AR29="",AS29&lt;&gt;""),ROUND((VLOOKUP(AQ29,AK6:AO105,5,FALSE)-AU29)/1000,3),IF(AND(NOT(ISNA(VLOOKUP(AQ29,AQ6:AU28,5,FALSE))),AR29="",AS29&lt;&gt;""),ROUND((VLOOKUP(AQ29,AQ6:AU28,5,FALSE)-AU29)/1000,3),""))))))))</f>
        <v/>
      </c>
      <c r="AW29" s="19">
        <f>IF(AW28="","",AW28+1)</f>
        <v>823</v>
      </c>
      <c r="AX29" s="39"/>
      <c r="AY29" s="39"/>
      <c r="AZ29" s="15" t="str">
        <f>IF(AND(AX29&lt;&gt;"",AY29&lt;&gt;""),ROUND(AX29,3)+ROUND(AZ28,3)-ROUND(AY29,3),IF(AND(EXACT(UPPER(AW29),"TBM"),AX29&lt;&gt;""),ROUND(AX29,3),IF(AX29="",AZ28,IF(ISNA(VLOOKUP(AW29,A6:E105,5,FALSE)),IF(ISNA(VLOOKUP(AW29,G6:K105,5,FALSE)),IF(ISNA(VLOOKUP(AW29,M6:Q105,5,FALSE)),IF(ISNA(VLOOKUP(AW29,S6:W105,5,FALSE)),IF(ISNA(VLOOKUP(AW29,Y6:AC105,5,FALSE)),IF(ISNA(VLOOKUP(AW29,AE6:AI105,5,FALSE)),IF(ISNA(VLOOKUP(AW29,AK6:AO105,5,FALSE)),IF(ISNA(VLOOKUP(AW29,AQ6:AU105,5,FALSE)),IF(ISNA(VLOOKUP(AW29,AW6:BA28,5,FALSE)),"",ROUND(VLOOKUP(AW29,AW6:BA28,5,FALSE),0)/1000+ROUND(AX29,3)),ROUND(VLOOKUP(AW29,AQ6:AU105,5,FALSE),0)/1000+ROUND(AX29,3)),ROUND(VLOOKUP(AW29,AK6:AO105,5,FALSE),0)/1000+ROUND(AX29,3)),ROUND(VLOOKUP(AW29,AE6:AI105,5,FALSE),0)/1000+ROUND(AX29,3)),ROUND(VLOOKUP(AW29,Y6:AC105,5,FALSE),0)/1000+ROUND(AX29,3)),ROUND(VLOOKUP(AW29,S6:W105,5,FALSE),0)/1000+ROUND(AX29,3)),ROUND(VLOOKUP(AW29,M6:Q105,5,FALSE),0)/1000+ROUND(AX29,3)),ROUND(VLOOKUP(AW29,G6:K105,5,FALSE),0)/1000+ROUND(AX29,3)),ROUND(VLOOKUP(AW29,A6:E105,5,FALSE),0)/1000+ROUND(AX29,3)))))</f>
        <v/>
      </c>
      <c r="BA29" s="18" t="str">
        <f>IF(OR(NOT(EXACT(UPPER(AW29),"TBM")),AX29=""),IF(AND(AX29&lt;&gt;"",AY29="",AZ29&lt;&gt;""),"",IF(AND(AX29="",AY29&lt;&gt;"",AZ29&lt;&gt;""),ROUND(ROUND(AZ29,3)-ROUND(AY29,3),3)*1000,IF(AND(AX29&lt;&gt;"",AY29&lt;&gt;"",AZ29&lt;&gt;""),ROUND(ROUND(AZ28,3)-ROUND(AY29,3),3)*1000,""))),"")</f>
        <v/>
      </c>
      <c r="BB29" s="45" t="str">
        <f>IF(AND(NOT(ISNA(VLOOKUP(AW29,A6:E105,5,FALSE))),AX29="",AY29&lt;&gt;""),ROUND((VLOOKUP(AW29,A6:E105,5,FALSE)-BA29)/1000,3),IF(AND(NOT(ISNA(VLOOKUP(AW29,G6:K105,5,FALSE))),AX29="",AY29&lt;&gt;""),ROUND((VLOOKUP(AW29,G6:K105,5,FALSE)-BA29)/1000,3),IF(AND(NOT(ISNA(VLOOKUP(AW29,M6:Q105,5,FALSE))),AX29="",AY29&lt;&gt;""),ROUND((VLOOKUP(AW29,M6:Q105,5,FALSE)-BA29)/1000,3),IF(AND(NOT(ISNA(VLOOKUP(AW29,S6:W105,5,FALSE))),AX29="",AY29&lt;&gt;""),ROUND((VLOOKUP(AW29,S6:W105,5,FALSE)-BA29)/1000,3),IF(AND(NOT(ISNA(VLOOKUP(AW29,Y6:AC105,5,FALSE))),AX29="",AY29&lt;&gt;""),ROUND((VLOOKUP(AW29,Y6:AC105,5,FALSE)-BA29)/1000,3),IF(AND(NOT(ISNA(VLOOKUP(AW29,AE6:AI105,5,FALSE))),AX29="",AY29&lt;&gt;""),ROUND((VLOOKUP(AW29,AE6:AI105,5,FALSE)-BA29)/1000,3),IF(AND(NOT(ISNA(VLOOKUP(AW29,AK6:AO105,5,FALSE))),AX29="",AY29&lt;&gt;""),ROUND((VLOOKUP(AW29,AK6:AO105,5,FALSE)-BA29)/1000,3),IF(AND(NOT(ISNA(VLOOKUP(AW29,AQ6:AU105,5,FALSE))),AX29="",AY29&lt;&gt;""),ROUND((VLOOKUP(AW29,AQ6:AU105,5,FALSE)-BA29)/1000,3),IF(AND(NOT(ISNA(VLOOKUP(AW29,AW6:BA28,5,FALSE))),AX29="",AY29&lt;&gt;""),ROUND((VLOOKUP(AW29,AW6:BA28,5,FALSE)-BA29)/1000,3),"")))))))))</f>
        <v/>
      </c>
      <c r="BC29" s="19">
        <f>IF(BC28="","",BC28+1)</f>
        <v>923</v>
      </c>
      <c r="BD29" s="39"/>
      <c r="BE29" s="39"/>
      <c r="BF29" s="15" t="str">
        <f>IF(AND(BD29&lt;&gt;"",BE29&lt;&gt;""),ROUND(BD29,3)+ROUND(BF28,3)-ROUND(BE29,3),IF(AND(EXACT(UPPER(BC29),"TBM"),BD29&lt;&gt;""),ROUND(BD29,3),IF(BD29="",BF28,IF(ISNA(VLOOKUP(BC29,A6:E105,5,FALSE)),IF(ISNA(VLOOKUP(BC29,G6:K105,5,FALSE)),IF(ISNA(VLOOKUP(BC29,M6:Q105,5,FALSE)),IF(ISNA(VLOOKUP(BC29,S6:W105,5,FALSE)),IF(ISNA(VLOOKUP(BC29,Y6:AC105,5,FALSE)),IF(ISNA(VLOOKUP(BC29,AE6:AI105,5,FALSE)),IF(ISNA(VLOOKUP(BC29,AK6:AO105,5,FALSE)),IF(ISNA(VLOOKUP(BC29,AQ6:AU105,5,FALSE)),IF(ISNA(VLOOKUP(BC29,AW6:BA105,5,FALSE)),IF(ISNA(VLOOKUP(BC29,BC6:BG28,5,FALSE)),"",ROUND(VLOOKUP(BC29,BC6:BG28,5,FALSE),0)/1000+ROUND(BD29,3)),ROUND(VLOOKUP(BC29,AW6:BA105,5,FALSE),0)/1000+ROUND(BD29,3)),ROUND(VLOOKUP(BC29,AQ6:AU105,5,FALSE),0)/1000+ROUND(BD29,3)),ROUND(VLOOKUP(BC29,AK6:AO105,5,FALSE),0)/1000+ROUND(BD29,3)),ROUND(VLOOKUP(BC29,AE6:AI105,5,FALSE),0)/1000+ROUND(BD29,3)),ROUND(VLOOKUP(BC29,Y6:AC105,5,FALSE),0)/1000+ROUND(BD29,3)),ROUND(VLOOKUP(BC29,S6:W105,5,FALSE),0)/1000+ROUND(BD29,3)),ROUND(VLOOKUP(BC29,M6:Q105,5,FALSE),0)/1000+ROUND(BD29,3)),ROUND(VLOOKUP(BC29,G6:K105,5,FALSE),0)/1000+ROUND(BD29,3)),ROUND(VLOOKUP(BC29,A6:E105,5,FALSE),0)/1000+ROUND(BD29,3)))))</f>
        <v/>
      </c>
      <c r="BG29" s="18" t="str">
        <f>IF(OR(NOT(EXACT(UPPER(BC29),"TBM")),BD29=""),IF(AND(BD29&lt;&gt;"",BE29="",BF29&lt;&gt;""),"",IF(AND(BD29="",BE29&lt;&gt;"",BF29&lt;&gt;""),ROUND(ROUND(BF29,3)-ROUND(BE29,3),3)*1000,IF(AND(BD29&lt;&gt;"",BE29&lt;&gt;"",BF29&lt;&gt;""),ROUND(ROUND(BF28,3)-ROUND(BE29,3),3)*1000,""))),"")</f>
        <v/>
      </c>
      <c r="BH29" s="45" t="str">
        <f>IF(AND(NOT(ISNA(VLOOKUP(BC29,A6:E105,5,FALSE))),BD29="",BE29&lt;&gt;""),ROUND((VLOOKUP(BC29,A6:E105,5,FALSE)-BG29)/1000,3),IF(AND(NOT(ISNA(VLOOKUP(BC29,G6:K105,5,FALSE))),BD29="",BE29&lt;&gt;""),ROUND((VLOOKUP(BC29,G6:K105,5,FALSE)-BG29)/1000,3),IF(AND(NOT(ISNA(VLOOKUP(BC29,M6:Q105,5,FALSE))),BD29="",BE29&lt;&gt;""),ROUND((VLOOKUP(BC29,M6:Q105,5,FALSE)-BG29)/1000,3),IF(AND(NOT(ISNA(VLOOKUP(BC29,S6:W105,5,FALSE))),BD29="",BE29&lt;&gt;""),ROUND((VLOOKUP(BC29,S6:W105,5,FALSE)-BG29)/1000,3),IF(AND(NOT(ISNA(VLOOKUP(BC29,Y6:AC105,5,FALSE))),BD29="",BE29&lt;&gt;""),ROUND((VLOOKUP(BC29,Y6:AC105,5,FALSE)-BG29)/1000,3),IF(AND(NOT(ISNA(VLOOKUP(BC29,AE6:AI105,5,FALSE))),BD29="",BE29&lt;&gt;""),ROUND((VLOOKUP(BC29,AE6:AI105,5,FALSE)-BG29)/1000,3),IF(AND(NOT(ISNA(VLOOKUP(BC29,AK6:AO105,5,FALSE))),BD29="",BE29&lt;&gt;""),ROUND((VLOOKUP(BC29,AK6:AO105,5,FALSE)-BG29)/1000,3),IF(AND(NOT(ISNA(VLOOKUP(BC29,AQ6:AU105,5,FALSE))),BD29="",BE29&lt;&gt;""),ROUND((VLOOKUP(BC29,AQ6:AU105,5,FALSE)-BG29)/1000,3),IF(AND(NOT(ISNA(VLOOKUP(BC29,AW6:BA105,5,FALSE))),BD29="",BE29&lt;&gt;""),ROUND((VLOOKUP(BC29,AW6:BA105,5,FALSE)-BG29)/1000,3),IF(AND(NOT(ISNA(VLOOKUP(BC29,BC6:BG28,5,FALSE))),BD29="",BE29&lt;&gt;""),ROUND((VLOOKUP(BC29,BC6:BG28,5,FALSE)-BG29)/1000,3),""))))))))))</f>
        <v/>
      </c>
    </row>
    <row r="30" spans="1:60" x14ac:dyDescent="0.25">
      <c r="A30" s="67">
        <f t="shared" si="3"/>
        <v>24</v>
      </c>
      <c r="B30" s="40"/>
      <c r="C30" s="40"/>
      <c r="D30" s="62" t="str">
        <f>IF(AND(B30&lt;&gt;"",C30&lt;&gt;""),ROUND(B30,3)+ROUND(D29,3)-ROUND(C30,3),IF(AND(EXACT(UPPER(A30),"TBM"),B30&lt;&gt;""),ROUND(B30,3),IF(B30="",D29,IF(ISNA(VLOOKUP(A30,A6:E29,5,FALSE)),"",ROUND(VLOOKUP(A30,A6:E29,5,FALSE),0)/1000+ROUND(B30,3)))))</f>
        <v/>
      </c>
      <c r="E30" s="22" t="str">
        <f t="shared" si="0"/>
        <v/>
      </c>
      <c r="F30" s="46" t="str">
        <f>IF(AND(NOT(ISNA(VLOOKUP(A30,A6:E29,5,FALSE))),B30="",C30&lt;&gt;""),ROUND((VLOOKUP(A30,A6:E29,5,FALSE)-E30)/1000,3),"")</f>
        <v/>
      </c>
      <c r="G30" s="67">
        <f t="shared" si="1"/>
        <v>124</v>
      </c>
      <c r="H30" s="40"/>
      <c r="I30" s="40"/>
      <c r="J30" s="62" t="str">
        <f>IF(AND(H30&lt;&gt;"",I30&lt;&gt;""),ROUND(H30,3)+ROUND(J29,3)-ROUND(I30,3),IF(AND(EXACT(UPPER(G30),"TBM"),H30&lt;&gt;""),ROUND(H30,3),IF(H30="",J29,IF(ISNA(VLOOKUP(G30,A6:E105,5,FALSE)),IF(ISNA(VLOOKUP(G30,G6:K29,5,FALSE)),"",ROUND(VLOOKUP(G30,G6:K29,5,FALSE),0)/1000+ROUND(H30,3)),ROUND(VLOOKUP(G30,A6:E105,5,FALSE),0)/1000+ROUND(H30,3)))))</f>
        <v/>
      </c>
      <c r="K30" s="20" t="str">
        <f t="shared" si="2"/>
        <v/>
      </c>
      <c r="L30" s="46" t="str">
        <f>IF(AND(NOT(ISNA(VLOOKUP(G30,A6:E105,5,FALSE))),H30="",I30&lt;&gt;""),ROUND((VLOOKUP(G30,A6:E105,5,FALSE)-K30)/1000,3),IF(AND(NOT(ISNA(VLOOKUP(G30,G6:K29,5,FALSE))),H30="",I30&lt;&gt;""),ROUND((VLOOKUP(G30,G6:K29,5,FALSE)-K30)/1000,3),""))</f>
        <v/>
      </c>
      <c r="M30" s="67">
        <f>IF(M29="","",M29+1)</f>
        <v>224</v>
      </c>
      <c r="N30" s="40"/>
      <c r="O30" s="40"/>
      <c r="P30" s="62" t="str">
        <f>IF(AND(N30&lt;&gt;"",O30&lt;&gt;""),ROUND(N30,3)+ROUND(P29,3)-ROUND(O30,3),IF(AND(EXACT(UPPER(M30),"TBM"),N30&lt;&gt;""),ROUND(N30,3),IF(N30="",P29,IF(ISNA(VLOOKUP(M30,A6:E105,5,FALSE)),IF(ISNA(VLOOKUP(M30,G6:K105,5,FALSE)),IF(ISNA(VLOOKUP(M30,M6:Q29,5,FALSE)),"",ROUND(VLOOKUP(M30,M6:Q29,5,FALSE),0)/1000+ROUND(N30,3)),ROUND(VLOOKUP(M30,G6:K105,5,FALSE),0)/1000+ROUND(N30,3)),ROUND(VLOOKUP(M30,A6:E105,5,FALSE),0)/1000+ROUND(N30,3)))))</f>
        <v/>
      </c>
      <c r="Q30" s="20" t="str">
        <f>IF(OR(NOT(EXACT(UPPER(M30),"TBM")),N30=""),IF(AND(N30&lt;&gt;"",O30="",P30&lt;&gt;""),"",IF(AND(N30="",O30&lt;&gt;"",P30&lt;&gt;""),ROUND(ROUND(P30,3)-ROUND(O30,3),3)*1000,IF(AND(N30&lt;&gt;"",O30&lt;&gt;"",P30&lt;&gt;""),ROUND(ROUND(P29,3)-ROUND(O30,3),3)*1000,""))),"")</f>
        <v/>
      </c>
      <c r="R30" s="46" t="str">
        <f>IF(AND(NOT(ISNA(VLOOKUP(M30,A6:E105,5,FALSE))),N30="",O30&lt;&gt;""),ROUND((VLOOKUP(M30,A6:E105,5,FALSE)-Q30)/1000,3),IF(AND(NOT(ISNA(VLOOKUP(M30,G6:K105,5,FALSE))),N30="",O30&lt;&gt;""),ROUND((VLOOKUP(M30,G6:K105,5,FALSE)-Q30)/1000,3),IF(AND(NOT(ISNA(VLOOKUP(M30,M6:Q29,5,FALSE))),N30="",O30&lt;&gt;""),ROUND((VLOOKUP(M30,M6:Q29,5,FALSE)-Q30)/1000,3),"")))</f>
        <v/>
      </c>
      <c r="S30" s="67">
        <f>IF(S29="","",S29+1)</f>
        <v>324</v>
      </c>
      <c r="T30" s="40"/>
      <c r="U30" s="40"/>
      <c r="V30" s="62" t="str">
        <f>IF(AND(T30&lt;&gt;"",U30&lt;&gt;""),ROUND(T30,3)+ROUND(V29,3)-ROUND(U30,3),IF(AND(EXACT(UPPER(S30),"TBM"),T30&lt;&gt;""),ROUND(T30,3),IF(T30="",V29,IF(ISNA(VLOOKUP(S30,A6:E105,5,FALSE)),IF(ISNA(VLOOKUP(S30,G6:K105,5,FALSE)),IF(ISNA(VLOOKUP(S30,M6:Q105,5,FALSE)),IF(ISNA(VLOOKUP(S30,S6:W29,5,FALSE)),"",ROUND(VLOOKUP(S30,S6:W29,5,FALSE),0)/1000+ROUND(T30,3)),ROUND(VLOOKUP(S30,M6:Q105,5,FALSE),0)/1000+ROUND(T30,3)),ROUND(VLOOKUP(S30,G6:K105,5,FALSE),0)/1000+ROUND(T30,3)),ROUND(VLOOKUP(S30,A6:E105,5,FALSE),0)/1000+ROUND(T30,3)))))</f>
        <v/>
      </c>
      <c r="W30" s="20" t="str">
        <f>IF(OR(NOT(EXACT(UPPER(S30),"TBM")),T30=""),IF(AND(T30&lt;&gt;"",U30="",V30&lt;&gt;""),"",IF(AND(T30="",U30&lt;&gt;"",V30&lt;&gt;""),ROUND(ROUND(V30,3)-ROUND(U30,3),3)*1000,IF(AND(T30&lt;&gt;"",U30&lt;&gt;"",V30&lt;&gt;""),ROUND(ROUND(V29,3)-ROUND(U30,3),3)*1000,""))),"")</f>
        <v/>
      </c>
      <c r="X30" s="46" t="str">
        <f>IF(AND(NOT(ISNA(VLOOKUP(S30,A6:E105,5,FALSE))),T30="",U30&lt;&gt;""),ROUND((VLOOKUP(S30,A6:E105,5,FALSE)-W30)/1000,3),IF(AND(NOT(ISNA(VLOOKUP(S30,G6:K105,5,FALSE))),T30="",U30&lt;&gt;""),ROUND((VLOOKUP(S30,G6:K105,5,FALSE)-W30)/1000,3),IF(AND(NOT(ISNA(VLOOKUP(S30,M6:Q105,5,FALSE))),T30="",U30&lt;&gt;""),ROUND((VLOOKUP(S30,M6:Q105,5,FALSE)-W30)/1000,3),IF(AND(NOT(ISNA(VLOOKUP(S30,S6:W29,5,FALSE))),T30="",U30&lt;&gt;""),ROUND((VLOOKUP(S30,S6:W29,5,FALSE)-W30)/1000,3),""))))</f>
        <v/>
      </c>
      <c r="Y30" s="67">
        <f>IF(Y29="","",Y29+1)</f>
        <v>424</v>
      </c>
      <c r="Z30" s="40"/>
      <c r="AA30" s="40"/>
      <c r="AB30" s="62" t="str">
        <f>IF(AND(Z30&lt;&gt;"",AA30&lt;&gt;""),ROUND(Z30,3)+ROUND(AB29,3)-ROUND(AA30,3),IF(AND(EXACT(UPPER(Y30),"TBM"),Z30&lt;&gt;""),ROUND(Z30,3),IF(Z30="",AB29,IF(ISNA(VLOOKUP(Y30,A6:E105,5,FALSE)),IF(ISNA(VLOOKUP(Y30,G6:K105,5,FALSE)),IF(ISNA(VLOOKUP(Y30,M6:Q105,5,FALSE)),IF(ISNA(VLOOKUP(Y30,S6:W105,5,FALSE)),IF(ISNA(VLOOKUP(Y30,Y6:AC29,5,FALSE)),"",ROUND(VLOOKUP(Y30,Y6:AC29,5,FALSE),0)/1000+ROUND(Z30,3)),ROUND(VLOOKUP(Y30,S6:W105,5,FALSE),0)/1000+ROUND(Z30,3)),ROUND(VLOOKUP(Y30,M6:Q105,5,FALSE),0)/1000+ROUND(Z30,3)),ROUND(VLOOKUP(Y30,G6:K105,5,FALSE),0)/1000+ROUND(Z30,3)),ROUND(VLOOKUP(Y30,A6:E105,5,FALSE),0)/1000+ROUND(Z30,3)))))</f>
        <v/>
      </c>
      <c r="AC30" s="20" t="str">
        <f>IF(OR(NOT(EXACT(UPPER(Y30),"TBM")),Z30=""),IF(AND(Z30&lt;&gt;"",AA30="",AB30&lt;&gt;""),"",IF(AND(Z30="",AA30&lt;&gt;"",AB30&lt;&gt;""),ROUND(ROUND(AB30,3)-ROUND(AA30,3),3)*1000,IF(AND(Z30&lt;&gt;"",AA30&lt;&gt;"",AB30&lt;&gt;""),ROUND(ROUND(AB29,3)-ROUND(AA30,3),3)*1000,""))),"")</f>
        <v/>
      </c>
      <c r="AD30" s="46" t="str">
        <f>IF(AND(NOT(ISNA(VLOOKUP(Y30,A6:E105,5,FALSE))),Z30="",AA30&lt;&gt;""),ROUND((VLOOKUP(Y30,A6:E105,5,FALSE)-AC30)/1000,3),IF(AND(NOT(ISNA(VLOOKUP(Y30,G6:K105,5,FALSE))),Z30="",AA30&lt;&gt;""),ROUND((VLOOKUP(Y30,G6:K105,5,FALSE)-AC30)/1000,3),IF(AND(NOT(ISNA(VLOOKUP(Y30,M6:Q105,5,FALSE))),Z30="",AA30&lt;&gt;""),ROUND((VLOOKUP(Y30,M6:Q105,5,FALSE)-AC30)/1000,3),IF(AND(NOT(ISNA(VLOOKUP(Y30,S6:W105,5,FALSE))),Z30="",AA30&lt;&gt;""),ROUND((VLOOKUP(Y30,S6:W105,5,FALSE)-AC30)/1000,3),IF(AND(NOT(ISNA(VLOOKUP(Y30,Y6:AC29,5,FALSE))),Z30="",AA30&lt;&gt;""),ROUND((VLOOKUP(Y30,Y6:AC29,5,FALSE)-AC30)/1000,3),"")))))</f>
        <v/>
      </c>
      <c r="AE30" s="67">
        <f>IF(AE29="","",AE29+1)</f>
        <v>524</v>
      </c>
      <c r="AF30" s="40"/>
      <c r="AG30" s="40"/>
      <c r="AH30" s="62" t="str">
        <f>IF(AND(AF30&lt;&gt;"",AG30&lt;&gt;""),ROUND(AF30,3)+ROUND(AH29,3)-ROUND(AG30,3),IF(AND(EXACT(UPPER(AE30),"TBM"),AF30&lt;&gt;""),ROUND(AF30,3),IF(AF30="",AH29,IF(ISNA(VLOOKUP(AE30,A6:E105,5,FALSE)),IF(ISNA(VLOOKUP(AE30,G6:K105,5,FALSE)),IF(ISNA(VLOOKUP(AE30,M6:Q105,5,FALSE)),IF(ISNA(VLOOKUP(AE30,S6:W105,5,FALSE)),IF(ISNA(VLOOKUP(AE30,Y6:AC105,5,FALSE)),IF(ISNA(VLOOKUP(AE30,AE6:AI29,5,FALSE)),"",ROUND(VLOOKUP(AE30,AE6:AI29,5,FALSE),0)/1000+ROUND(AF30,3)),ROUND(VLOOKUP(AE30,Y6:AC105,5,FALSE),0)/1000+ROUND(AF30,3)),ROUND(VLOOKUP(AE30,S6:W105,5,FALSE),0)/1000+ROUND(AF30,3)),ROUND(VLOOKUP(AE30,M6:Q105,5,FALSE),0)/1000+ROUND(AF30,3)),ROUND(VLOOKUP(AE30,G6:K105,5,FALSE),0)/1000+ROUND(AF30,3)),ROUND(VLOOKUP(AE30,A6:E105,5,FALSE),0)/1000+ROUND(AF30,3)))))</f>
        <v/>
      </c>
      <c r="AI30" s="20" t="str">
        <f>IF(OR(NOT(EXACT(UPPER(AE30),"TBM")),AF30=""),IF(AND(AF30&lt;&gt;"",AG30="",AH30&lt;&gt;""),"",IF(AND(AF30="",AG30&lt;&gt;"",AH30&lt;&gt;""),ROUND(ROUND(AH30,3)-ROUND(AG30,3),3)*1000,IF(AND(AF30&lt;&gt;"",AG30&lt;&gt;"",AH30&lt;&gt;""),ROUND(ROUND(AH29,3)-ROUND(AG30,3),3)*1000,""))),"")</f>
        <v/>
      </c>
      <c r="AJ30" s="46" t="str">
        <f>IF(AND(NOT(ISNA(VLOOKUP(AE30,A6:E105,5,FALSE))),AF30="",AG30&lt;&gt;""),ROUND((VLOOKUP(AE30,A6:E105,5,FALSE)-AI30)/1000,3),IF(AND(NOT(ISNA(VLOOKUP(AE30,G6:K105,5,FALSE))),AF30="",AG30&lt;&gt;""),ROUND((VLOOKUP(AE30,G6:K105,5,FALSE)-AI30)/1000,3),IF(AND(NOT(ISNA(VLOOKUP(AE30,M6:Q105,5,FALSE))),AF30="",AG30&lt;&gt;""),ROUND((VLOOKUP(AE30,M6:Q105,5,FALSE)-AI30)/1000,3),IF(AND(NOT(ISNA(VLOOKUP(AE30,S6:W105,5,FALSE))),AF30="",AG30&lt;&gt;""),ROUND((VLOOKUP(AE30,S6:W105,5,FALSE)-AI30)/1000,3),IF(AND(NOT(ISNA(VLOOKUP(AE30,Y6:AC105,5,FALSE))),AF30="",AG30&lt;&gt;""),ROUND((VLOOKUP(AE30,Y6:AC105,5,FALSE)-AI30)/1000,3),IF(AND(NOT(ISNA(VLOOKUP(AE30,AE6:AI29,5,FALSE))),AF30="",AG30&lt;&gt;""),ROUND((VLOOKUP(AE30,AE6:AI29,5,FALSE)-AI30)/1000,3),""))))))</f>
        <v/>
      </c>
      <c r="AK30" s="67">
        <f>IF(AK29="","",AK29+1)</f>
        <v>624</v>
      </c>
      <c r="AL30" s="40"/>
      <c r="AM30" s="40"/>
      <c r="AN30" s="62" t="str">
        <f>IF(AND(AL30&lt;&gt;"",AM30&lt;&gt;""),ROUND(AL30,3)+ROUND(AN29,3)-ROUND(AM30,3),IF(AND(EXACT(UPPER(AK30),"TBM"),AL30&lt;&gt;""),ROUND(AL30,3),IF(AL30="",AN29,IF(ISNA(VLOOKUP(AK30,A6:E105,5,FALSE)),IF(ISNA(VLOOKUP(AK30,G6:K105,5,FALSE)),IF(ISNA(VLOOKUP(AK30,M6:Q105,5,FALSE)),IF(ISNA(VLOOKUP(AK30,S6:W105,5,FALSE)),IF(ISNA(VLOOKUP(AK30,Y6:AC105,5,FALSE)),IF(ISNA(VLOOKUP(AK30,AE6:AI105,5,FALSE)),IF(ISNA(VLOOKUP(AK30,AK6:AO29,5,FALSE)),"",ROUND(VLOOKUP(AK30,AK6:AO29,5,FALSE),0)/1000+ROUND(AL30,3)),ROUND(VLOOKUP(AK30,AE6:AI105,5,FALSE),0)/1000+ROUND(AL30,3)),ROUND(VLOOKUP(AK30,Y6:AC105,5,FALSE),0)/1000+ROUND(AL30,3)),ROUND(VLOOKUP(AK30,S6:W105,5,FALSE),0)/1000+ROUND(AL30,3)),ROUND(VLOOKUP(AK30,M6:Q105,5,FALSE),0)/1000+ROUND(AL30,3)),ROUND(VLOOKUP(AK30,G6:K105,5,FALSE),0)/1000+ROUND(AL30,3)),ROUND(VLOOKUP(AK30,A6:E105,5,FALSE),0)/1000+ROUND(AL30,3)))))</f>
        <v/>
      </c>
      <c r="AO30" s="20" t="str">
        <f>IF(OR(NOT(EXACT(UPPER(AK30),"TBM")),AL30=""),IF(AND(AL30&lt;&gt;"",AM30="",AN30&lt;&gt;""),"",IF(AND(AL30="",AM30&lt;&gt;"",AN30&lt;&gt;""),ROUND(ROUND(AN30,3)-ROUND(AM30,3),3)*1000,IF(AND(AL30&lt;&gt;"",AM30&lt;&gt;"",AN30&lt;&gt;""),ROUND(ROUND(AN29,3)-ROUND(AM30,3),3)*1000,""))),"")</f>
        <v/>
      </c>
      <c r="AP30" s="46" t="str">
        <f>IF(AND(NOT(ISNA(VLOOKUP(AK30,A6:E105,5,FALSE))),AL30="",AM30&lt;&gt;""),ROUND((VLOOKUP(AK30,A6:E105,5,FALSE)-AO30)/1000,3),IF(AND(NOT(ISNA(VLOOKUP(AK30,G6:K105,5,FALSE))),AL30="",AM30&lt;&gt;""),ROUND((VLOOKUP(AK30,G6:K105,5,FALSE)-AO30)/1000,3),IF(AND(NOT(ISNA(VLOOKUP(AK30,M6:Q105,5,FALSE))),AL30="",AM30&lt;&gt;""),ROUND((VLOOKUP(AK30,M6:Q105,5,FALSE)-AO30)/1000,3),IF(AND(NOT(ISNA(VLOOKUP(AK30,S6:W105,5,FALSE))),AL30="",AM30&lt;&gt;""),ROUND((VLOOKUP(AK30,S6:W105,5,FALSE)-AO30)/1000,3),IF(AND(NOT(ISNA(VLOOKUP(AK30,Y6:AC105,5,FALSE))),AL30="",AM30&lt;&gt;""),ROUND((VLOOKUP(AK30,Y6:AC105,5,FALSE)-AO30)/1000,3),IF(AND(NOT(ISNA(VLOOKUP(AK30,AE6:AI105,5,FALSE))),AL30="",AM30&lt;&gt;""),ROUND((VLOOKUP(AK30,AE6:AI105,5,FALSE)-AO30)/1000,3),IF(AND(NOT(ISNA(VLOOKUP(AK30,AK6:AO29,5,FALSE))),AL30="",AM30&lt;&gt;""),ROUND((VLOOKUP(AK30,AK6:AO29,5,FALSE)-AO30)/1000,3),"")))))))</f>
        <v/>
      </c>
      <c r="AQ30" s="67">
        <f>IF(AQ29="","",AQ29+1)</f>
        <v>724</v>
      </c>
      <c r="AR30" s="40"/>
      <c r="AS30" s="40"/>
      <c r="AT30" s="62" t="str">
        <f>IF(AND(AR30&lt;&gt;"",AS30&lt;&gt;""),ROUND(AR30,3)+ROUND(AT29,3)-ROUND(AS30,3),IF(AND(EXACT(UPPER(AQ30),"TBM"),AR30&lt;&gt;""),ROUND(AR30,3),IF(AR30="",AT29,IF(ISNA(VLOOKUP(AQ30,A6:E105,5,FALSE)),IF(ISNA(VLOOKUP(AQ30,G6:K105,5,FALSE)),IF(ISNA(VLOOKUP(AQ30,M6:Q105,5,FALSE)),IF(ISNA(VLOOKUP(AQ30,S6:W105,5,FALSE)),IF(ISNA(VLOOKUP(AQ30,Y6:AC105,5,FALSE)),IF(ISNA(VLOOKUP(AQ30,AE6:AI105,5,FALSE)),IF(ISNA(VLOOKUP(AQ30,AK6:AO105,5,FALSE)),IF(ISNA(VLOOKUP(AQ30,AQ6:AU29,5,FALSE)),"",ROUND(VLOOKUP(AQ30,AQ6:AU29,5,FALSE),0)/1000+ROUND(AR30,3)),ROUND(VLOOKUP(AQ30,AK6:AO105,5,FALSE),0)/1000+ROUND(AR30,3)),ROUND(VLOOKUP(AQ30,AE6:AI105,5,FALSE),0)/1000+ROUND(AR30,3)),ROUND(VLOOKUP(AQ30,Y6:AC105,5,FALSE),0)/1000+ROUND(AR30,3)),ROUND(VLOOKUP(AQ30,S6:W105,5,FALSE),0)/1000+ROUND(AR30,3)),ROUND(VLOOKUP(AQ30,M6:Q105,5,FALSE),0)/1000+ROUND(AR30,3)),ROUND(VLOOKUP(AQ30,G6:K105,5,FALSE),0)/1000+ROUND(AR30,3)),ROUND(VLOOKUP(AQ30,A6:E105,5,FALSE),0)/1000+ROUND(AR30,3)))))</f>
        <v/>
      </c>
      <c r="AU30" s="20" t="str">
        <f>IF(OR(NOT(EXACT(UPPER(AQ30),"TBM")),AR30=""),IF(AND(AR30&lt;&gt;"",AS30="",AT30&lt;&gt;""),"",IF(AND(AR30="",AS30&lt;&gt;"",AT30&lt;&gt;""),ROUND(ROUND(AT30,3)-ROUND(AS30,3),3)*1000,IF(AND(AR30&lt;&gt;"",AS30&lt;&gt;"",AT30&lt;&gt;""),ROUND(ROUND(AT29,3)-ROUND(AS30,3),3)*1000,""))),"")</f>
        <v/>
      </c>
      <c r="AV30" s="46" t="str">
        <f>IF(AND(NOT(ISNA(VLOOKUP(AQ30,A6:E105,5,FALSE))),AR30="",AS30&lt;&gt;""),ROUND((VLOOKUP(AQ30,A6:E105,5,FALSE)-AU30)/1000,3),IF(AND(NOT(ISNA(VLOOKUP(AQ30,G6:K105,5,FALSE))),AR30="",AS30&lt;&gt;""),ROUND((VLOOKUP(AQ30,G6:K105,5,FALSE)-AU30)/1000,3),IF(AND(NOT(ISNA(VLOOKUP(AQ30,M6:Q105,5,FALSE))),AR30="",AS30&lt;&gt;""),ROUND((VLOOKUP(AQ30,M6:Q105,5,FALSE)-AU30)/1000,3),IF(AND(NOT(ISNA(VLOOKUP(AQ30,S6:W105,5,FALSE))),AR30="",AS30&lt;&gt;""),ROUND((VLOOKUP(AQ30,S6:W105,5,FALSE)-AU30)/1000,3),IF(AND(NOT(ISNA(VLOOKUP(AQ30,Y6:AC105,5,FALSE))),AR30="",AS30&lt;&gt;""),ROUND((VLOOKUP(AQ30,Y6:AC105,5,FALSE)-AU30)/1000,3),IF(AND(NOT(ISNA(VLOOKUP(AQ30,AE6:AI105,5,FALSE))),AR30="",AS30&lt;&gt;""),ROUND((VLOOKUP(AQ30,AE6:AI105,5,FALSE)-AU30)/1000,3),IF(AND(NOT(ISNA(VLOOKUP(AQ30,AK6:AO105,5,FALSE))),AR30="",AS30&lt;&gt;""),ROUND((VLOOKUP(AQ30,AK6:AO105,5,FALSE)-AU30)/1000,3),IF(AND(NOT(ISNA(VLOOKUP(AQ30,AQ6:AU29,5,FALSE))),AR30="",AS30&lt;&gt;""),ROUND((VLOOKUP(AQ30,AQ6:AU29,5,FALSE)-AU30)/1000,3),""))))))))</f>
        <v/>
      </c>
      <c r="AW30" s="67">
        <f>IF(AW29="","",AW29+1)</f>
        <v>824</v>
      </c>
      <c r="AX30" s="40"/>
      <c r="AY30" s="40"/>
      <c r="AZ30" s="62" t="str">
        <f>IF(AND(AX30&lt;&gt;"",AY30&lt;&gt;""),ROUND(AX30,3)+ROUND(AZ29,3)-ROUND(AY30,3),IF(AND(EXACT(UPPER(AW30),"TBM"),AX30&lt;&gt;""),ROUND(AX30,3),IF(AX30="",AZ29,IF(ISNA(VLOOKUP(AW30,A6:E105,5,FALSE)),IF(ISNA(VLOOKUP(AW30,G6:K105,5,FALSE)),IF(ISNA(VLOOKUP(AW30,M6:Q105,5,FALSE)),IF(ISNA(VLOOKUP(AW30,S6:W105,5,FALSE)),IF(ISNA(VLOOKUP(AW30,Y6:AC105,5,FALSE)),IF(ISNA(VLOOKUP(AW30,AE6:AI105,5,FALSE)),IF(ISNA(VLOOKUP(AW30,AK6:AO105,5,FALSE)),IF(ISNA(VLOOKUP(AW30,AQ6:AU105,5,FALSE)),IF(ISNA(VLOOKUP(AW30,AW6:BA29,5,FALSE)),"",ROUND(VLOOKUP(AW30,AW6:BA29,5,FALSE),0)/1000+ROUND(AX30,3)),ROUND(VLOOKUP(AW30,AQ6:AU105,5,FALSE),0)/1000+ROUND(AX30,3)),ROUND(VLOOKUP(AW30,AK6:AO105,5,FALSE),0)/1000+ROUND(AX30,3)),ROUND(VLOOKUP(AW30,AE6:AI105,5,FALSE),0)/1000+ROUND(AX30,3)),ROUND(VLOOKUP(AW30,Y6:AC105,5,FALSE),0)/1000+ROUND(AX30,3)),ROUND(VLOOKUP(AW30,S6:W105,5,FALSE),0)/1000+ROUND(AX30,3)),ROUND(VLOOKUP(AW30,M6:Q105,5,FALSE),0)/1000+ROUND(AX30,3)),ROUND(VLOOKUP(AW30,G6:K105,5,FALSE),0)/1000+ROUND(AX30,3)),ROUND(VLOOKUP(AW30,A6:E105,5,FALSE),0)/1000+ROUND(AX30,3)))))</f>
        <v/>
      </c>
      <c r="BA30" s="20" t="str">
        <f>IF(OR(NOT(EXACT(UPPER(AW30),"TBM")),AX30=""),IF(AND(AX30&lt;&gt;"",AY30="",AZ30&lt;&gt;""),"",IF(AND(AX30="",AY30&lt;&gt;"",AZ30&lt;&gt;""),ROUND(ROUND(AZ30,3)-ROUND(AY30,3),3)*1000,IF(AND(AX30&lt;&gt;"",AY30&lt;&gt;"",AZ30&lt;&gt;""),ROUND(ROUND(AZ29,3)-ROUND(AY30,3),3)*1000,""))),"")</f>
        <v/>
      </c>
      <c r="BB30" s="46" t="str">
        <f>IF(AND(NOT(ISNA(VLOOKUP(AW30,A6:E105,5,FALSE))),AX30="",AY30&lt;&gt;""),ROUND((VLOOKUP(AW30,A6:E105,5,FALSE)-BA30)/1000,3),IF(AND(NOT(ISNA(VLOOKUP(AW30,G6:K105,5,FALSE))),AX30="",AY30&lt;&gt;""),ROUND((VLOOKUP(AW30,G6:K105,5,FALSE)-BA30)/1000,3),IF(AND(NOT(ISNA(VLOOKUP(AW30,M6:Q105,5,FALSE))),AX30="",AY30&lt;&gt;""),ROUND((VLOOKUP(AW30,M6:Q105,5,FALSE)-BA30)/1000,3),IF(AND(NOT(ISNA(VLOOKUP(AW30,S6:W105,5,FALSE))),AX30="",AY30&lt;&gt;""),ROUND((VLOOKUP(AW30,S6:W105,5,FALSE)-BA30)/1000,3),IF(AND(NOT(ISNA(VLOOKUP(AW30,Y6:AC105,5,FALSE))),AX30="",AY30&lt;&gt;""),ROUND((VLOOKUP(AW30,Y6:AC105,5,FALSE)-BA30)/1000,3),IF(AND(NOT(ISNA(VLOOKUP(AW30,AE6:AI105,5,FALSE))),AX30="",AY30&lt;&gt;""),ROUND((VLOOKUP(AW30,AE6:AI105,5,FALSE)-BA30)/1000,3),IF(AND(NOT(ISNA(VLOOKUP(AW30,AK6:AO105,5,FALSE))),AX30="",AY30&lt;&gt;""),ROUND((VLOOKUP(AW30,AK6:AO105,5,FALSE)-BA30)/1000,3),IF(AND(NOT(ISNA(VLOOKUP(AW30,AQ6:AU105,5,FALSE))),AX30="",AY30&lt;&gt;""),ROUND((VLOOKUP(AW30,AQ6:AU105,5,FALSE)-BA30)/1000,3),IF(AND(NOT(ISNA(VLOOKUP(AW30,AW6:BA29,5,FALSE))),AX30="",AY30&lt;&gt;""),ROUND((VLOOKUP(AW30,AW6:BA29,5,FALSE)-BA30)/1000,3),"")))))))))</f>
        <v/>
      </c>
      <c r="BC30" s="67">
        <f>IF(BC29="","",BC29+1)</f>
        <v>924</v>
      </c>
      <c r="BD30" s="40"/>
      <c r="BE30" s="40"/>
      <c r="BF30" s="62" t="str">
        <f>IF(AND(BD30&lt;&gt;"",BE30&lt;&gt;""),ROUND(BD30,3)+ROUND(BF29,3)-ROUND(BE30,3),IF(AND(EXACT(UPPER(BC30),"TBM"),BD30&lt;&gt;""),ROUND(BD30,3),IF(BD30="",BF29,IF(ISNA(VLOOKUP(BC30,A6:E105,5,FALSE)),IF(ISNA(VLOOKUP(BC30,G6:K105,5,FALSE)),IF(ISNA(VLOOKUP(BC30,M6:Q105,5,FALSE)),IF(ISNA(VLOOKUP(BC30,S6:W105,5,FALSE)),IF(ISNA(VLOOKUP(BC30,Y6:AC105,5,FALSE)),IF(ISNA(VLOOKUP(BC30,AE6:AI105,5,FALSE)),IF(ISNA(VLOOKUP(BC30,AK6:AO105,5,FALSE)),IF(ISNA(VLOOKUP(BC30,AQ6:AU105,5,FALSE)),IF(ISNA(VLOOKUP(BC30,AW6:BA105,5,FALSE)),IF(ISNA(VLOOKUP(BC30,BC6:BG29,5,FALSE)),"",ROUND(VLOOKUP(BC30,BC6:BG29,5,FALSE),0)/1000+ROUND(BD30,3)),ROUND(VLOOKUP(BC30,AW6:BA105,5,FALSE),0)/1000+ROUND(BD30,3)),ROUND(VLOOKUP(BC30,AQ6:AU105,5,FALSE),0)/1000+ROUND(BD30,3)),ROUND(VLOOKUP(BC30,AK6:AO105,5,FALSE),0)/1000+ROUND(BD30,3)),ROUND(VLOOKUP(BC30,AE6:AI105,5,FALSE),0)/1000+ROUND(BD30,3)),ROUND(VLOOKUP(BC30,Y6:AC105,5,FALSE),0)/1000+ROUND(BD30,3)),ROUND(VLOOKUP(BC30,S6:W105,5,FALSE),0)/1000+ROUND(BD30,3)),ROUND(VLOOKUP(BC30,M6:Q105,5,FALSE),0)/1000+ROUND(BD30,3)),ROUND(VLOOKUP(BC30,G6:K105,5,FALSE),0)/1000+ROUND(BD30,3)),ROUND(VLOOKUP(BC30,A6:E105,5,FALSE),0)/1000+ROUND(BD30,3)))))</f>
        <v/>
      </c>
      <c r="BG30" s="20" t="str">
        <f>IF(OR(NOT(EXACT(UPPER(BC30),"TBM")),BD30=""),IF(AND(BD30&lt;&gt;"",BE30="",BF30&lt;&gt;""),"",IF(AND(BD30="",BE30&lt;&gt;"",BF30&lt;&gt;""),ROUND(ROUND(BF30,3)-ROUND(BE30,3),3)*1000,IF(AND(BD30&lt;&gt;"",BE30&lt;&gt;"",BF30&lt;&gt;""),ROUND(ROUND(BF29,3)-ROUND(BE30,3),3)*1000,""))),"")</f>
        <v/>
      </c>
      <c r="BH30" s="46" t="str">
        <f>IF(AND(NOT(ISNA(VLOOKUP(BC30,A6:E105,5,FALSE))),BD30="",BE30&lt;&gt;""),ROUND((VLOOKUP(BC30,A6:E105,5,FALSE)-BG30)/1000,3),IF(AND(NOT(ISNA(VLOOKUP(BC30,G6:K105,5,FALSE))),BD30="",BE30&lt;&gt;""),ROUND((VLOOKUP(BC30,G6:K105,5,FALSE)-BG30)/1000,3),IF(AND(NOT(ISNA(VLOOKUP(BC30,M6:Q105,5,FALSE))),BD30="",BE30&lt;&gt;""),ROUND((VLOOKUP(BC30,M6:Q105,5,FALSE)-BG30)/1000,3),IF(AND(NOT(ISNA(VLOOKUP(BC30,S6:W105,5,FALSE))),BD30="",BE30&lt;&gt;""),ROUND((VLOOKUP(BC30,S6:W105,5,FALSE)-BG30)/1000,3),IF(AND(NOT(ISNA(VLOOKUP(BC30,Y6:AC105,5,FALSE))),BD30="",BE30&lt;&gt;""),ROUND((VLOOKUP(BC30,Y6:AC105,5,FALSE)-BG30)/1000,3),IF(AND(NOT(ISNA(VLOOKUP(BC30,AE6:AI105,5,FALSE))),BD30="",BE30&lt;&gt;""),ROUND((VLOOKUP(BC30,AE6:AI105,5,FALSE)-BG30)/1000,3),IF(AND(NOT(ISNA(VLOOKUP(BC30,AK6:AO105,5,FALSE))),BD30="",BE30&lt;&gt;""),ROUND((VLOOKUP(BC30,AK6:AO105,5,FALSE)-BG30)/1000,3),IF(AND(NOT(ISNA(VLOOKUP(BC30,AQ6:AU105,5,FALSE))),BD30="",BE30&lt;&gt;""),ROUND((VLOOKUP(BC30,AQ6:AU105,5,FALSE)-BG30)/1000,3),IF(AND(NOT(ISNA(VLOOKUP(BC30,AW6:BA105,5,FALSE))),BD30="",BE30&lt;&gt;""),ROUND((VLOOKUP(BC30,AW6:BA105,5,FALSE)-BG30)/1000,3),IF(AND(NOT(ISNA(VLOOKUP(BC30,BC6:BG29,5,FALSE))),BD30="",BE30&lt;&gt;""),ROUND((VLOOKUP(BC30,BC6:BG29,5,FALSE)-BG30)/1000,3),""))))))))))</f>
        <v/>
      </c>
    </row>
    <row r="31" spans="1:60" x14ac:dyDescent="0.25">
      <c r="A31" s="74">
        <f t="shared" si="3"/>
        <v>25</v>
      </c>
      <c r="B31" s="90"/>
      <c r="C31" s="77"/>
      <c r="D31" s="78" t="str">
        <f>IF(AND(B31&lt;&gt;"",C31&lt;&gt;""),ROUND(B31,3)+ROUND(D30,3)-ROUND(C31,3),IF(AND(EXACT(UPPER(A31),"TBM"),B31&lt;&gt;""),ROUND(B31,3),IF(B31="",D30,IF(ISNA(VLOOKUP(A31,A6:E30,5,FALSE)),"",ROUND(VLOOKUP(A31,A6:E30,5,FALSE),0)/1000+ROUND(B31,3)))))</f>
        <v/>
      </c>
      <c r="E31" s="79" t="str">
        <f t="shared" si="0"/>
        <v/>
      </c>
      <c r="F31" s="80" t="str">
        <f>IF(AND(NOT(ISNA(VLOOKUP(A31,A6:E30,5,FALSE))),B31="",C31&lt;&gt;""),ROUND((VLOOKUP(A31,A6:E30,5,FALSE)-E31)/1000,3),"")</f>
        <v/>
      </c>
      <c r="G31" s="74">
        <f t="shared" si="1"/>
        <v>125</v>
      </c>
      <c r="H31" s="86"/>
      <c r="I31" s="86"/>
      <c r="J31" s="78" t="str">
        <f>IF(AND(H31&lt;&gt;"",I31&lt;&gt;""),ROUND(H31,3)+ROUND(J30,3)-ROUND(I31,3),IF(AND(EXACT(UPPER(G31),"TBM"),H31&lt;&gt;""),ROUND(H31,3),IF(H31="",J30,IF(ISNA(VLOOKUP(G31,A6:E105,5,FALSE)),IF(ISNA(VLOOKUP(G31,G6:K30,5,FALSE)),"",ROUND(VLOOKUP(G31,G6:K30,5,FALSE),0)/1000+ROUND(H31,3)),ROUND(VLOOKUP(G31,A6:E105,5,FALSE),0)/1000+ROUND(H31,3)))))</f>
        <v/>
      </c>
      <c r="K31" s="87" t="str">
        <f t="shared" si="2"/>
        <v/>
      </c>
      <c r="L31" s="80" t="str">
        <f>IF(AND(NOT(ISNA(VLOOKUP(G31,A6:E105,5,FALSE))),H31="",I31&lt;&gt;""),ROUND((VLOOKUP(G31,A6:E105,5,FALSE)-K31)/1000,3),IF(AND(NOT(ISNA(VLOOKUP(G31,G6:K30,5,FALSE))),H31="",I31&lt;&gt;""),ROUND((VLOOKUP(G31,G6:K30,5,FALSE)-K31)/1000,3),""))</f>
        <v/>
      </c>
      <c r="M31" s="74">
        <f>IF(M30="","",M30+1)</f>
        <v>225</v>
      </c>
      <c r="N31" s="86"/>
      <c r="O31" s="86"/>
      <c r="P31" s="78" t="str">
        <f>IF(AND(N31&lt;&gt;"",O31&lt;&gt;""),ROUND(N31,3)+ROUND(P30,3)-ROUND(O31,3),IF(AND(EXACT(UPPER(M31),"TBM"),N31&lt;&gt;""),ROUND(N31,3),IF(N31="",P30,IF(ISNA(VLOOKUP(M31,A6:E105,5,FALSE)),IF(ISNA(VLOOKUP(M31,G6:K105,5,FALSE)),IF(ISNA(VLOOKUP(M31,M6:Q30,5,FALSE)),"",ROUND(VLOOKUP(M31,M6:Q30,5,FALSE),0)/1000+ROUND(N31,3)),ROUND(VLOOKUP(M31,G6:K105,5,FALSE),0)/1000+ROUND(N31,3)),ROUND(VLOOKUP(M31,A6:E105,5,FALSE),0)/1000+ROUND(N31,3)))))</f>
        <v/>
      </c>
      <c r="Q31" s="87" t="str">
        <f>IF(OR(NOT(EXACT(UPPER(M31),"TBM")),N31=""),IF(AND(N31&lt;&gt;"",O31="",P31&lt;&gt;""),"",IF(AND(N31="",O31&lt;&gt;"",P31&lt;&gt;""),ROUND(ROUND(P31,3)-ROUND(O31,3),3)*1000,IF(AND(N31&lt;&gt;"",O31&lt;&gt;"",P31&lt;&gt;""),ROUND(ROUND(P30,3)-ROUND(O31,3),3)*1000,""))),"")</f>
        <v/>
      </c>
      <c r="R31" s="80" t="str">
        <f>IF(AND(NOT(ISNA(VLOOKUP(M31,A6:E105,5,FALSE))),N31="",O31&lt;&gt;""),ROUND((VLOOKUP(M31,A6:E105,5,FALSE)-Q31)/1000,3),IF(AND(NOT(ISNA(VLOOKUP(M31,G6:K105,5,FALSE))),N31="",O31&lt;&gt;""),ROUND((VLOOKUP(M31,G6:K105,5,FALSE)-Q31)/1000,3),IF(AND(NOT(ISNA(VLOOKUP(M31,M6:Q30,5,FALSE))),N31="",O31&lt;&gt;""),ROUND((VLOOKUP(M31,M6:Q30,5,FALSE)-Q31)/1000,3),"")))</f>
        <v/>
      </c>
      <c r="S31" s="74">
        <f>IF(S30="","",S30+1)</f>
        <v>325</v>
      </c>
      <c r="T31" s="86"/>
      <c r="U31" s="86"/>
      <c r="V31" s="78" t="str">
        <f>IF(AND(T31&lt;&gt;"",U31&lt;&gt;""),ROUND(T31,3)+ROUND(V30,3)-ROUND(U31,3),IF(AND(EXACT(UPPER(S31),"TBM"),T31&lt;&gt;""),ROUND(T31,3),IF(T31="",V30,IF(ISNA(VLOOKUP(S31,A6:E105,5,FALSE)),IF(ISNA(VLOOKUP(S31,G6:K105,5,FALSE)),IF(ISNA(VLOOKUP(S31,M6:Q105,5,FALSE)),IF(ISNA(VLOOKUP(S31,S6:W30,5,FALSE)),"",ROUND(VLOOKUP(S31,S6:W30,5,FALSE),0)/1000+ROUND(T31,3)),ROUND(VLOOKUP(S31,M6:Q105,5,FALSE),0)/1000+ROUND(T31,3)),ROUND(VLOOKUP(S31,G6:K105,5,FALSE),0)/1000+ROUND(T31,3)),ROUND(VLOOKUP(S31,A6:E105,5,FALSE),0)/1000+ROUND(T31,3)))))</f>
        <v/>
      </c>
      <c r="W31" s="87" t="str">
        <f>IF(OR(NOT(EXACT(UPPER(S31),"TBM")),T31=""),IF(AND(T31&lt;&gt;"",U31="",V31&lt;&gt;""),"",IF(AND(T31="",U31&lt;&gt;"",V31&lt;&gt;""),ROUND(ROUND(V31,3)-ROUND(U31,3),3)*1000,IF(AND(T31&lt;&gt;"",U31&lt;&gt;"",V31&lt;&gt;""),ROUND(ROUND(V30,3)-ROUND(U31,3),3)*1000,""))),"")</f>
        <v/>
      </c>
      <c r="X31" s="80" t="str">
        <f>IF(AND(NOT(ISNA(VLOOKUP(S31,A6:E105,5,FALSE))),T31="",U31&lt;&gt;""),ROUND((VLOOKUP(S31,A6:E105,5,FALSE)-W31)/1000,3),IF(AND(NOT(ISNA(VLOOKUP(S31,G6:K105,5,FALSE))),T31="",U31&lt;&gt;""),ROUND((VLOOKUP(S31,G6:K105,5,FALSE)-W31)/1000,3),IF(AND(NOT(ISNA(VLOOKUP(S31,M6:Q105,5,FALSE))),T31="",U31&lt;&gt;""),ROUND((VLOOKUP(S31,M6:Q105,5,FALSE)-W31)/1000,3),IF(AND(NOT(ISNA(VLOOKUP(S31,S6:W30,5,FALSE))),T31="",U31&lt;&gt;""),ROUND((VLOOKUP(S31,S6:W30,5,FALSE)-W31)/1000,3),""))))</f>
        <v/>
      </c>
      <c r="Y31" s="74">
        <f>IF(Y30="","",Y30+1)</f>
        <v>425</v>
      </c>
      <c r="Z31" s="86"/>
      <c r="AA31" s="86"/>
      <c r="AB31" s="78" t="str">
        <f>IF(AND(Z31&lt;&gt;"",AA31&lt;&gt;""),ROUND(Z31,3)+ROUND(AB30,3)-ROUND(AA31,3),IF(AND(EXACT(UPPER(Y31),"TBM"),Z31&lt;&gt;""),ROUND(Z31,3),IF(Z31="",AB30,IF(ISNA(VLOOKUP(Y31,A6:E105,5,FALSE)),IF(ISNA(VLOOKUP(Y31,G6:K105,5,FALSE)),IF(ISNA(VLOOKUP(Y31,M6:Q105,5,FALSE)),IF(ISNA(VLOOKUP(Y31,S6:W105,5,FALSE)),IF(ISNA(VLOOKUP(Y31,Y6:AC30,5,FALSE)),"",ROUND(VLOOKUP(Y31,Y6:AC30,5,FALSE),0)/1000+ROUND(Z31,3)),ROUND(VLOOKUP(Y31,S6:W105,5,FALSE),0)/1000+ROUND(Z31,3)),ROUND(VLOOKUP(Y31,M6:Q105,5,FALSE),0)/1000+ROUND(Z31,3)),ROUND(VLOOKUP(Y31,G6:K105,5,FALSE),0)/1000+ROUND(Z31,3)),ROUND(VLOOKUP(Y31,A6:E105,5,FALSE),0)/1000+ROUND(Z31,3)))))</f>
        <v/>
      </c>
      <c r="AC31" s="87" t="str">
        <f>IF(OR(NOT(EXACT(UPPER(Y31),"TBM")),Z31=""),IF(AND(Z31&lt;&gt;"",AA31="",AB31&lt;&gt;""),"",IF(AND(Z31="",AA31&lt;&gt;"",AB31&lt;&gt;""),ROUND(ROUND(AB31,3)-ROUND(AA31,3),3)*1000,IF(AND(Z31&lt;&gt;"",AA31&lt;&gt;"",AB31&lt;&gt;""),ROUND(ROUND(AB30,3)-ROUND(AA31,3),3)*1000,""))),"")</f>
        <v/>
      </c>
      <c r="AD31" s="80" t="str">
        <f>IF(AND(NOT(ISNA(VLOOKUP(Y31,A6:E105,5,FALSE))),Z31="",AA31&lt;&gt;""),ROUND((VLOOKUP(Y31,A6:E105,5,FALSE)-AC31)/1000,3),IF(AND(NOT(ISNA(VLOOKUP(Y31,G6:K105,5,FALSE))),Z31="",AA31&lt;&gt;""),ROUND((VLOOKUP(Y31,G6:K105,5,FALSE)-AC31)/1000,3),IF(AND(NOT(ISNA(VLOOKUP(Y31,M6:Q105,5,FALSE))),Z31="",AA31&lt;&gt;""),ROUND((VLOOKUP(Y31,M6:Q105,5,FALSE)-AC31)/1000,3),IF(AND(NOT(ISNA(VLOOKUP(Y31,S6:W105,5,FALSE))),Z31="",AA31&lt;&gt;""),ROUND((VLOOKUP(Y31,S6:W105,5,FALSE)-AC31)/1000,3),IF(AND(NOT(ISNA(VLOOKUP(Y31,Y6:AC30,5,FALSE))),Z31="",AA31&lt;&gt;""),ROUND((VLOOKUP(Y31,Y6:AC30,5,FALSE)-AC31)/1000,3),"")))))</f>
        <v/>
      </c>
      <c r="AE31" s="74">
        <f>IF(AE30="","",AE30+1)</f>
        <v>525</v>
      </c>
      <c r="AF31" s="86"/>
      <c r="AG31" s="86"/>
      <c r="AH31" s="78" t="str">
        <f>IF(AND(AF31&lt;&gt;"",AG31&lt;&gt;""),ROUND(AF31,3)+ROUND(AH30,3)-ROUND(AG31,3),IF(AND(EXACT(UPPER(AE31),"TBM"),AF31&lt;&gt;""),ROUND(AF31,3),IF(AF31="",AH30,IF(ISNA(VLOOKUP(AE31,A6:E105,5,FALSE)),IF(ISNA(VLOOKUP(AE31,G6:K105,5,FALSE)),IF(ISNA(VLOOKUP(AE31,M6:Q105,5,FALSE)),IF(ISNA(VLOOKUP(AE31,S6:W105,5,FALSE)),IF(ISNA(VLOOKUP(AE31,Y6:AC105,5,FALSE)),IF(ISNA(VLOOKUP(AE31,AE6:AI30,5,FALSE)),"",ROUND(VLOOKUP(AE31,AE6:AI30,5,FALSE),0)/1000+ROUND(AF31,3)),ROUND(VLOOKUP(AE31,Y6:AC105,5,FALSE),0)/1000+ROUND(AF31,3)),ROUND(VLOOKUP(AE31,S6:W105,5,FALSE),0)/1000+ROUND(AF31,3)),ROUND(VLOOKUP(AE31,M6:Q105,5,FALSE),0)/1000+ROUND(AF31,3)),ROUND(VLOOKUP(AE31,G6:K105,5,FALSE),0)/1000+ROUND(AF31,3)),ROUND(VLOOKUP(AE31,A6:E105,5,FALSE),0)/1000+ROUND(AF31,3)))))</f>
        <v/>
      </c>
      <c r="AI31" s="87" t="str">
        <f>IF(OR(NOT(EXACT(UPPER(AE31),"TBM")),AF31=""),IF(AND(AF31&lt;&gt;"",AG31="",AH31&lt;&gt;""),"",IF(AND(AF31="",AG31&lt;&gt;"",AH31&lt;&gt;""),ROUND(ROUND(AH31,3)-ROUND(AG31,3),3)*1000,IF(AND(AF31&lt;&gt;"",AG31&lt;&gt;"",AH31&lt;&gt;""),ROUND(ROUND(AH30,3)-ROUND(AG31,3),3)*1000,""))),"")</f>
        <v/>
      </c>
      <c r="AJ31" s="80" t="str">
        <f>IF(AND(NOT(ISNA(VLOOKUP(AE31,A6:E105,5,FALSE))),AF31="",AG31&lt;&gt;""),ROUND((VLOOKUP(AE31,A6:E105,5,FALSE)-AI31)/1000,3),IF(AND(NOT(ISNA(VLOOKUP(AE31,G6:K105,5,FALSE))),AF31="",AG31&lt;&gt;""),ROUND((VLOOKUP(AE31,G6:K105,5,FALSE)-AI31)/1000,3),IF(AND(NOT(ISNA(VLOOKUP(AE31,M6:Q105,5,FALSE))),AF31="",AG31&lt;&gt;""),ROUND((VLOOKUP(AE31,M6:Q105,5,FALSE)-AI31)/1000,3),IF(AND(NOT(ISNA(VLOOKUP(AE31,S6:W105,5,FALSE))),AF31="",AG31&lt;&gt;""),ROUND((VLOOKUP(AE31,S6:W105,5,FALSE)-AI31)/1000,3),IF(AND(NOT(ISNA(VLOOKUP(AE31,Y6:AC105,5,FALSE))),AF31="",AG31&lt;&gt;""),ROUND((VLOOKUP(AE31,Y6:AC105,5,FALSE)-AI31)/1000,3),IF(AND(NOT(ISNA(VLOOKUP(AE31,AE6:AI30,5,FALSE))),AF31="",AG31&lt;&gt;""),ROUND((VLOOKUP(AE31,AE6:AI30,5,FALSE)-AI31)/1000,3),""))))))</f>
        <v/>
      </c>
      <c r="AK31" s="74">
        <f>IF(AK30="","",AK30+1)</f>
        <v>625</v>
      </c>
      <c r="AL31" s="86"/>
      <c r="AM31" s="86"/>
      <c r="AN31" s="78" t="str">
        <f>IF(AND(AL31&lt;&gt;"",AM31&lt;&gt;""),ROUND(AL31,3)+ROUND(AN30,3)-ROUND(AM31,3),IF(AND(EXACT(UPPER(AK31),"TBM"),AL31&lt;&gt;""),ROUND(AL31,3),IF(AL31="",AN30,IF(ISNA(VLOOKUP(AK31,A6:E105,5,FALSE)),IF(ISNA(VLOOKUP(AK31,G6:K105,5,FALSE)),IF(ISNA(VLOOKUP(AK31,M6:Q105,5,FALSE)),IF(ISNA(VLOOKUP(AK31,S6:W105,5,FALSE)),IF(ISNA(VLOOKUP(AK31,Y6:AC105,5,FALSE)),IF(ISNA(VLOOKUP(AK31,AE6:AI105,5,FALSE)),IF(ISNA(VLOOKUP(AK31,AK6:AO30,5,FALSE)),"",ROUND(VLOOKUP(AK31,AK6:AO30,5,FALSE),0)/1000+ROUND(AL31,3)),ROUND(VLOOKUP(AK31,AE6:AI105,5,FALSE),0)/1000+ROUND(AL31,3)),ROUND(VLOOKUP(AK31,Y6:AC105,5,FALSE),0)/1000+ROUND(AL31,3)),ROUND(VLOOKUP(AK31,S6:W105,5,FALSE),0)/1000+ROUND(AL31,3)),ROUND(VLOOKUP(AK31,M6:Q105,5,FALSE),0)/1000+ROUND(AL31,3)),ROUND(VLOOKUP(AK31,G6:K105,5,FALSE),0)/1000+ROUND(AL31,3)),ROUND(VLOOKUP(AK31,A6:E105,5,FALSE),0)/1000+ROUND(AL31,3)))))</f>
        <v/>
      </c>
      <c r="AO31" s="87" t="str">
        <f>IF(OR(NOT(EXACT(UPPER(AK31),"TBM")),AL31=""),IF(AND(AL31&lt;&gt;"",AM31="",AN31&lt;&gt;""),"",IF(AND(AL31="",AM31&lt;&gt;"",AN31&lt;&gt;""),ROUND(ROUND(AN31,3)-ROUND(AM31,3),3)*1000,IF(AND(AL31&lt;&gt;"",AM31&lt;&gt;"",AN31&lt;&gt;""),ROUND(ROUND(AN30,3)-ROUND(AM31,3),3)*1000,""))),"")</f>
        <v/>
      </c>
      <c r="AP31" s="80" t="str">
        <f>IF(AND(NOT(ISNA(VLOOKUP(AK31,A6:E105,5,FALSE))),AL31="",AM31&lt;&gt;""),ROUND((VLOOKUP(AK31,A6:E105,5,FALSE)-AO31)/1000,3),IF(AND(NOT(ISNA(VLOOKUP(AK31,G6:K105,5,FALSE))),AL31="",AM31&lt;&gt;""),ROUND((VLOOKUP(AK31,G6:K105,5,FALSE)-AO31)/1000,3),IF(AND(NOT(ISNA(VLOOKUP(AK31,M6:Q105,5,FALSE))),AL31="",AM31&lt;&gt;""),ROUND((VLOOKUP(AK31,M6:Q105,5,FALSE)-AO31)/1000,3),IF(AND(NOT(ISNA(VLOOKUP(AK31,S6:W105,5,FALSE))),AL31="",AM31&lt;&gt;""),ROUND((VLOOKUP(AK31,S6:W105,5,FALSE)-AO31)/1000,3),IF(AND(NOT(ISNA(VLOOKUP(AK31,Y6:AC105,5,FALSE))),AL31="",AM31&lt;&gt;""),ROUND((VLOOKUP(AK31,Y6:AC105,5,FALSE)-AO31)/1000,3),IF(AND(NOT(ISNA(VLOOKUP(AK31,AE6:AI105,5,FALSE))),AL31="",AM31&lt;&gt;""),ROUND((VLOOKUP(AK31,AE6:AI105,5,FALSE)-AO31)/1000,3),IF(AND(NOT(ISNA(VLOOKUP(AK31,AK6:AO30,5,FALSE))),AL31="",AM31&lt;&gt;""),ROUND((VLOOKUP(AK31,AK6:AO30,5,FALSE)-AO31)/1000,3),"")))))))</f>
        <v/>
      </c>
      <c r="AQ31" s="74">
        <f>IF(AQ30="","",AQ30+1)</f>
        <v>725</v>
      </c>
      <c r="AR31" s="86"/>
      <c r="AS31" s="86"/>
      <c r="AT31" s="78" t="str">
        <f>IF(AND(AR31&lt;&gt;"",AS31&lt;&gt;""),ROUND(AR31,3)+ROUND(AT30,3)-ROUND(AS31,3),IF(AND(EXACT(UPPER(AQ31),"TBM"),AR31&lt;&gt;""),ROUND(AR31,3),IF(AR31="",AT30,IF(ISNA(VLOOKUP(AQ31,A6:E105,5,FALSE)),IF(ISNA(VLOOKUP(AQ31,G6:K105,5,FALSE)),IF(ISNA(VLOOKUP(AQ31,M6:Q105,5,FALSE)),IF(ISNA(VLOOKUP(AQ31,S6:W105,5,FALSE)),IF(ISNA(VLOOKUP(AQ31,Y6:AC105,5,FALSE)),IF(ISNA(VLOOKUP(AQ31,AE6:AI105,5,FALSE)),IF(ISNA(VLOOKUP(AQ31,AK6:AO105,5,FALSE)),IF(ISNA(VLOOKUP(AQ31,AQ6:AU30,5,FALSE)),"",ROUND(VLOOKUP(AQ31,AQ6:AU30,5,FALSE),0)/1000+ROUND(AR31,3)),ROUND(VLOOKUP(AQ31,AK6:AO105,5,FALSE),0)/1000+ROUND(AR31,3)),ROUND(VLOOKUP(AQ31,AE6:AI105,5,FALSE),0)/1000+ROUND(AR31,3)),ROUND(VLOOKUP(AQ31,Y6:AC105,5,FALSE),0)/1000+ROUND(AR31,3)),ROUND(VLOOKUP(AQ31,S6:W105,5,FALSE),0)/1000+ROUND(AR31,3)),ROUND(VLOOKUP(AQ31,M6:Q105,5,FALSE),0)/1000+ROUND(AR31,3)),ROUND(VLOOKUP(AQ31,G6:K105,5,FALSE),0)/1000+ROUND(AR31,3)),ROUND(VLOOKUP(AQ31,A6:E105,5,FALSE),0)/1000+ROUND(AR31,3)))))</f>
        <v/>
      </c>
      <c r="AU31" s="87" t="str">
        <f>IF(OR(NOT(EXACT(UPPER(AQ31),"TBM")),AR31=""),IF(AND(AR31&lt;&gt;"",AS31="",AT31&lt;&gt;""),"",IF(AND(AR31="",AS31&lt;&gt;"",AT31&lt;&gt;""),ROUND(ROUND(AT31,3)-ROUND(AS31,3),3)*1000,IF(AND(AR31&lt;&gt;"",AS31&lt;&gt;"",AT31&lt;&gt;""),ROUND(ROUND(AT30,3)-ROUND(AS31,3),3)*1000,""))),"")</f>
        <v/>
      </c>
      <c r="AV31" s="80" t="str">
        <f>IF(AND(NOT(ISNA(VLOOKUP(AQ31,A6:E105,5,FALSE))),AR31="",AS31&lt;&gt;""),ROUND((VLOOKUP(AQ31,A6:E105,5,FALSE)-AU31)/1000,3),IF(AND(NOT(ISNA(VLOOKUP(AQ31,G6:K105,5,FALSE))),AR31="",AS31&lt;&gt;""),ROUND((VLOOKUP(AQ31,G6:K105,5,FALSE)-AU31)/1000,3),IF(AND(NOT(ISNA(VLOOKUP(AQ31,M6:Q105,5,FALSE))),AR31="",AS31&lt;&gt;""),ROUND((VLOOKUP(AQ31,M6:Q105,5,FALSE)-AU31)/1000,3),IF(AND(NOT(ISNA(VLOOKUP(AQ31,S6:W105,5,FALSE))),AR31="",AS31&lt;&gt;""),ROUND((VLOOKUP(AQ31,S6:W105,5,FALSE)-AU31)/1000,3),IF(AND(NOT(ISNA(VLOOKUP(AQ31,Y6:AC105,5,FALSE))),AR31="",AS31&lt;&gt;""),ROUND((VLOOKUP(AQ31,Y6:AC105,5,FALSE)-AU31)/1000,3),IF(AND(NOT(ISNA(VLOOKUP(AQ31,AE6:AI105,5,FALSE))),AR31="",AS31&lt;&gt;""),ROUND((VLOOKUP(AQ31,AE6:AI105,5,FALSE)-AU31)/1000,3),IF(AND(NOT(ISNA(VLOOKUP(AQ31,AK6:AO105,5,FALSE))),AR31="",AS31&lt;&gt;""),ROUND((VLOOKUP(AQ31,AK6:AO105,5,FALSE)-AU31)/1000,3),IF(AND(NOT(ISNA(VLOOKUP(AQ31,AQ6:AU30,5,FALSE))),AR31="",AS31&lt;&gt;""),ROUND((VLOOKUP(AQ31,AQ6:AU30,5,FALSE)-AU31)/1000,3),""))))))))</f>
        <v/>
      </c>
      <c r="AW31" s="74">
        <f>IF(AW30="","",AW30+1)</f>
        <v>825</v>
      </c>
      <c r="AX31" s="86"/>
      <c r="AY31" s="86"/>
      <c r="AZ31" s="78" t="str">
        <f>IF(AND(AX31&lt;&gt;"",AY31&lt;&gt;""),ROUND(AX31,3)+ROUND(AZ30,3)-ROUND(AY31,3),IF(AND(EXACT(UPPER(AW31),"TBM"),AX31&lt;&gt;""),ROUND(AX31,3),IF(AX31="",AZ30,IF(ISNA(VLOOKUP(AW31,A6:E105,5,FALSE)),IF(ISNA(VLOOKUP(AW31,G6:K105,5,FALSE)),IF(ISNA(VLOOKUP(AW31,M6:Q105,5,FALSE)),IF(ISNA(VLOOKUP(AW31,S6:W105,5,FALSE)),IF(ISNA(VLOOKUP(AW31,Y6:AC105,5,FALSE)),IF(ISNA(VLOOKUP(AW31,AE6:AI105,5,FALSE)),IF(ISNA(VLOOKUP(AW31,AK6:AO105,5,FALSE)),IF(ISNA(VLOOKUP(AW31,AQ6:AU105,5,FALSE)),IF(ISNA(VLOOKUP(AW31,AW6:BA30,5,FALSE)),"",ROUND(VLOOKUP(AW31,AW6:BA30,5,FALSE),0)/1000+ROUND(AX31,3)),ROUND(VLOOKUP(AW31,AQ6:AU105,5,FALSE),0)/1000+ROUND(AX31,3)),ROUND(VLOOKUP(AW31,AK6:AO105,5,FALSE),0)/1000+ROUND(AX31,3)),ROUND(VLOOKUP(AW31,AE6:AI105,5,FALSE),0)/1000+ROUND(AX31,3)),ROUND(VLOOKUP(AW31,Y6:AC105,5,FALSE),0)/1000+ROUND(AX31,3)),ROUND(VLOOKUP(AW31,S6:W105,5,FALSE),0)/1000+ROUND(AX31,3)),ROUND(VLOOKUP(AW31,M6:Q105,5,FALSE),0)/1000+ROUND(AX31,3)),ROUND(VLOOKUP(AW31,G6:K105,5,FALSE),0)/1000+ROUND(AX31,3)),ROUND(VLOOKUP(AW31,A6:E105,5,FALSE),0)/1000+ROUND(AX31,3)))))</f>
        <v/>
      </c>
      <c r="BA31" s="87" t="str">
        <f>IF(OR(NOT(EXACT(UPPER(AW31),"TBM")),AX31=""),IF(AND(AX31&lt;&gt;"",AY31="",AZ31&lt;&gt;""),"",IF(AND(AX31="",AY31&lt;&gt;"",AZ31&lt;&gt;""),ROUND(ROUND(AZ31,3)-ROUND(AY31,3),3)*1000,IF(AND(AX31&lt;&gt;"",AY31&lt;&gt;"",AZ31&lt;&gt;""),ROUND(ROUND(AZ30,3)-ROUND(AY31,3),3)*1000,""))),"")</f>
        <v/>
      </c>
      <c r="BB31" s="80" t="str">
        <f>IF(AND(NOT(ISNA(VLOOKUP(AW31,A6:E105,5,FALSE))),AX31="",AY31&lt;&gt;""),ROUND((VLOOKUP(AW31,A6:E105,5,FALSE)-BA31)/1000,3),IF(AND(NOT(ISNA(VLOOKUP(AW31,G6:K105,5,FALSE))),AX31="",AY31&lt;&gt;""),ROUND((VLOOKUP(AW31,G6:K105,5,FALSE)-BA31)/1000,3),IF(AND(NOT(ISNA(VLOOKUP(AW31,M6:Q105,5,FALSE))),AX31="",AY31&lt;&gt;""),ROUND((VLOOKUP(AW31,M6:Q105,5,FALSE)-BA31)/1000,3),IF(AND(NOT(ISNA(VLOOKUP(AW31,S6:W105,5,FALSE))),AX31="",AY31&lt;&gt;""),ROUND((VLOOKUP(AW31,S6:W105,5,FALSE)-BA31)/1000,3),IF(AND(NOT(ISNA(VLOOKUP(AW31,Y6:AC105,5,FALSE))),AX31="",AY31&lt;&gt;""),ROUND((VLOOKUP(AW31,Y6:AC105,5,FALSE)-BA31)/1000,3),IF(AND(NOT(ISNA(VLOOKUP(AW31,AE6:AI105,5,FALSE))),AX31="",AY31&lt;&gt;""),ROUND((VLOOKUP(AW31,AE6:AI105,5,FALSE)-BA31)/1000,3),IF(AND(NOT(ISNA(VLOOKUP(AW31,AK6:AO105,5,FALSE))),AX31="",AY31&lt;&gt;""),ROUND((VLOOKUP(AW31,AK6:AO105,5,FALSE)-BA31)/1000,3),IF(AND(NOT(ISNA(VLOOKUP(AW31,AQ6:AU105,5,FALSE))),AX31="",AY31&lt;&gt;""),ROUND((VLOOKUP(AW31,AQ6:AU105,5,FALSE)-BA31)/1000,3),IF(AND(NOT(ISNA(VLOOKUP(AW31,AW6:BA30,5,FALSE))),AX31="",AY31&lt;&gt;""),ROUND((VLOOKUP(AW31,AW6:BA30,5,FALSE)-BA31)/1000,3),"")))))))))</f>
        <v/>
      </c>
      <c r="BC31" s="74">
        <f>IF(BC30="","",BC30+1)</f>
        <v>925</v>
      </c>
      <c r="BD31" s="86"/>
      <c r="BE31" s="86"/>
      <c r="BF31" s="78" t="str">
        <f>IF(AND(BD31&lt;&gt;"",BE31&lt;&gt;""),ROUND(BD31,3)+ROUND(BF30,3)-ROUND(BE31,3),IF(AND(EXACT(UPPER(BC31),"TBM"),BD31&lt;&gt;""),ROUND(BD31,3),IF(BD31="",BF30,IF(ISNA(VLOOKUP(BC31,A6:E105,5,FALSE)),IF(ISNA(VLOOKUP(BC31,G6:K105,5,FALSE)),IF(ISNA(VLOOKUP(BC31,M6:Q105,5,FALSE)),IF(ISNA(VLOOKUP(BC31,S6:W105,5,FALSE)),IF(ISNA(VLOOKUP(BC31,Y6:AC105,5,FALSE)),IF(ISNA(VLOOKUP(BC31,AE6:AI105,5,FALSE)),IF(ISNA(VLOOKUP(BC31,AK6:AO105,5,FALSE)),IF(ISNA(VLOOKUP(BC31,AQ6:AU105,5,FALSE)),IF(ISNA(VLOOKUP(BC31,AW6:BA105,5,FALSE)),IF(ISNA(VLOOKUP(BC31,BC6:BG30,5,FALSE)),"",ROUND(VLOOKUP(BC31,BC6:BG30,5,FALSE),0)/1000+ROUND(BD31,3)),ROUND(VLOOKUP(BC31,AW6:BA105,5,FALSE),0)/1000+ROUND(BD31,3)),ROUND(VLOOKUP(BC31,AQ6:AU105,5,FALSE),0)/1000+ROUND(BD31,3)),ROUND(VLOOKUP(BC31,AK6:AO105,5,FALSE),0)/1000+ROUND(BD31,3)),ROUND(VLOOKUP(BC31,AE6:AI105,5,FALSE),0)/1000+ROUND(BD31,3)),ROUND(VLOOKUP(BC31,Y6:AC105,5,FALSE),0)/1000+ROUND(BD31,3)),ROUND(VLOOKUP(BC31,S6:W105,5,FALSE),0)/1000+ROUND(BD31,3)),ROUND(VLOOKUP(BC31,M6:Q105,5,FALSE),0)/1000+ROUND(BD31,3)),ROUND(VLOOKUP(BC31,G6:K105,5,FALSE),0)/1000+ROUND(BD31,3)),ROUND(VLOOKUP(BC31,A6:E105,5,FALSE),0)/1000+ROUND(BD31,3)))))</f>
        <v/>
      </c>
      <c r="BG31" s="87" t="str">
        <f>IF(OR(NOT(EXACT(UPPER(BC31),"TBM")),BD31=""),IF(AND(BD31&lt;&gt;"",BE31="",BF31&lt;&gt;""),"",IF(AND(BD31="",BE31&lt;&gt;"",BF31&lt;&gt;""),ROUND(ROUND(BF31,3)-ROUND(BE31,3),3)*1000,IF(AND(BD31&lt;&gt;"",BE31&lt;&gt;"",BF31&lt;&gt;""),ROUND(ROUND(BF30,3)-ROUND(BE31,3),3)*1000,""))),"")</f>
        <v/>
      </c>
      <c r="BH31" s="80" t="str">
        <f>IF(AND(NOT(ISNA(VLOOKUP(BC31,A6:E105,5,FALSE))),BD31="",BE31&lt;&gt;""),ROUND((VLOOKUP(BC31,A6:E105,5,FALSE)-BG31)/1000,3),IF(AND(NOT(ISNA(VLOOKUP(BC31,G6:K105,5,FALSE))),BD31="",BE31&lt;&gt;""),ROUND((VLOOKUP(BC31,G6:K105,5,FALSE)-BG31)/1000,3),IF(AND(NOT(ISNA(VLOOKUP(BC31,M6:Q105,5,FALSE))),BD31="",BE31&lt;&gt;""),ROUND((VLOOKUP(BC31,M6:Q105,5,FALSE)-BG31)/1000,3),IF(AND(NOT(ISNA(VLOOKUP(BC31,S6:W105,5,FALSE))),BD31="",BE31&lt;&gt;""),ROUND((VLOOKUP(BC31,S6:W105,5,FALSE)-BG31)/1000,3),IF(AND(NOT(ISNA(VLOOKUP(BC31,Y6:AC105,5,FALSE))),BD31="",BE31&lt;&gt;""),ROUND((VLOOKUP(BC31,Y6:AC105,5,FALSE)-BG31)/1000,3),IF(AND(NOT(ISNA(VLOOKUP(BC31,AE6:AI105,5,FALSE))),BD31="",BE31&lt;&gt;""),ROUND((VLOOKUP(BC31,AE6:AI105,5,FALSE)-BG31)/1000,3),IF(AND(NOT(ISNA(VLOOKUP(BC31,AK6:AO105,5,FALSE))),BD31="",BE31&lt;&gt;""),ROUND((VLOOKUP(BC31,AK6:AO105,5,FALSE)-BG31)/1000,3),IF(AND(NOT(ISNA(VLOOKUP(BC31,AQ6:AU105,5,FALSE))),BD31="",BE31&lt;&gt;""),ROUND((VLOOKUP(BC31,AQ6:AU105,5,FALSE)-BG31)/1000,3),IF(AND(NOT(ISNA(VLOOKUP(BC31,AW6:BA105,5,FALSE))),BD31="",BE31&lt;&gt;""),ROUND((VLOOKUP(BC31,AW6:BA105,5,FALSE)-BG31)/1000,3),IF(AND(NOT(ISNA(VLOOKUP(BC31,BC6:BG30,5,FALSE))),BD31="",BE31&lt;&gt;""),ROUND((VLOOKUP(BC31,BC6:BG30,5,FALSE)-BG31)/1000,3),""))))))))))</f>
        <v/>
      </c>
    </row>
    <row r="32" spans="1:60" x14ac:dyDescent="0.25">
      <c r="A32" s="19">
        <f t="shared" si="3"/>
        <v>26</v>
      </c>
      <c r="B32" s="39"/>
      <c r="C32" s="39"/>
      <c r="D32" s="15" t="str">
        <f>IF(AND(B32&lt;&gt;"",C32&lt;&gt;""),ROUND(B32,3)+ROUND(D31,3)-ROUND(C32,3),IF(AND(EXACT(UPPER(A32),"TBM"),B32&lt;&gt;""),ROUND(B32,3),IF(B32="",D31,IF(ISNA(VLOOKUP(A32,A6:E31,5,FALSE)),"",ROUND(VLOOKUP(A32,A6:E31,5,FALSE),0)/1000+ROUND(B32,3)))))</f>
        <v/>
      </c>
      <c r="E32" s="21" t="str">
        <f t="shared" si="0"/>
        <v/>
      </c>
      <c r="F32" s="45" t="str">
        <f>IF(AND(NOT(ISNA(VLOOKUP(A32,A6:E31,5,FALSE))),B32="",C32&lt;&gt;""),ROUND((VLOOKUP(A32,A6:E31,5,FALSE)-E32)/1000,3),"")</f>
        <v/>
      </c>
      <c r="G32" s="19">
        <f t="shared" si="1"/>
        <v>126</v>
      </c>
      <c r="H32" s="39"/>
      <c r="I32" s="39"/>
      <c r="J32" s="15" t="str">
        <f>IF(AND(H32&lt;&gt;"",I32&lt;&gt;""),ROUND(H32,3)+ROUND(J31,3)-ROUND(I32,3),IF(AND(EXACT(UPPER(G32),"TBM"),H32&lt;&gt;""),ROUND(H32,3),IF(H32="",J31,IF(ISNA(VLOOKUP(G32,A6:E105,5,FALSE)),IF(ISNA(VLOOKUP(G32,G6:K31,5,FALSE)),"",ROUND(VLOOKUP(G32,G6:K31,5,FALSE),0)/1000+ROUND(H32,3)),ROUND(VLOOKUP(G32,A6:E105,5,FALSE),0)/1000+ROUND(H32,3)))))</f>
        <v/>
      </c>
      <c r="K32" s="18" t="str">
        <f t="shared" si="2"/>
        <v/>
      </c>
      <c r="L32" s="45" t="str">
        <f>IF(AND(NOT(ISNA(VLOOKUP(G32,A6:E105,5,FALSE))),H32="",I32&lt;&gt;""),ROUND((VLOOKUP(G32,A6:E105,5,FALSE)-K32)/1000,3),IF(AND(NOT(ISNA(VLOOKUP(G32,G6:K31,5,FALSE))),H32="",I32&lt;&gt;""),ROUND((VLOOKUP(G32,G6:K31,5,FALSE)-K32)/1000,3),""))</f>
        <v/>
      </c>
      <c r="M32" s="19">
        <f>IF(M31="","",M31+1)</f>
        <v>226</v>
      </c>
      <c r="N32" s="39"/>
      <c r="O32" s="39"/>
      <c r="P32" s="15" t="str">
        <f>IF(AND(N32&lt;&gt;"",O32&lt;&gt;""),ROUND(N32,3)+ROUND(P31,3)-ROUND(O32,3),IF(AND(EXACT(UPPER(M32),"TBM"),N32&lt;&gt;""),ROUND(N32,3),IF(N32="",P31,IF(ISNA(VLOOKUP(M32,A6:E105,5,FALSE)),IF(ISNA(VLOOKUP(M32,G6:K105,5,FALSE)),IF(ISNA(VLOOKUP(M32,M6:Q31,5,FALSE)),"",ROUND(VLOOKUP(M32,M6:Q31,5,FALSE),0)/1000+ROUND(N32,3)),ROUND(VLOOKUP(M32,G6:K105,5,FALSE),0)/1000+ROUND(N32,3)),ROUND(VLOOKUP(M32,A6:E105,5,FALSE),0)/1000+ROUND(N32,3)))))</f>
        <v/>
      </c>
      <c r="Q32" s="18" t="str">
        <f>IF(OR(NOT(EXACT(UPPER(M32),"TBM")),N32=""),IF(AND(N32&lt;&gt;"",O32="",P32&lt;&gt;""),"",IF(AND(N32="",O32&lt;&gt;"",P32&lt;&gt;""),ROUND(ROUND(P32,3)-ROUND(O32,3),3)*1000,IF(AND(N32&lt;&gt;"",O32&lt;&gt;"",P32&lt;&gt;""),ROUND(ROUND(P31,3)-ROUND(O32,3),3)*1000,""))),"")</f>
        <v/>
      </c>
      <c r="R32" s="45" t="str">
        <f>IF(AND(NOT(ISNA(VLOOKUP(M32,A6:E105,5,FALSE))),N32="",O32&lt;&gt;""),ROUND((VLOOKUP(M32,A6:E105,5,FALSE)-Q32)/1000,3),IF(AND(NOT(ISNA(VLOOKUP(M32,G6:K105,5,FALSE))),N32="",O32&lt;&gt;""),ROUND((VLOOKUP(M32,G6:K105,5,FALSE)-Q32)/1000,3),IF(AND(NOT(ISNA(VLOOKUP(M32,M6:Q31,5,FALSE))),N32="",O32&lt;&gt;""),ROUND((VLOOKUP(M32,M6:Q31,5,FALSE)-Q32)/1000,3),"")))</f>
        <v/>
      </c>
      <c r="S32" s="19">
        <f>IF(S31="","",S31+1)</f>
        <v>326</v>
      </c>
      <c r="T32" s="39"/>
      <c r="U32" s="39"/>
      <c r="V32" s="15" t="str">
        <f>IF(AND(T32&lt;&gt;"",U32&lt;&gt;""),ROUND(T32,3)+ROUND(V31,3)-ROUND(U32,3),IF(AND(EXACT(UPPER(S32),"TBM"),T32&lt;&gt;""),ROUND(T32,3),IF(T32="",V31,IF(ISNA(VLOOKUP(S32,A6:E105,5,FALSE)),IF(ISNA(VLOOKUP(S32,G6:K105,5,FALSE)),IF(ISNA(VLOOKUP(S32,M6:Q105,5,FALSE)),IF(ISNA(VLOOKUP(S32,S6:W31,5,FALSE)),"",ROUND(VLOOKUP(S32,S6:W31,5,FALSE),0)/1000+ROUND(T32,3)),ROUND(VLOOKUP(S32,M6:Q105,5,FALSE),0)/1000+ROUND(T32,3)),ROUND(VLOOKUP(S32,G6:K105,5,FALSE),0)/1000+ROUND(T32,3)),ROUND(VLOOKUP(S32,A6:E105,5,FALSE),0)/1000+ROUND(T32,3)))))</f>
        <v/>
      </c>
      <c r="W32" s="18" t="str">
        <f>IF(OR(NOT(EXACT(UPPER(S32),"TBM")),T32=""),IF(AND(T32&lt;&gt;"",U32="",V32&lt;&gt;""),"",IF(AND(T32="",U32&lt;&gt;"",V32&lt;&gt;""),ROUND(ROUND(V32,3)-ROUND(U32,3),3)*1000,IF(AND(T32&lt;&gt;"",U32&lt;&gt;"",V32&lt;&gt;""),ROUND(ROUND(V31,3)-ROUND(U32,3),3)*1000,""))),"")</f>
        <v/>
      </c>
      <c r="X32" s="45" t="str">
        <f>IF(AND(NOT(ISNA(VLOOKUP(S32,A6:E105,5,FALSE))),T32="",U32&lt;&gt;""),ROUND((VLOOKUP(S32,A6:E105,5,FALSE)-W32)/1000,3),IF(AND(NOT(ISNA(VLOOKUP(S32,G6:K105,5,FALSE))),T32="",U32&lt;&gt;""),ROUND((VLOOKUP(S32,G6:K105,5,FALSE)-W32)/1000,3),IF(AND(NOT(ISNA(VLOOKUP(S32,M6:Q105,5,FALSE))),T32="",U32&lt;&gt;""),ROUND((VLOOKUP(S32,M6:Q105,5,FALSE)-W32)/1000,3),IF(AND(NOT(ISNA(VLOOKUP(S32,S6:W31,5,FALSE))),T32="",U32&lt;&gt;""),ROUND((VLOOKUP(S32,S6:W31,5,FALSE)-W32)/1000,3),""))))</f>
        <v/>
      </c>
      <c r="Y32" s="19">
        <f>IF(Y31="","",Y31+1)</f>
        <v>426</v>
      </c>
      <c r="Z32" s="39"/>
      <c r="AA32" s="39"/>
      <c r="AB32" s="15" t="str">
        <f>IF(AND(Z32&lt;&gt;"",AA32&lt;&gt;""),ROUND(Z32,3)+ROUND(AB31,3)-ROUND(AA32,3),IF(AND(EXACT(UPPER(Y32),"TBM"),Z32&lt;&gt;""),ROUND(Z32,3),IF(Z32="",AB31,IF(ISNA(VLOOKUP(Y32,A6:E105,5,FALSE)),IF(ISNA(VLOOKUP(Y32,G6:K105,5,FALSE)),IF(ISNA(VLOOKUP(Y32,M6:Q105,5,FALSE)),IF(ISNA(VLOOKUP(Y32,S6:W105,5,FALSE)),IF(ISNA(VLOOKUP(Y32,Y6:AC31,5,FALSE)),"",ROUND(VLOOKUP(Y32,Y6:AC31,5,FALSE),0)/1000+ROUND(Z32,3)),ROUND(VLOOKUP(Y32,S6:W105,5,FALSE),0)/1000+ROUND(Z32,3)),ROUND(VLOOKUP(Y32,M6:Q105,5,FALSE),0)/1000+ROUND(Z32,3)),ROUND(VLOOKUP(Y32,G6:K105,5,FALSE),0)/1000+ROUND(Z32,3)),ROUND(VLOOKUP(Y32,A6:E105,5,FALSE),0)/1000+ROUND(Z32,3)))))</f>
        <v/>
      </c>
      <c r="AC32" s="18" t="str">
        <f>IF(OR(NOT(EXACT(UPPER(Y32),"TBM")),Z32=""),IF(AND(Z32&lt;&gt;"",AA32="",AB32&lt;&gt;""),"",IF(AND(Z32="",AA32&lt;&gt;"",AB32&lt;&gt;""),ROUND(ROUND(AB32,3)-ROUND(AA32,3),3)*1000,IF(AND(Z32&lt;&gt;"",AA32&lt;&gt;"",AB32&lt;&gt;""),ROUND(ROUND(AB31,3)-ROUND(AA32,3),3)*1000,""))),"")</f>
        <v/>
      </c>
      <c r="AD32" s="45" t="str">
        <f>IF(AND(NOT(ISNA(VLOOKUP(Y32,A6:E105,5,FALSE))),Z32="",AA32&lt;&gt;""),ROUND((VLOOKUP(Y32,A6:E105,5,FALSE)-AC32)/1000,3),IF(AND(NOT(ISNA(VLOOKUP(Y32,G6:K105,5,FALSE))),Z32="",AA32&lt;&gt;""),ROUND((VLOOKUP(Y32,G6:K105,5,FALSE)-AC32)/1000,3),IF(AND(NOT(ISNA(VLOOKUP(Y32,M6:Q105,5,FALSE))),Z32="",AA32&lt;&gt;""),ROUND((VLOOKUP(Y32,M6:Q105,5,FALSE)-AC32)/1000,3),IF(AND(NOT(ISNA(VLOOKUP(Y32,S6:W105,5,FALSE))),Z32="",AA32&lt;&gt;""),ROUND((VLOOKUP(Y32,S6:W105,5,FALSE)-AC32)/1000,3),IF(AND(NOT(ISNA(VLOOKUP(Y32,Y6:AC31,5,FALSE))),Z32="",AA32&lt;&gt;""),ROUND((VLOOKUP(Y32,Y6:AC31,5,FALSE)-AC32)/1000,3),"")))))</f>
        <v/>
      </c>
      <c r="AE32" s="19">
        <f>IF(AE31="","",AE31+1)</f>
        <v>526</v>
      </c>
      <c r="AF32" s="39"/>
      <c r="AG32" s="39"/>
      <c r="AH32" s="15" t="str">
        <f>IF(AND(AF32&lt;&gt;"",AG32&lt;&gt;""),ROUND(AF32,3)+ROUND(AH31,3)-ROUND(AG32,3),IF(AND(EXACT(UPPER(AE32),"TBM"),AF32&lt;&gt;""),ROUND(AF32,3),IF(AF32="",AH31,IF(ISNA(VLOOKUP(AE32,A6:E105,5,FALSE)),IF(ISNA(VLOOKUP(AE32,G6:K105,5,FALSE)),IF(ISNA(VLOOKUP(AE32,M6:Q105,5,FALSE)),IF(ISNA(VLOOKUP(AE32,S6:W105,5,FALSE)),IF(ISNA(VLOOKUP(AE32,Y6:AC105,5,FALSE)),IF(ISNA(VLOOKUP(AE32,AE6:AI31,5,FALSE)),"",ROUND(VLOOKUP(AE32,AE6:AI31,5,FALSE),0)/1000+ROUND(AF32,3)),ROUND(VLOOKUP(AE32,Y6:AC105,5,FALSE),0)/1000+ROUND(AF32,3)),ROUND(VLOOKUP(AE32,S6:W105,5,FALSE),0)/1000+ROUND(AF32,3)),ROUND(VLOOKUP(AE32,M6:Q105,5,FALSE),0)/1000+ROUND(AF32,3)),ROUND(VLOOKUP(AE32,G6:K105,5,FALSE),0)/1000+ROUND(AF32,3)),ROUND(VLOOKUP(AE32,A6:E105,5,FALSE),0)/1000+ROUND(AF32,3)))))</f>
        <v/>
      </c>
      <c r="AI32" s="18" t="str">
        <f>IF(OR(NOT(EXACT(UPPER(AE32),"TBM")),AF32=""),IF(AND(AF32&lt;&gt;"",AG32="",AH32&lt;&gt;""),"",IF(AND(AF32="",AG32&lt;&gt;"",AH32&lt;&gt;""),ROUND(ROUND(AH32,3)-ROUND(AG32,3),3)*1000,IF(AND(AF32&lt;&gt;"",AG32&lt;&gt;"",AH32&lt;&gt;""),ROUND(ROUND(AH31,3)-ROUND(AG32,3),3)*1000,""))),"")</f>
        <v/>
      </c>
      <c r="AJ32" s="45" t="str">
        <f>IF(AND(NOT(ISNA(VLOOKUP(AE32,A6:E105,5,FALSE))),AF32="",AG32&lt;&gt;""),ROUND((VLOOKUP(AE32,A6:E105,5,FALSE)-AI32)/1000,3),IF(AND(NOT(ISNA(VLOOKUP(AE32,G6:K105,5,FALSE))),AF32="",AG32&lt;&gt;""),ROUND((VLOOKUP(AE32,G6:K105,5,FALSE)-AI32)/1000,3),IF(AND(NOT(ISNA(VLOOKUP(AE32,M6:Q105,5,FALSE))),AF32="",AG32&lt;&gt;""),ROUND((VLOOKUP(AE32,M6:Q105,5,FALSE)-AI32)/1000,3),IF(AND(NOT(ISNA(VLOOKUP(AE32,S6:W105,5,FALSE))),AF32="",AG32&lt;&gt;""),ROUND((VLOOKUP(AE32,S6:W105,5,FALSE)-AI32)/1000,3),IF(AND(NOT(ISNA(VLOOKUP(AE32,Y6:AC105,5,FALSE))),AF32="",AG32&lt;&gt;""),ROUND((VLOOKUP(AE32,Y6:AC105,5,FALSE)-AI32)/1000,3),IF(AND(NOT(ISNA(VLOOKUP(AE32,AE6:AI31,5,FALSE))),AF32="",AG32&lt;&gt;""),ROUND((VLOOKUP(AE32,AE6:AI31,5,FALSE)-AI32)/1000,3),""))))))</f>
        <v/>
      </c>
      <c r="AK32" s="19">
        <f>IF(AK31="","",AK31+1)</f>
        <v>626</v>
      </c>
      <c r="AL32" s="39"/>
      <c r="AM32" s="39"/>
      <c r="AN32" s="15" t="str">
        <f>IF(AND(AL32&lt;&gt;"",AM32&lt;&gt;""),ROUND(AL32,3)+ROUND(AN31,3)-ROUND(AM32,3),IF(AND(EXACT(UPPER(AK32),"TBM"),AL32&lt;&gt;""),ROUND(AL32,3),IF(AL32="",AN31,IF(ISNA(VLOOKUP(AK32,A6:E105,5,FALSE)),IF(ISNA(VLOOKUP(AK32,G6:K105,5,FALSE)),IF(ISNA(VLOOKUP(AK32,M6:Q105,5,FALSE)),IF(ISNA(VLOOKUP(AK32,S6:W105,5,FALSE)),IF(ISNA(VLOOKUP(AK32,Y6:AC105,5,FALSE)),IF(ISNA(VLOOKUP(AK32,AE6:AI105,5,FALSE)),IF(ISNA(VLOOKUP(AK32,AK6:AO31,5,FALSE)),"",ROUND(VLOOKUP(AK32,AK6:AO31,5,FALSE),0)/1000+ROUND(AL32,3)),ROUND(VLOOKUP(AK32,AE6:AI105,5,FALSE),0)/1000+ROUND(AL32,3)),ROUND(VLOOKUP(AK32,Y6:AC105,5,FALSE),0)/1000+ROUND(AL32,3)),ROUND(VLOOKUP(AK32,S6:W105,5,FALSE),0)/1000+ROUND(AL32,3)),ROUND(VLOOKUP(AK32,M6:Q105,5,FALSE),0)/1000+ROUND(AL32,3)),ROUND(VLOOKUP(AK32,G6:K105,5,FALSE),0)/1000+ROUND(AL32,3)),ROUND(VLOOKUP(AK32,A6:E105,5,FALSE),0)/1000+ROUND(AL32,3)))))</f>
        <v/>
      </c>
      <c r="AO32" s="18" t="str">
        <f>IF(OR(NOT(EXACT(UPPER(AK32),"TBM")),AL32=""),IF(AND(AL32&lt;&gt;"",AM32="",AN32&lt;&gt;""),"",IF(AND(AL32="",AM32&lt;&gt;"",AN32&lt;&gt;""),ROUND(ROUND(AN32,3)-ROUND(AM32,3),3)*1000,IF(AND(AL32&lt;&gt;"",AM32&lt;&gt;"",AN32&lt;&gt;""),ROUND(ROUND(AN31,3)-ROUND(AM32,3),3)*1000,""))),"")</f>
        <v/>
      </c>
      <c r="AP32" s="45" t="str">
        <f>IF(AND(NOT(ISNA(VLOOKUP(AK32,A6:E105,5,FALSE))),AL32="",AM32&lt;&gt;""),ROUND((VLOOKUP(AK32,A6:E105,5,FALSE)-AO32)/1000,3),IF(AND(NOT(ISNA(VLOOKUP(AK32,G6:K105,5,FALSE))),AL32="",AM32&lt;&gt;""),ROUND((VLOOKUP(AK32,G6:K105,5,FALSE)-AO32)/1000,3),IF(AND(NOT(ISNA(VLOOKUP(AK32,M6:Q105,5,FALSE))),AL32="",AM32&lt;&gt;""),ROUND((VLOOKUP(AK32,M6:Q105,5,FALSE)-AO32)/1000,3),IF(AND(NOT(ISNA(VLOOKUP(AK32,S6:W105,5,FALSE))),AL32="",AM32&lt;&gt;""),ROUND((VLOOKUP(AK32,S6:W105,5,FALSE)-AO32)/1000,3),IF(AND(NOT(ISNA(VLOOKUP(AK32,Y6:AC105,5,FALSE))),AL32="",AM32&lt;&gt;""),ROUND((VLOOKUP(AK32,Y6:AC105,5,FALSE)-AO32)/1000,3),IF(AND(NOT(ISNA(VLOOKUP(AK32,AE6:AI105,5,FALSE))),AL32="",AM32&lt;&gt;""),ROUND((VLOOKUP(AK32,AE6:AI105,5,FALSE)-AO32)/1000,3),IF(AND(NOT(ISNA(VLOOKUP(AK32,AK6:AO31,5,FALSE))),AL32="",AM32&lt;&gt;""),ROUND((VLOOKUP(AK32,AK6:AO31,5,FALSE)-AO32)/1000,3),"")))))))</f>
        <v/>
      </c>
      <c r="AQ32" s="19">
        <f>IF(AQ31="","",AQ31+1)</f>
        <v>726</v>
      </c>
      <c r="AR32" s="39"/>
      <c r="AS32" s="39"/>
      <c r="AT32" s="15" t="str">
        <f>IF(AND(AR32&lt;&gt;"",AS32&lt;&gt;""),ROUND(AR32,3)+ROUND(AT31,3)-ROUND(AS32,3),IF(AND(EXACT(UPPER(AQ32),"TBM"),AR32&lt;&gt;""),ROUND(AR32,3),IF(AR32="",AT31,IF(ISNA(VLOOKUP(AQ32,A6:E105,5,FALSE)),IF(ISNA(VLOOKUP(AQ32,G6:K105,5,FALSE)),IF(ISNA(VLOOKUP(AQ32,M6:Q105,5,FALSE)),IF(ISNA(VLOOKUP(AQ32,S6:W105,5,FALSE)),IF(ISNA(VLOOKUP(AQ32,Y6:AC105,5,FALSE)),IF(ISNA(VLOOKUP(AQ32,AE6:AI105,5,FALSE)),IF(ISNA(VLOOKUP(AQ32,AK6:AO105,5,FALSE)),IF(ISNA(VLOOKUP(AQ32,AQ6:AU31,5,FALSE)),"",ROUND(VLOOKUP(AQ32,AQ6:AU31,5,FALSE),0)/1000+ROUND(AR32,3)),ROUND(VLOOKUP(AQ32,AK6:AO105,5,FALSE),0)/1000+ROUND(AR32,3)),ROUND(VLOOKUP(AQ32,AE6:AI105,5,FALSE),0)/1000+ROUND(AR32,3)),ROUND(VLOOKUP(AQ32,Y6:AC105,5,FALSE),0)/1000+ROUND(AR32,3)),ROUND(VLOOKUP(AQ32,S6:W105,5,FALSE),0)/1000+ROUND(AR32,3)),ROUND(VLOOKUP(AQ32,M6:Q105,5,FALSE),0)/1000+ROUND(AR32,3)),ROUND(VLOOKUP(AQ32,G6:K105,5,FALSE),0)/1000+ROUND(AR32,3)),ROUND(VLOOKUP(AQ32,A6:E105,5,FALSE),0)/1000+ROUND(AR32,3)))))</f>
        <v/>
      </c>
      <c r="AU32" s="18" t="str">
        <f>IF(OR(NOT(EXACT(UPPER(AQ32),"TBM")),AR32=""),IF(AND(AR32&lt;&gt;"",AS32="",AT32&lt;&gt;""),"",IF(AND(AR32="",AS32&lt;&gt;"",AT32&lt;&gt;""),ROUND(ROUND(AT32,3)-ROUND(AS32,3),3)*1000,IF(AND(AR32&lt;&gt;"",AS32&lt;&gt;"",AT32&lt;&gt;""),ROUND(ROUND(AT31,3)-ROUND(AS32,3),3)*1000,""))),"")</f>
        <v/>
      </c>
      <c r="AV32" s="45" t="str">
        <f>IF(AND(NOT(ISNA(VLOOKUP(AQ32,A6:E105,5,FALSE))),AR32="",AS32&lt;&gt;""),ROUND((VLOOKUP(AQ32,A6:E105,5,FALSE)-AU32)/1000,3),IF(AND(NOT(ISNA(VLOOKUP(AQ32,G6:K105,5,FALSE))),AR32="",AS32&lt;&gt;""),ROUND((VLOOKUP(AQ32,G6:K105,5,FALSE)-AU32)/1000,3),IF(AND(NOT(ISNA(VLOOKUP(AQ32,M6:Q105,5,FALSE))),AR32="",AS32&lt;&gt;""),ROUND((VLOOKUP(AQ32,M6:Q105,5,FALSE)-AU32)/1000,3),IF(AND(NOT(ISNA(VLOOKUP(AQ32,S6:W105,5,FALSE))),AR32="",AS32&lt;&gt;""),ROUND((VLOOKUP(AQ32,S6:W105,5,FALSE)-AU32)/1000,3),IF(AND(NOT(ISNA(VLOOKUP(AQ32,Y6:AC105,5,FALSE))),AR32="",AS32&lt;&gt;""),ROUND((VLOOKUP(AQ32,Y6:AC105,5,FALSE)-AU32)/1000,3),IF(AND(NOT(ISNA(VLOOKUP(AQ32,AE6:AI105,5,FALSE))),AR32="",AS32&lt;&gt;""),ROUND((VLOOKUP(AQ32,AE6:AI105,5,FALSE)-AU32)/1000,3),IF(AND(NOT(ISNA(VLOOKUP(AQ32,AK6:AO105,5,FALSE))),AR32="",AS32&lt;&gt;""),ROUND((VLOOKUP(AQ32,AK6:AO105,5,FALSE)-AU32)/1000,3),IF(AND(NOT(ISNA(VLOOKUP(AQ32,AQ6:AU31,5,FALSE))),AR32="",AS32&lt;&gt;""),ROUND((VLOOKUP(AQ32,AQ6:AU31,5,FALSE)-AU32)/1000,3),""))))))))</f>
        <v/>
      </c>
      <c r="AW32" s="19">
        <f>IF(AW31="","",AW31+1)</f>
        <v>826</v>
      </c>
      <c r="AX32" s="39"/>
      <c r="AY32" s="39"/>
      <c r="AZ32" s="15" t="str">
        <f>IF(AND(AX32&lt;&gt;"",AY32&lt;&gt;""),ROUND(AX32,3)+ROUND(AZ31,3)-ROUND(AY32,3),IF(AND(EXACT(UPPER(AW32),"TBM"),AX32&lt;&gt;""),ROUND(AX32,3),IF(AX32="",AZ31,IF(ISNA(VLOOKUP(AW32,A6:E105,5,FALSE)),IF(ISNA(VLOOKUP(AW32,G6:K105,5,FALSE)),IF(ISNA(VLOOKUP(AW32,M6:Q105,5,FALSE)),IF(ISNA(VLOOKUP(AW32,S6:W105,5,FALSE)),IF(ISNA(VLOOKUP(AW32,Y6:AC105,5,FALSE)),IF(ISNA(VLOOKUP(AW32,AE6:AI105,5,FALSE)),IF(ISNA(VLOOKUP(AW32,AK6:AO105,5,FALSE)),IF(ISNA(VLOOKUP(AW32,AQ6:AU105,5,FALSE)),IF(ISNA(VLOOKUP(AW32,AW6:BA31,5,FALSE)),"",ROUND(VLOOKUP(AW32,AW6:BA31,5,FALSE),0)/1000+ROUND(AX32,3)),ROUND(VLOOKUP(AW32,AQ6:AU105,5,FALSE),0)/1000+ROUND(AX32,3)),ROUND(VLOOKUP(AW32,AK6:AO105,5,FALSE),0)/1000+ROUND(AX32,3)),ROUND(VLOOKUP(AW32,AE6:AI105,5,FALSE),0)/1000+ROUND(AX32,3)),ROUND(VLOOKUP(AW32,Y6:AC105,5,FALSE),0)/1000+ROUND(AX32,3)),ROUND(VLOOKUP(AW32,S6:W105,5,FALSE),0)/1000+ROUND(AX32,3)),ROUND(VLOOKUP(AW32,M6:Q105,5,FALSE),0)/1000+ROUND(AX32,3)),ROUND(VLOOKUP(AW32,G6:K105,5,FALSE),0)/1000+ROUND(AX32,3)),ROUND(VLOOKUP(AW32,A6:E105,5,FALSE),0)/1000+ROUND(AX32,3)))))</f>
        <v/>
      </c>
      <c r="BA32" s="18" t="str">
        <f>IF(OR(NOT(EXACT(UPPER(AW32),"TBM")),AX32=""),IF(AND(AX32&lt;&gt;"",AY32="",AZ32&lt;&gt;""),"",IF(AND(AX32="",AY32&lt;&gt;"",AZ32&lt;&gt;""),ROUND(ROUND(AZ32,3)-ROUND(AY32,3),3)*1000,IF(AND(AX32&lt;&gt;"",AY32&lt;&gt;"",AZ32&lt;&gt;""),ROUND(ROUND(AZ31,3)-ROUND(AY32,3),3)*1000,""))),"")</f>
        <v/>
      </c>
      <c r="BB32" s="45" t="str">
        <f>IF(AND(NOT(ISNA(VLOOKUP(AW32,A6:E105,5,FALSE))),AX32="",AY32&lt;&gt;""),ROUND((VLOOKUP(AW32,A6:E105,5,FALSE)-BA32)/1000,3),IF(AND(NOT(ISNA(VLOOKUP(AW32,G6:K105,5,FALSE))),AX32="",AY32&lt;&gt;""),ROUND((VLOOKUP(AW32,G6:K105,5,FALSE)-BA32)/1000,3),IF(AND(NOT(ISNA(VLOOKUP(AW32,M6:Q105,5,FALSE))),AX32="",AY32&lt;&gt;""),ROUND((VLOOKUP(AW32,M6:Q105,5,FALSE)-BA32)/1000,3),IF(AND(NOT(ISNA(VLOOKUP(AW32,S6:W105,5,FALSE))),AX32="",AY32&lt;&gt;""),ROUND((VLOOKUP(AW32,S6:W105,5,FALSE)-BA32)/1000,3),IF(AND(NOT(ISNA(VLOOKUP(AW32,Y6:AC105,5,FALSE))),AX32="",AY32&lt;&gt;""),ROUND((VLOOKUP(AW32,Y6:AC105,5,FALSE)-BA32)/1000,3),IF(AND(NOT(ISNA(VLOOKUP(AW32,AE6:AI105,5,FALSE))),AX32="",AY32&lt;&gt;""),ROUND((VLOOKUP(AW32,AE6:AI105,5,FALSE)-BA32)/1000,3),IF(AND(NOT(ISNA(VLOOKUP(AW32,AK6:AO105,5,FALSE))),AX32="",AY32&lt;&gt;""),ROUND((VLOOKUP(AW32,AK6:AO105,5,FALSE)-BA32)/1000,3),IF(AND(NOT(ISNA(VLOOKUP(AW32,AQ6:AU105,5,FALSE))),AX32="",AY32&lt;&gt;""),ROUND((VLOOKUP(AW32,AQ6:AU105,5,FALSE)-BA32)/1000,3),IF(AND(NOT(ISNA(VLOOKUP(AW32,AW6:BA31,5,FALSE))),AX32="",AY32&lt;&gt;""),ROUND((VLOOKUP(AW32,AW6:BA31,5,FALSE)-BA32)/1000,3),"")))))))))</f>
        <v/>
      </c>
      <c r="BC32" s="19">
        <f>IF(BC31="","",BC31+1)</f>
        <v>926</v>
      </c>
      <c r="BD32" s="39"/>
      <c r="BE32" s="39"/>
      <c r="BF32" s="15" t="str">
        <f>IF(AND(BD32&lt;&gt;"",BE32&lt;&gt;""),ROUND(BD32,3)+ROUND(BF31,3)-ROUND(BE32,3),IF(AND(EXACT(UPPER(BC32),"TBM"),BD32&lt;&gt;""),ROUND(BD32,3),IF(BD32="",BF31,IF(ISNA(VLOOKUP(BC32,A6:E105,5,FALSE)),IF(ISNA(VLOOKUP(BC32,G6:K105,5,FALSE)),IF(ISNA(VLOOKUP(BC32,M6:Q105,5,FALSE)),IF(ISNA(VLOOKUP(BC32,S6:W105,5,FALSE)),IF(ISNA(VLOOKUP(BC32,Y6:AC105,5,FALSE)),IF(ISNA(VLOOKUP(BC32,AE6:AI105,5,FALSE)),IF(ISNA(VLOOKUP(BC32,AK6:AO105,5,FALSE)),IF(ISNA(VLOOKUP(BC32,AQ6:AU105,5,FALSE)),IF(ISNA(VLOOKUP(BC32,AW6:BA105,5,FALSE)),IF(ISNA(VLOOKUP(BC32,BC6:BG31,5,FALSE)),"",ROUND(VLOOKUP(BC32,BC6:BG31,5,FALSE),0)/1000+ROUND(BD32,3)),ROUND(VLOOKUP(BC32,AW6:BA105,5,FALSE),0)/1000+ROUND(BD32,3)),ROUND(VLOOKUP(BC32,AQ6:AU105,5,FALSE),0)/1000+ROUND(BD32,3)),ROUND(VLOOKUP(BC32,AK6:AO105,5,FALSE),0)/1000+ROUND(BD32,3)),ROUND(VLOOKUP(BC32,AE6:AI105,5,FALSE),0)/1000+ROUND(BD32,3)),ROUND(VLOOKUP(BC32,Y6:AC105,5,FALSE),0)/1000+ROUND(BD32,3)),ROUND(VLOOKUP(BC32,S6:W105,5,FALSE),0)/1000+ROUND(BD32,3)),ROUND(VLOOKUP(BC32,M6:Q105,5,FALSE),0)/1000+ROUND(BD32,3)),ROUND(VLOOKUP(BC32,G6:K105,5,FALSE),0)/1000+ROUND(BD32,3)),ROUND(VLOOKUP(BC32,A6:E105,5,FALSE),0)/1000+ROUND(BD32,3)))))</f>
        <v/>
      </c>
      <c r="BG32" s="18" t="str">
        <f>IF(OR(NOT(EXACT(UPPER(BC32),"TBM")),BD32=""),IF(AND(BD32&lt;&gt;"",BE32="",BF32&lt;&gt;""),"",IF(AND(BD32="",BE32&lt;&gt;"",BF32&lt;&gt;""),ROUND(ROUND(BF32,3)-ROUND(BE32,3),3)*1000,IF(AND(BD32&lt;&gt;"",BE32&lt;&gt;"",BF32&lt;&gt;""),ROUND(ROUND(BF31,3)-ROUND(BE32,3),3)*1000,""))),"")</f>
        <v/>
      </c>
      <c r="BH32" s="45" t="str">
        <f>IF(AND(NOT(ISNA(VLOOKUP(BC32,A6:E105,5,FALSE))),BD32="",BE32&lt;&gt;""),ROUND((VLOOKUP(BC32,A6:E105,5,FALSE)-BG32)/1000,3),IF(AND(NOT(ISNA(VLOOKUP(BC32,G6:K105,5,FALSE))),BD32="",BE32&lt;&gt;""),ROUND((VLOOKUP(BC32,G6:K105,5,FALSE)-BG32)/1000,3),IF(AND(NOT(ISNA(VLOOKUP(BC32,M6:Q105,5,FALSE))),BD32="",BE32&lt;&gt;""),ROUND((VLOOKUP(BC32,M6:Q105,5,FALSE)-BG32)/1000,3),IF(AND(NOT(ISNA(VLOOKUP(BC32,S6:W105,5,FALSE))),BD32="",BE32&lt;&gt;""),ROUND((VLOOKUP(BC32,S6:W105,5,FALSE)-BG32)/1000,3),IF(AND(NOT(ISNA(VLOOKUP(BC32,Y6:AC105,5,FALSE))),BD32="",BE32&lt;&gt;""),ROUND((VLOOKUP(BC32,Y6:AC105,5,FALSE)-BG32)/1000,3),IF(AND(NOT(ISNA(VLOOKUP(BC32,AE6:AI105,5,FALSE))),BD32="",BE32&lt;&gt;""),ROUND((VLOOKUP(BC32,AE6:AI105,5,FALSE)-BG32)/1000,3),IF(AND(NOT(ISNA(VLOOKUP(BC32,AK6:AO105,5,FALSE))),BD32="",BE32&lt;&gt;""),ROUND((VLOOKUP(BC32,AK6:AO105,5,FALSE)-BG32)/1000,3),IF(AND(NOT(ISNA(VLOOKUP(BC32,AQ6:AU105,5,FALSE))),BD32="",BE32&lt;&gt;""),ROUND((VLOOKUP(BC32,AQ6:AU105,5,FALSE)-BG32)/1000,3),IF(AND(NOT(ISNA(VLOOKUP(BC32,AW6:BA105,5,FALSE))),BD32="",BE32&lt;&gt;""),ROUND((VLOOKUP(BC32,AW6:BA105,5,FALSE)-BG32)/1000,3),IF(AND(NOT(ISNA(VLOOKUP(BC32,BC6:BG31,5,FALSE))),BD32="",BE32&lt;&gt;""),ROUND((VLOOKUP(BC32,BC6:BG31,5,FALSE)-BG32)/1000,3),""))))))))))</f>
        <v/>
      </c>
    </row>
    <row r="33" spans="1:60" x14ac:dyDescent="0.25">
      <c r="A33" s="19">
        <f t="shared" si="3"/>
        <v>27</v>
      </c>
      <c r="B33" s="41"/>
      <c r="C33" s="39"/>
      <c r="D33" s="15" t="str">
        <f>IF(AND(B33&lt;&gt;"",C33&lt;&gt;""),ROUND(B33,3)+ROUND(D32,3)-ROUND(C33,3),IF(AND(EXACT(UPPER(A33),"TBM"),B33&lt;&gt;""),ROUND(B33,3),IF(B33="",D32,IF(ISNA(VLOOKUP(A33,A6:E32,5,FALSE)),"",ROUND(VLOOKUP(A33,A6:E32,5,FALSE),0)/1000+ROUND(B33,3)))))</f>
        <v/>
      </c>
      <c r="E33" s="22" t="str">
        <f t="shared" si="0"/>
        <v/>
      </c>
      <c r="F33" s="44" t="str">
        <f>IF(AND(NOT(ISNA(VLOOKUP(A33,A6:E32,5,FALSE))),B33="",C33&lt;&gt;""),ROUND((VLOOKUP(A33,A6:E32,5,FALSE)-E33)/1000,3),"")</f>
        <v/>
      </c>
      <c r="G33" s="19">
        <f t="shared" si="1"/>
        <v>127</v>
      </c>
      <c r="H33" s="43"/>
      <c r="I33" s="43"/>
      <c r="J33" s="15" t="str">
        <f>IF(AND(H33&lt;&gt;"",I33&lt;&gt;""),ROUND(H33,3)+ROUND(J32,3)-ROUND(I33,3),IF(AND(EXACT(UPPER(G33),"TBM"),H33&lt;&gt;""),ROUND(H33,3),IF(H33="",J32,IF(ISNA(VLOOKUP(G33,A6:E105,5,FALSE)),IF(ISNA(VLOOKUP(G33,G6:K32,5,FALSE)),"",ROUND(VLOOKUP(G33,G6:K32,5,FALSE),0)/1000+ROUND(H33,3)),ROUND(VLOOKUP(G33,A6:E105,5,FALSE),0)/1000+ROUND(H33,3)))))</f>
        <v/>
      </c>
      <c r="K33" s="18" t="str">
        <f t="shared" si="2"/>
        <v/>
      </c>
      <c r="L33" s="44" t="str">
        <f>IF(AND(NOT(ISNA(VLOOKUP(G33,A6:E105,5,FALSE))),H33="",I33&lt;&gt;""),ROUND((VLOOKUP(G33,A6:E105,5,FALSE)-K33)/1000,3),IF(AND(NOT(ISNA(VLOOKUP(G33,G6:K32,5,FALSE))),H33="",I33&lt;&gt;""),ROUND((VLOOKUP(G33,G6:K32,5,FALSE)-K33)/1000,3),""))</f>
        <v/>
      </c>
      <c r="M33" s="19">
        <f>IF(M32="","",M32+1)</f>
        <v>227</v>
      </c>
      <c r="N33" s="43"/>
      <c r="O33" s="43"/>
      <c r="P33" s="15" t="str">
        <f>IF(AND(N33&lt;&gt;"",O33&lt;&gt;""),ROUND(N33,3)+ROUND(P32,3)-ROUND(O33,3),IF(AND(EXACT(UPPER(M33),"TBM"),N33&lt;&gt;""),ROUND(N33,3),IF(N33="",P32,IF(ISNA(VLOOKUP(M33,A6:E105,5,FALSE)),IF(ISNA(VLOOKUP(M33,G6:K105,5,FALSE)),IF(ISNA(VLOOKUP(M33,M6:Q32,5,FALSE)),"",ROUND(VLOOKUP(M33,M6:Q32,5,FALSE),0)/1000+ROUND(N33,3)),ROUND(VLOOKUP(M33,G6:K105,5,FALSE),0)/1000+ROUND(N33,3)),ROUND(VLOOKUP(M33,A6:E105,5,FALSE),0)/1000+ROUND(N33,3)))))</f>
        <v/>
      </c>
      <c r="Q33" s="18" t="str">
        <f>IF(OR(NOT(EXACT(UPPER(M33),"TBM")),N33=""),IF(AND(N33&lt;&gt;"",O33="",P33&lt;&gt;""),"",IF(AND(N33="",O33&lt;&gt;"",P33&lt;&gt;""),ROUND(ROUND(P33,3)-ROUND(O33,3),3)*1000,IF(AND(N33&lt;&gt;"",O33&lt;&gt;"",P33&lt;&gt;""),ROUND(ROUND(P32,3)-ROUND(O33,3),3)*1000,""))),"")</f>
        <v/>
      </c>
      <c r="R33" s="44" t="str">
        <f>IF(AND(NOT(ISNA(VLOOKUP(M33,A6:E105,5,FALSE))),N33="",O33&lt;&gt;""),ROUND((VLOOKUP(M33,A6:E105,5,FALSE)-Q33)/1000,3),IF(AND(NOT(ISNA(VLOOKUP(M33,G6:K105,5,FALSE))),N33="",O33&lt;&gt;""),ROUND((VLOOKUP(M33,G6:K105,5,FALSE)-Q33)/1000,3),IF(AND(NOT(ISNA(VLOOKUP(M33,M6:Q32,5,FALSE))),N33="",O33&lt;&gt;""),ROUND((VLOOKUP(M33,M6:Q32,5,FALSE)-Q33)/1000,3),"")))</f>
        <v/>
      </c>
      <c r="S33" s="19">
        <f>IF(S32="","",S32+1)</f>
        <v>327</v>
      </c>
      <c r="T33" s="43"/>
      <c r="U33" s="43"/>
      <c r="V33" s="15" t="str">
        <f>IF(AND(T33&lt;&gt;"",U33&lt;&gt;""),ROUND(T33,3)+ROUND(V32,3)-ROUND(U33,3),IF(AND(EXACT(UPPER(S33),"TBM"),T33&lt;&gt;""),ROUND(T33,3),IF(T33="",V32,IF(ISNA(VLOOKUP(S33,A6:E105,5,FALSE)),IF(ISNA(VLOOKUP(S33,G6:K105,5,FALSE)),IF(ISNA(VLOOKUP(S33,M6:Q105,5,FALSE)),IF(ISNA(VLOOKUP(S33,S6:W32,5,FALSE)),"",ROUND(VLOOKUP(S33,S6:W32,5,FALSE),0)/1000+ROUND(T33,3)),ROUND(VLOOKUP(S33,M6:Q105,5,FALSE),0)/1000+ROUND(T33,3)),ROUND(VLOOKUP(S33,G6:K105,5,FALSE),0)/1000+ROUND(T33,3)),ROUND(VLOOKUP(S33,A6:E105,5,FALSE),0)/1000+ROUND(T33,3)))))</f>
        <v/>
      </c>
      <c r="W33" s="18" t="str">
        <f>IF(OR(NOT(EXACT(UPPER(S33),"TBM")),T33=""),IF(AND(T33&lt;&gt;"",U33="",V33&lt;&gt;""),"",IF(AND(T33="",U33&lt;&gt;"",V33&lt;&gt;""),ROUND(ROUND(V33,3)-ROUND(U33,3),3)*1000,IF(AND(T33&lt;&gt;"",U33&lt;&gt;"",V33&lt;&gt;""),ROUND(ROUND(V32,3)-ROUND(U33,3),3)*1000,""))),"")</f>
        <v/>
      </c>
      <c r="X33" s="44" t="str">
        <f>IF(AND(NOT(ISNA(VLOOKUP(S33,A6:E105,5,FALSE))),T33="",U33&lt;&gt;""),ROUND((VLOOKUP(S33,A6:E105,5,FALSE)-W33)/1000,3),IF(AND(NOT(ISNA(VLOOKUP(S33,G6:K105,5,FALSE))),T33="",U33&lt;&gt;""),ROUND((VLOOKUP(S33,G6:K105,5,FALSE)-W33)/1000,3),IF(AND(NOT(ISNA(VLOOKUP(S33,M6:Q105,5,FALSE))),T33="",U33&lt;&gt;""),ROUND((VLOOKUP(S33,M6:Q105,5,FALSE)-W33)/1000,3),IF(AND(NOT(ISNA(VLOOKUP(S33,S6:W32,5,FALSE))),T33="",U33&lt;&gt;""),ROUND((VLOOKUP(S33,S6:W32,5,FALSE)-W33)/1000,3),""))))</f>
        <v/>
      </c>
      <c r="Y33" s="19">
        <f>IF(Y32="","",Y32+1)</f>
        <v>427</v>
      </c>
      <c r="Z33" s="43"/>
      <c r="AA33" s="43"/>
      <c r="AB33" s="15" t="str">
        <f>IF(AND(Z33&lt;&gt;"",AA33&lt;&gt;""),ROUND(Z33,3)+ROUND(AB32,3)-ROUND(AA33,3),IF(AND(EXACT(UPPER(Y33),"TBM"),Z33&lt;&gt;""),ROUND(Z33,3),IF(Z33="",AB32,IF(ISNA(VLOOKUP(Y33,A6:E105,5,FALSE)),IF(ISNA(VLOOKUP(Y33,G6:K105,5,FALSE)),IF(ISNA(VLOOKUP(Y33,M6:Q105,5,FALSE)),IF(ISNA(VLOOKUP(Y33,S6:W105,5,FALSE)),IF(ISNA(VLOOKUP(Y33,Y6:AC32,5,FALSE)),"",ROUND(VLOOKUP(Y33,Y6:AC32,5,FALSE),0)/1000+ROUND(Z33,3)),ROUND(VLOOKUP(Y33,S6:W105,5,FALSE),0)/1000+ROUND(Z33,3)),ROUND(VLOOKUP(Y33,M6:Q105,5,FALSE),0)/1000+ROUND(Z33,3)),ROUND(VLOOKUP(Y33,G6:K105,5,FALSE),0)/1000+ROUND(Z33,3)),ROUND(VLOOKUP(Y33,A6:E105,5,FALSE),0)/1000+ROUND(Z33,3)))))</f>
        <v/>
      </c>
      <c r="AC33" s="18" t="str">
        <f>IF(OR(NOT(EXACT(UPPER(Y33),"TBM")),Z33=""),IF(AND(Z33&lt;&gt;"",AA33="",AB33&lt;&gt;""),"",IF(AND(Z33="",AA33&lt;&gt;"",AB33&lt;&gt;""),ROUND(ROUND(AB33,3)-ROUND(AA33,3),3)*1000,IF(AND(Z33&lt;&gt;"",AA33&lt;&gt;"",AB33&lt;&gt;""),ROUND(ROUND(AB32,3)-ROUND(AA33,3),3)*1000,""))),"")</f>
        <v/>
      </c>
      <c r="AD33" s="44" t="str">
        <f>IF(AND(NOT(ISNA(VLOOKUP(Y33,A6:E105,5,FALSE))),Z33="",AA33&lt;&gt;""),ROUND((VLOOKUP(Y33,A6:E105,5,FALSE)-AC33)/1000,3),IF(AND(NOT(ISNA(VLOOKUP(Y33,G6:K105,5,FALSE))),Z33="",AA33&lt;&gt;""),ROUND((VLOOKUP(Y33,G6:K105,5,FALSE)-AC33)/1000,3),IF(AND(NOT(ISNA(VLOOKUP(Y33,M6:Q105,5,FALSE))),Z33="",AA33&lt;&gt;""),ROUND((VLOOKUP(Y33,M6:Q105,5,FALSE)-AC33)/1000,3),IF(AND(NOT(ISNA(VLOOKUP(Y33,S6:W105,5,FALSE))),Z33="",AA33&lt;&gt;""),ROUND((VLOOKUP(Y33,S6:W105,5,FALSE)-AC33)/1000,3),IF(AND(NOT(ISNA(VLOOKUP(Y33,Y6:AC32,5,FALSE))),Z33="",AA33&lt;&gt;""),ROUND((VLOOKUP(Y33,Y6:AC32,5,FALSE)-AC33)/1000,3),"")))))</f>
        <v/>
      </c>
      <c r="AE33" s="19">
        <f>IF(AE32="","",AE32+1)</f>
        <v>527</v>
      </c>
      <c r="AF33" s="43"/>
      <c r="AG33" s="43"/>
      <c r="AH33" s="15" t="str">
        <f>IF(AND(AF33&lt;&gt;"",AG33&lt;&gt;""),ROUND(AF33,3)+ROUND(AH32,3)-ROUND(AG33,3),IF(AND(EXACT(UPPER(AE33),"TBM"),AF33&lt;&gt;""),ROUND(AF33,3),IF(AF33="",AH32,IF(ISNA(VLOOKUP(AE33,A6:E105,5,FALSE)),IF(ISNA(VLOOKUP(AE33,G6:K105,5,FALSE)),IF(ISNA(VLOOKUP(AE33,M6:Q105,5,FALSE)),IF(ISNA(VLOOKUP(AE33,S6:W105,5,FALSE)),IF(ISNA(VLOOKUP(AE33,Y6:AC105,5,FALSE)),IF(ISNA(VLOOKUP(AE33,AE6:AI32,5,FALSE)),"",ROUND(VLOOKUP(AE33,AE6:AI32,5,FALSE),0)/1000+ROUND(AF33,3)),ROUND(VLOOKUP(AE33,Y6:AC105,5,FALSE),0)/1000+ROUND(AF33,3)),ROUND(VLOOKUP(AE33,S6:W105,5,FALSE),0)/1000+ROUND(AF33,3)),ROUND(VLOOKUP(AE33,M6:Q105,5,FALSE),0)/1000+ROUND(AF33,3)),ROUND(VLOOKUP(AE33,G6:K105,5,FALSE),0)/1000+ROUND(AF33,3)),ROUND(VLOOKUP(AE33,A6:E105,5,FALSE),0)/1000+ROUND(AF33,3)))))</f>
        <v/>
      </c>
      <c r="AI33" s="18" t="str">
        <f>IF(OR(NOT(EXACT(UPPER(AE33),"TBM")),AF33=""),IF(AND(AF33&lt;&gt;"",AG33="",AH33&lt;&gt;""),"",IF(AND(AF33="",AG33&lt;&gt;"",AH33&lt;&gt;""),ROUND(ROUND(AH33,3)-ROUND(AG33,3),3)*1000,IF(AND(AF33&lt;&gt;"",AG33&lt;&gt;"",AH33&lt;&gt;""),ROUND(ROUND(AH32,3)-ROUND(AG33,3),3)*1000,""))),"")</f>
        <v/>
      </c>
      <c r="AJ33" s="44" t="str">
        <f>IF(AND(NOT(ISNA(VLOOKUP(AE33,A6:E105,5,FALSE))),AF33="",AG33&lt;&gt;""),ROUND((VLOOKUP(AE33,A6:E105,5,FALSE)-AI33)/1000,3),IF(AND(NOT(ISNA(VLOOKUP(AE33,G6:K105,5,FALSE))),AF33="",AG33&lt;&gt;""),ROUND((VLOOKUP(AE33,G6:K105,5,FALSE)-AI33)/1000,3),IF(AND(NOT(ISNA(VLOOKUP(AE33,M6:Q105,5,FALSE))),AF33="",AG33&lt;&gt;""),ROUND((VLOOKUP(AE33,M6:Q105,5,FALSE)-AI33)/1000,3),IF(AND(NOT(ISNA(VLOOKUP(AE33,S6:W105,5,FALSE))),AF33="",AG33&lt;&gt;""),ROUND((VLOOKUP(AE33,S6:W105,5,FALSE)-AI33)/1000,3),IF(AND(NOT(ISNA(VLOOKUP(AE33,Y6:AC105,5,FALSE))),AF33="",AG33&lt;&gt;""),ROUND((VLOOKUP(AE33,Y6:AC105,5,FALSE)-AI33)/1000,3),IF(AND(NOT(ISNA(VLOOKUP(AE33,AE6:AI32,5,FALSE))),AF33="",AG33&lt;&gt;""),ROUND((VLOOKUP(AE33,AE6:AI32,5,FALSE)-AI33)/1000,3),""))))))</f>
        <v/>
      </c>
      <c r="AK33" s="19">
        <f>IF(AK32="","",AK32+1)</f>
        <v>627</v>
      </c>
      <c r="AL33" s="43"/>
      <c r="AM33" s="43"/>
      <c r="AN33" s="15" t="str">
        <f>IF(AND(AL33&lt;&gt;"",AM33&lt;&gt;""),ROUND(AL33,3)+ROUND(AN32,3)-ROUND(AM33,3),IF(AND(EXACT(UPPER(AK33),"TBM"),AL33&lt;&gt;""),ROUND(AL33,3),IF(AL33="",AN32,IF(ISNA(VLOOKUP(AK33,A6:E105,5,FALSE)),IF(ISNA(VLOOKUP(AK33,G6:K105,5,FALSE)),IF(ISNA(VLOOKUP(AK33,M6:Q105,5,FALSE)),IF(ISNA(VLOOKUP(AK33,S6:W105,5,FALSE)),IF(ISNA(VLOOKUP(AK33,Y6:AC105,5,FALSE)),IF(ISNA(VLOOKUP(AK33,AE6:AI105,5,FALSE)),IF(ISNA(VLOOKUP(AK33,AK6:AO32,5,FALSE)),"",ROUND(VLOOKUP(AK33,AK6:AO32,5,FALSE),0)/1000+ROUND(AL33,3)),ROUND(VLOOKUP(AK33,AE6:AI105,5,FALSE),0)/1000+ROUND(AL33,3)),ROUND(VLOOKUP(AK33,Y6:AC105,5,FALSE),0)/1000+ROUND(AL33,3)),ROUND(VLOOKUP(AK33,S6:W105,5,FALSE),0)/1000+ROUND(AL33,3)),ROUND(VLOOKUP(AK33,M6:Q105,5,FALSE),0)/1000+ROUND(AL33,3)),ROUND(VLOOKUP(AK33,G6:K105,5,FALSE),0)/1000+ROUND(AL33,3)),ROUND(VLOOKUP(AK33,A6:E105,5,FALSE),0)/1000+ROUND(AL33,3)))))</f>
        <v/>
      </c>
      <c r="AO33" s="18" t="str">
        <f>IF(OR(NOT(EXACT(UPPER(AK33),"TBM")),AL33=""),IF(AND(AL33&lt;&gt;"",AM33="",AN33&lt;&gt;""),"",IF(AND(AL33="",AM33&lt;&gt;"",AN33&lt;&gt;""),ROUND(ROUND(AN33,3)-ROUND(AM33,3),3)*1000,IF(AND(AL33&lt;&gt;"",AM33&lt;&gt;"",AN33&lt;&gt;""),ROUND(ROUND(AN32,3)-ROUND(AM33,3),3)*1000,""))),"")</f>
        <v/>
      </c>
      <c r="AP33" s="44" t="str">
        <f>IF(AND(NOT(ISNA(VLOOKUP(AK33,A6:E105,5,FALSE))),AL33="",AM33&lt;&gt;""),ROUND((VLOOKUP(AK33,A6:E105,5,FALSE)-AO33)/1000,3),IF(AND(NOT(ISNA(VLOOKUP(AK33,G6:K105,5,FALSE))),AL33="",AM33&lt;&gt;""),ROUND((VLOOKUP(AK33,G6:K105,5,FALSE)-AO33)/1000,3),IF(AND(NOT(ISNA(VLOOKUP(AK33,M6:Q105,5,FALSE))),AL33="",AM33&lt;&gt;""),ROUND((VLOOKUP(AK33,M6:Q105,5,FALSE)-AO33)/1000,3),IF(AND(NOT(ISNA(VLOOKUP(AK33,S6:W105,5,FALSE))),AL33="",AM33&lt;&gt;""),ROUND((VLOOKUP(AK33,S6:W105,5,FALSE)-AO33)/1000,3),IF(AND(NOT(ISNA(VLOOKUP(AK33,Y6:AC105,5,FALSE))),AL33="",AM33&lt;&gt;""),ROUND((VLOOKUP(AK33,Y6:AC105,5,FALSE)-AO33)/1000,3),IF(AND(NOT(ISNA(VLOOKUP(AK33,AE6:AI105,5,FALSE))),AL33="",AM33&lt;&gt;""),ROUND((VLOOKUP(AK33,AE6:AI105,5,FALSE)-AO33)/1000,3),IF(AND(NOT(ISNA(VLOOKUP(AK33,AK6:AO32,5,FALSE))),AL33="",AM33&lt;&gt;""),ROUND((VLOOKUP(AK33,AK6:AO32,5,FALSE)-AO33)/1000,3),"")))))))</f>
        <v/>
      </c>
      <c r="AQ33" s="19">
        <f>IF(AQ32="","",AQ32+1)</f>
        <v>727</v>
      </c>
      <c r="AR33" s="43"/>
      <c r="AS33" s="43"/>
      <c r="AT33" s="15" t="str">
        <f>IF(AND(AR33&lt;&gt;"",AS33&lt;&gt;""),ROUND(AR33,3)+ROUND(AT32,3)-ROUND(AS33,3),IF(AND(EXACT(UPPER(AQ33),"TBM"),AR33&lt;&gt;""),ROUND(AR33,3),IF(AR33="",AT32,IF(ISNA(VLOOKUP(AQ33,A6:E105,5,FALSE)),IF(ISNA(VLOOKUP(AQ33,G6:K105,5,FALSE)),IF(ISNA(VLOOKUP(AQ33,M6:Q105,5,FALSE)),IF(ISNA(VLOOKUP(AQ33,S6:W105,5,FALSE)),IF(ISNA(VLOOKUP(AQ33,Y6:AC105,5,FALSE)),IF(ISNA(VLOOKUP(AQ33,AE6:AI105,5,FALSE)),IF(ISNA(VLOOKUP(AQ33,AK6:AO105,5,FALSE)),IF(ISNA(VLOOKUP(AQ33,AQ6:AU32,5,FALSE)),"",ROUND(VLOOKUP(AQ33,AQ6:AU32,5,FALSE),0)/1000+ROUND(AR33,3)),ROUND(VLOOKUP(AQ33,AK6:AO105,5,FALSE),0)/1000+ROUND(AR33,3)),ROUND(VLOOKUP(AQ33,AE6:AI105,5,FALSE),0)/1000+ROUND(AR33,3)),ROUND(VLOOKUP(AQ33,Y6:AC105,5,FALSE),0)/1000+ROUND(AR33,3)),ROUND(VLOOKUP(AQ33,S6:W105,5,FALSE),0)/1000+ROUND(AR33,3)),ROUND(VLOOKUP(AQ33,M6:Q105,5,FALSE),0)/1000+ROUND(AR33,3)),ROUND(VLOOKUP(AQ33,G6:K105,5,FALSE),0)/1000+ROUND(AR33,3)),ROUND(VLOOKUP(AQ33,A6:E105,5,FALSE),0)/1000+ROUND(AR33,3)))))</f>
        <v/>
      </c>
      <c r="AU33" s="18" t="str">
        <f>IF(OR(NOT(EXACT(UPPER(AQ33),"TBM")),AR33=""),IF(AND(AR33&lt;&gt;"",AS33="",AT33&lt;&gt;""),"",IF(AND(AR33="",AS33&lt;&gt;"",AT33&lt;&gt;""),ROUND(ROUND(AT33,3)-ROUND(AS33,3),3)*1000,IF(AND(AR33&lt;&gt;"",AS33&lt;&gt;"",AT33&lt;&gt;""),ROUND(ROUND(AT32,3)-ROUND(AS33,3),3)*1000,""))),"")</f>
        <v/>
      </c>
      <c r="AV33" s="44" t="str">
        <f>IF(AND(NOT(ISNA(VLOOKUP(AQ33,A6:E105,5,FALSE))),AR33="",AS33&lt;&gt;""),ROUND((VLOOKUP(AQ33,A6:E105,5,FALSE)-AU33)/1000,3),IF(AND(NOT(ISNA(VLOOKUP(AQ33,G6:K105,5,FALSE))),AR33="",AS33&lt;&gt;""),ROUND((VLOOKUP(AQ33,G6:K105,5,FALSE)-AU33)/1000,3),IF(AND(NOT(ISNA(VLOOKUP(AQ33,M6:Q105,5,FALSE))),AR33="",AS33&lt;&gt;""),ROUND((VLOOKUP(AQ33,M6:Q105,5,FALSE)-AU33)/1000,3),IF(AND(NOT(ISNA(VLOOKUP(AQ33,S6:W105,5,FALSE))),AR33="",AS33&lt;&gt;""),ROUND((VLOOKUP(AQ33,S6:W105,5,FALSE)-AU33)/1000,3),IF(AND(NOT(ISNA(VLOOKUP(AQ33,Y6:AC105,5,FALSE))),AR33="",AS33&lt;&gt;""),ROUND((VLOOKUP(AQ33,Y6:AC105,5,FALSE)-AU33)/1000,3),IF(AND(NOT(ISNA(VLOOKUP(AQ33,AE6:AI105,5,FALSE))),AR33="",AS33&lt;&gt;""),ROUND((VLOOKUP(AQ33,AE6:AI105,5,FALSE)-AU33)/1000,3),IF(AND(NOT(ISNA(VLOOKUP(AQ33,AK6:AO105,5,FALSE))),AR33="",AS33&lt;&gt;""),ROUND((VLOOKUP(AQ33,AK6:AO105,5,FALSE)-AU33)/1000,3),IF(AND(NOT(ISNA(VLOOKUP(AQ33,AQ6:AU32,5,FALSE))),AR33="",AS33&lt;&gt;""),ROUND((VLOOKUP(AQ33,AQ6:AU32,5,FALSE)-AU33)/1000,3),""))))))))</f>
        <v/>
      </c>
      <c r="AW33" s="19">
        <f>IF(AW32="","",AW32+1)</f>
        <v>827</v>
      </c>
      <c r="AX33" s="43"/>
      <c r="AY33" s="43"/>
      <c r="AZ33" s="15" t="str">
        <f>IF(AND(AX33&lt;&gt;"",AY33&lt;&gt;""),ROUND(AX33,3)+ROUND(AZ32,3)-ROUND(AY33,3),IF(AND(EXACT(UPPER(AW33),"TBM"),AX33&lt;&gt;""),ROUND(AX33,3),IF(AX33="",AZ32,IF(ISNA(VLOOKUP(AW33,A6:E105,5,FALSE)),IF(ISNA(VLOOKUP(AW33,G6:K105,5,FALSE)),IF(ISNA(VLOOKUP(AW33,M6:Q105,5,FALSE)),IF(ISNA(VLOOKUP(AW33,S6:W105,5,FALSE)),IF(ISNA(VLOOKUP(AW33,Y6:AC105,5,FALSE)),IF(ISNA(VLOOKUP(AW33,AE6:AI105,5,FALSE)),IF(ISNA(VLOOKUP(AW33,AK6:AO105,5,FALSE)),IF(ISNA(VLOOKUP(AW33,AQ6:AU105,5,FALSE)),IF(ISNA(VLOOKUP(AW33,AW6:BA32,5,FALSE)),"",ROUND(VLOOKUP(AW33,AW6:BA32,5,FALSE),0)/1000+ROUND(AX33,3)),ROUND(VLOOKUP(AW33,AQ6:AU105,5,FALSE),0)/1000+ROUND(AX33,3)),ROUND(VLOOKUP(AW33,AK6:AO105,5,FALSE),0)/1000+ROUND(AX33,3)),ROUND(VLOOKUP(AW33,AE6:AI105,5,FALSE),0)/1000+ROUND(AX33,3)),ROUND(VLOOKUP(AW33,Y6:AC105,5,FALSE),0)/1000+ROUND(AX33,3)),ROUND(VLOOKUP(AW33,S6:W105,5,FALSE),0)/1000+ROUND(AX33,3)),ROUND(VLOOKUP(AW33,M6:Q105,5,FALSE),0)/1000+ROUND(AX33,3)),ROUND(VLOOKUP(AW33,G6:K105,5,FALSE),0)/1000+ROUND(AX33,3)),ROUND(VLOOKUP(AW33,A6:E105,5,FALSE),0)/1000+ROUND(AX33,3)))))</f>
        <v/>
      </c>
      <c r="BA33" s="18" t="str">
        <f>IF(OR(NOT(EXACT(UPPER(AW33),"TBM")),AX33=""),IF(AND(AX33&lt;&gt;"",AY33="",AZ33&lt;&gt;""),"",IF(AND(AX33="",AY33&lt;&gt;"",AZ33&lt;&gt;""),ROUND(ROUND(AZ33,3)-ROUND(AY33,3),3)*1000,IF(AND(AX33&lt;&gt;"",AY33&lt;&gt;"",AZ33&lt;&gt;""),ROUND(ROUND(AZ32,3)-ROUND(AY33,3),3)*1000,""))),"")</f>
        <v/>
      </c>
      <c r="BB33" s="44" t="str">
        <f>IF(AND(NOT(ISNA(VLOOKUP(AW33,A6:E105,5,FALSE))),AX33="",AY33&lt;&gt;""),ROUND((VLOOKUP(AW33,A6:E105,5,FALSE)-BA33)/1000,3),IF(AND(NOT(ISNA(VLOOKUP(AW33,G6:K105,5,FALSE))),AX33="",AY33&lt;&gt;""),ROUND((VLOOKUP(AW33,G6:K105,5,FALSE)-BA33)/1000,3),IF(AND(NOT(ISNA(VLOOKUP(AW33,M6:Q105,5,FALSE))),AX33="",AY33&lt;&gt;""),ROUND((VLOOKUP(AW33,M6:Q105,5,FALSE)-BA33)/1000,3),IF(AND(NOT(ISNA(VLOOKUP(AW33,S6:W105,5,FALSE))),AX33="",AY33&lt;&gt;""),ROUND((VLOOKUP(AW33,S6:W105,5,FALSE)-BA33)/1000,3),IF(AND(NOT(ISNA(VLOOKUP(AW33,Y6:AC105,5,FALSE))),AX33="",AY33&lt;&gt;""),ROUND((VLOOKUP(AW33,Y6:AC105,5,FALSE)-BA33)/1000,3),IF(AND(NOT(ISNA(VLOOKUP(AW33,AE6:AI105,5,FALSE))),AX33="",AY33&lt;&gt;""),ROUND((VLOOKUP(AW33,AE6:AI105,5,FALSE)-BA33)/1000,3),IF(AND(NOT(ISNA(VLOOKUP(AW33,AK6:AO105,5,FALSE))),AX33="",AY33&lt;&gt;""),ROUND((VLOOKUP(AW33,AK6:AO105,5,FALSE)-BA33)/1000,3),IF(AND(NOT(ISNA(VLOOKUP(AW33,AQ6:AU105,5,FALSE))),AX33="",AY33&lt;&gt;""),ROUND((VLOOKUP(AW33,AQ6:AU105,5,FALSE)-BA33)/1000,3),IF(AND(NOT(ISNA(VLOOKUP(AW33,AW6:BA32,5,FALSE))),AX33="",AY33&lt;&gt;""),ROUND((VLOOKUP(AW33,AW6:BA32,5,FALSE)-BA33)/1000,3),"")))))))))</f>
        <v/>
      </c>
      <c r="BC33" s="19">
        <f>IF(BC32="","",BC32+1)</f>
        <v>927</v>
      </c>
      <c r="BD33" s="43"/>
      <c r="BE33" s="43"/>
      <c r="BF33" s="15" t="str">
        <f>IF(AND(BD33&lt;&gt;"",BE33&lt;&gt;""),ROUND(BD33,3)+ROUND(BF32,3)-ROUND(BE33,3),IF(AND(EXACT(UPPER(BC33),"TBM"),BD33&lt;&gt;""),ROUND(BD33,3),IF(BD33="",BF32,IF(ISNA(VLOOKUP(BC33,A6:E105,5,FALSE)),IF(ISNA(VLOOKUP(BC33,G6:K105,5,FALSE)),IF(ISNA(VLOOKUP(BC33,M6:Q105,5,FALSE)),IF(ISNA(VLOOKUP(BC33,S6:W105,5,FALSE)),IF(ISNA(VLOOKUP(BC33,Y6:AC105,5,FALSE)),IF(ISNA(VLOOKUP(BC33,AE6:AI105,5,FALSE)),IF(ISNA(VLOOKUP(BC33,AK6:AO105,5,FALSE)),IF(ISNA(VLOOKUP(BC33,AQ6:AU105,5,FALSE)),IF(ISNA(VLOOKUP(BC33,AW6:BA105,5,FALSE)),IF(ISNA(VLOOKUP(BC33,BC6:BG32,5,FALSE)),"",ROUND(VLOOKUP(BC33,BC6:BG32,5,FALSE),0)/1000+ROUND(BD33,3)),ROUND(VLOOKUP(BC33,AW6:BA105,5,FALSE),0)/1000+ROUND(BD33,3)),ROUND(VLOOKUP(BC33,AQ6:AU105,5,FALSE),0)/1000+ROUND(BD33,3)),ROUND(VLOOKUP(BC33,AK6:AO105,5,FALSE),0)/1000+ROUND(BD33,3)),ROUND(VLOOKUP(BC33,AE6:AI105,5,FALSE),0)/1000+ROUND(BD33,3)),ROUND(VLOOKUP(BC33,Y6:AC105,5,FALSE),0)/1000+ROUND(BD33,3)),ROUND(VLOOKUP(BC33,S6:W105,5,FALSE),0)/1000+ROUND(BD33,3)),ROUND(VLOOKUP(BC33,M6:Q105,5,FALSE),0)/1000+ROUND(BD33,3)),ROUND(VLOOKUP(BC33,G6:K105,5,FALSE),0)/1000+ROUND(BD33,3)),ROUND(VLOOKUP(BC33,A6:E105,5,FALSE),0)/1000+ROUND(BD33,3)))))</f>
        <v/>
      </c>
      <c r="BG33" s="18" t="str">
        <f>IF(OR(NOT(EXACT(UPPER(BC33),"TBM")),BD33=""),IF(AND(BD33&lt;&gt;"",BE33="",BF33&lt;&gt;""),"",IF(AND(BD33="",BE33&lt;&gt;"",BF33&lt;&gt;""),ROUND(ROUND(BF33,3)-ROUND(BE33,3),3)*1000,IF(AND(BD33&lt;&gt;"",BE33&lt;&gt;"",BF33&lt;&gt;""),ROUND(ROUND(BF32,3)-ROUND(BE33,3),3)*1000,""))),"")</f>
        <v/>
      </c>
      <c r="BH33" s="44" t="str">
        <f>IF(AND(NOT(ISNA(VLOOKUP(BC33,A6:E105,5,FALSE))),BD33="",BE33&lt;&gt;""),ROUND((VLOOKUP(BC33,A6:E105,5,FALSE)-BG33)/1000,3),IF(AND(NOT(ISNA(VLOOKUP(BC33,G6:K105,5,FALSE))),BD33="",BE33&lt;&gt;""),ROUND((VLOOKUP(BC33,G6:K105,5,FALSE)-BG33)/1000,3),IF(AND(NOT(ISNA(VLOOKUP(BC33,M6:Q105,5,FALSE))),BD33="",BE33&lt;&gt;""),ROUND((VLOOKUP(BC33,M6:Q105,5,FALSE)-BG33)/1000,3),IF(AND(NOT(ISNA(VLOOKUP(BC33,S6:W105,5,FALSE))),BD33="",BE33&lt;&gt;""),ROUND((VLOOKUP(BC33,S6:W105,5,FALSE)-BG33)/1000,3),IF(AND(NOT(ISNA(VLOOKUP(BC33,Y6:AC105,5,FALSE))),BD33="",BE33&lt;&gt;""),ROUND((VLOOKUP(BC33,Y6:AC105,5,FALSE)-BG33)/1000,3),IF(AND(NOT(ISNA(VLOOKUP(BC33,AE6:AI105,5,FALSE))),BD33="",BE33&lt;&gt;""),ROUND((VLOOKUP(BC33,AE6:AI105,5,FALSE)-BG33)/1000,3),IF(AND(NOT(ISNA(VLOOKUP(BC33,AK6:AO105,5,FALSE))),BD33="",BE33&lt;&gt;""),ROUND((VLOOKUP(BC33,AK6:AO105,5,FALSE)-BG33)/1000,3),IF(AND(NOT(ISNA(VLOOKUP(BC33,AQ6:AU105,5,FALSE))),BD33="",BE33&lt;&gt;""),ROUND((VLOOKUP(BC33,AQ6:AU105,5,FALSE)-BG33)/1000,3),IF(AND(NOT(ISNA(VLOOKUP(BC33,AW6:BA105,5,FALSE))),BD33="",BE33&lt;&gt;""),ROUND((VLOOKUP(BC33,AW6:BA105,5,FALSE)-BG33)/1000,3),IF(AND(NOT(ISNA(VLOOKUP(BC33,BC6:BG32,5,FALSE))),BD33="",BE33&lt;&gt;""),ROUND((VLOOKUP(BC33,BC6:BG32,5,FALSE)-BG33)/1000,3),""))))))))))</f>
        <v/>
      </c>
    </row>
    <row r="34" spans="1:60" x14ac:dyDescent="0.25">
      <c r="A34" s="19">
        <f t="shared" si="3"/>
        <v>28</v>
      </c>
      <c r="B34" s="39"/>
      <c r="C34" s="39"/>
      <c r="D34" s="15" t="str">
        <f>IF(AND(B34&lt;&gt;"",C34&lt;&gt;""),ROUND(B34,3)+ROUND(D33,3)-ROUND(C34,3),IF(AND(EXACT(UPPER(A34),"TBM"),B34&lt;&gt;""),ROUND(B34,3),IF(B34="",D33,IF(ISNA(VLOOKUP(A34,A6:E33,5,FALSE)),"",ROUND(VLOOKUP(A34,A6:E33,5,FALSE),0)/1000+ROUND(B34,3)))))</f>
        <v/>
      </c>
      <c r="E34" s="21" t="str">
        <f t="shared" si="0"/>
        <v/>
      </c>
      <c r="F34" s="45" t="str">
        <f>IF(AND(NOT(ISNA(VLOOKUP(A34,A6:E33,5,FALSE))),B34="",C34&lt;&gt;""),ROUND((VLOOKUP(A34,A6:E33,5,FALSE)-E34)/1000,3),"")</f>
        <v/>
      </c>
      <c r="G34" s="19">
        <f t="shared" si="1"/>
        <v>128</v>
      </c>
      <c r="H34" s="39"/>
      <c r="I34" s="39"/>
      <c r="J34" s="15" t="str">
        <f>IF(AND(H34&lt;&gt;"",I34&lt;&gt;""),ROUND(H34,3)+ROUND(J33,3)-ROUND(I34,3),IF(AND(EXACT(UPPER(G34),"TBM"),H34&lt;&gt;""),ROUND(H34,3),IF(H34="",J33,IF(ISNA(VLOOKUP(G34,A6:E105,5,FALSE)),IF(ISNA(VLOOKUP(G34,G6:K33,5,FALSE)),"",ROUND(VLOOKUP(G34,G6:K33,5,FALSE),0)/1000+ROUND(H34,3)),ROUND(VLOOKUP(G34,A6:E105,5,FALSE),0)/1000+ROUND(H34,3)))))</f>
        <v/>
      </c>
      <c r="K34" s="18" t="str">
        <f t="shared" si="2"/>
        <v/>
      </c>
      <c r="L34" s="45" t="str">
        <f>IF(AND(NOT(ISNA(VLOOKUP(G34,A6:E105,5,FALSE))),H34="",I34&lt;&gt;""),ROUND((VLOOKUP(G34,A6:E105,5,FALSE)-K34)/1000,3),IF(AND(NOT(ISNA(VLOOKUP(G34,G6:K33,5,FALSE))),H34="",I34&lt;&gt;""),ROUND((VLOOKUP(G34,G6:K33,5,FALSE)-K34)/1000,3),""))</f>
        <v/>
      </c>
      <c r="M34" s="19">
        <f>IF(M33="","",M33+1)</f>
        <v>228</v>
      </c>
      <c r="N34" s="39"/>
      <c r="O34" s="39"/>
      <c r="P34" s="15" t="str">
        <f>IF(AND(N34&lt;&gt;"",O34&lt;&gt;""),ROUND(N34,3)+ROUND(P33,3)-ROUND(O34,3),IF(AND(EXACT(UPPER(M34),"TBM"),N34&lt;&gt;""),ROUND(N34,3),IF(N34="",P33,IF(ISNA(VLOOKUP(M34,A6:E105,5,FALSE)),IF(ISNA(VLOOKUP(M34,G6:K105,5,FALSE)),IF(ISNA(VLOOKUP(M34,M6:Q33,5,FALSE)),"",ROUND(VLOOKUP(M34,M6:Q33,5,FALSE),0)/1000+ROUND(N34,3)),ROUND(VLOOKUP(M34,G6:K105,5,FALSE),0)/1000+ROUND(N34,3)),ROUND(VLOOKUP(M34,A6:E105,5,FALSE),0)/1000+ROUND(N34,3)))))</f>
        <v/>
      </c>
      <c r="Q34" s="18" t="str">
        <f>IF(OR(NOT(EXACT(UPPER(M34),"TBM")),N34=""),IF(AND(N34&lt;&gt;"",O34="",P34&lt;&gt;""),"",IF(AND(N34="",O34&lt;&gt;"",P34&lt;&gt;""),ROUND(ROUND(P34,3)-ROUND(O34,3),3)*1000,IF(AND(N34&lt;&gt;"",O34&lt;&gt;"",P34&lt;&gt;""),ROUND(ROUND(P33,3)-ROUND(O34,3),3)*1000,""))),"")</f>
        <v/>
      </c>
      <c r="R34" s="45" t="str">
        <f>IF(AND(NOT(ISNA(VLOOKUP(M34,A6:E105,5,FALSE))),N34="",O34&lt;&gt;""),ROUND((VLOOKUP(M34,A6:E105,5,FALSE)-Q34)/1000,3),IF(AND(NOT(ISNA(VLOOKUP(M34,G6:K105,5,FALSE))),N34="",O34&lt;&gt;""),ROUND((VLOOKUP(M34,G6:K105,5,FALSE)-Q34)/1000,3),IF(AND(NOT(ISNA(VLOOKUP(M34,M6:Q33,5,FALSE))),N34="",O34&lt;&gt;""),ROUND((VLOOKUP(M34,M6:Q33,5,FALSE)-Q34)/1000,3),"")))</f>
        <v/>
      </c>
      <c r="S34" s="19">
        <f>IF(S33="","",S33+1)</f>
        <v>328</v>
      </c>
      <c r="T34" s="39"/>
      <c r="U34" s="39"/>
      <c r="V34" s="15" t="str">
        <f>IF(AND(T34&lt;&gt;"",U34&lt;&gt;""),ROUND(T34,3)+ROUND(V33,3)-ROUND(U34,3),IF(AND(EXACT(UPPER(S34),"TBM"),T34&lt;&gt;""),ROUND(T34,3),IF(T34="",V33,IF(ISNA(VLOOKUP(S34,A6:E105,5,FALSE)),IF(ISNA(VLOOKUP(S34,G6:K105,5,FALSE)),IF(ISNA(VLOOKUP(S34,M6:Q105,5,FALSE)),IF(ISNA(VLOOKUP(S34,S6:W33,5,FALSE)),"",ROUND(VLOOKUP(S34,S6:W33,5,FALSE),0)/1000+ROUND(T34,3)),ROUND(VLOOKUP(S34,M6:Q105,5,FALSE),0)/1000+ROUND(T34,3)),ROUND(VLOOKUP(S34,G6:K105,5,FALSE),0)/1000+ROUND(T34,3)),ROUND(VLOOKUP(S34,A6:E105,5,FALSE),0)/1000+ROUND(T34,3)))))</f>
        <v/>
      </c>
      <c r="W34" s="18" t="str">
        <f>IF(OR(NOT(EXACT(UPPER(S34),"TBM")),T34=""),IF(AND(T34&lt;&gt;"",U34="",V34&lt;&gt;""),"",IF(AND(T34="",U34&lt;&gt;"",V34&lt;&gt;""),ROUND(ROUND(V34,3)-ROUND(U34,3),3)*1000,IF(AND(T34&lt;&gt;"",U34&lt;&gt;"",V34&lt;&gt;""),ROUND(ROUND(V33,3)-ROUND(U34,3),3)*1000,""))),"")</f>
        <v/>
      </c>
      <c r="X34" s="45" t="str">
        <f>IF(AND(NOT(ISNA(VLOOKUP(S34,A6:E105,5,FALSE))),T34="",U34&lt;&gt;""),ROUND((VLOOKUP(S34,A6:E105,5,FALSE)-W34)/1000,3),IF(AND(NOT(ISNA(VLOOKUP(S34,G6:K105,5,FALSE))),T34="",U34&lt;&gt;""),ROUND((VLOOKUP(S34,G6:K105,5,FALSE)-W34)/1000,3),IF(AND(NOT(ISNA(VLOOKUP(S34,M6:Q105,5,FALSE))),T34="",U34&lt;&gt;""),ROUND((VLOOKUP(S34,M6:Q105,5,FALSE)-W34)/1000,3),IF(AND(NOT(ISNA(VLOOKUP(S34,S6:W33,5,FALSE))),T34="",U34&lt;&gt;""),ROUND((VLOOKUP(S34,S6:W33,5,FALSE)-W34)/1000,3),""))))</f>
        <v/>
      </c>
      <c r="Y34" s="19">
        <f>IF(Y33="","",Y33+1)</f>
        <v>428</v>
      </c>
      <c r="Z34" s="39"/>
      <c r="AA34" s="39"/>
      <c r="AB34" s="15" t="str">
        <f>IF(AND(Z34&lt;&gt;"",AA34&lt;&gt;""),ROUND(Z34,3)+ROUND(AB33,3)-ROUND(AA34,3),IF(AND(EXACT(UPPER(Y34),"TBM"),Z34&lt;&gt;""),ROUND(Z34,3),IF(Z34="",AB33,IF(ISNA(VLOOKUP(Y34,A6:E105,5,FALSE)),IF(ISNA(VLOOKUP(Y34,G6:K105,5,FALSE)),IF(ISNA(VLOOKUP(Y34,M6:Q105,5,FALSE)),IF(ISNA(VLOOKUP(Y34,S6:W105,5,FALSE)),IF(ISNA(VLOOKUP(Y34,Y6:AC33,5,FALSE)),"",ROUND(VLOOKUP(Y34,Y6:AC33,5,FALSE),0)/1000+ROUND(Z34,3)),ROUND(VLOOKUP(Y34,S6:W105,5,FALSE),0)/1000+ROUND(Z34,3)),ROUND(VLOOKUP(Y34,M6:Q105,5,FALSE),0)/1000+ROUND(Z34,3)),ROUND(VLOOKUP(Y34,G6:K105,5,FALSE),0)/1000+ROUND(Z34,3)),ROUND(VLOOKUP(Y34,A6:E105,5,FALSE),0)/1000+ROUND(Z34,3)))))</f>
        <v/>
      </c>
      <c r="AC34" s="18" t="str">
        <f>IF(OR(NOT(EXACT(UPPER(Y34),"TBM")),Z34=""),IF(AND(Z34&lt;&gt;"",AA34="",AB34&lt;&gt;""),"",IF(AND(Z34="",AA34&lt;&gt;"",AB34&lt;&gt;""),ROUND(ROUND(AB34,3)-ROUND(AA34,3),3)*1000,IF(AND(Z34&lt;&gt;"",AA34&lt;&gt;"",AB34&lt;&gt;""),ROUND(ROUND(AB33,3)-ROUND(AA34,3),3)*1000,""))),"")</f>
        <v/>
      </c>
      <c r="AD34" s="45" t="str">
        <f>IF(AND(NOT(ISNA(VLOOKUP(Y34,A6:E105,5,FALSE))),Z34="",AA34&lt;&gt;""),ROUND((VLOOKUP(Y34,A6:E105,5,FALSE)-AC34)/1000,3),IF(AND(NOT(ISNA(VLOOKUP(Y34,G6:K105,5,FALSE))),Z34="",AA34&lt;&gt;""),ROUND((VLOOKUP(Y34,G6:K105,5,FALSE)-AC34)/1000,3),IF(AND(NOT(ISNA(VLOOKUP(Y34,M6:Q105,5,FALSE))),Z34="",AA34&lt;&gt;""),ROUND((VLOOKUP(Y34,M6:Q105,5,FALSE)-AC34)/1000,3),IF(AND(NOT(ISNA(VLOOKUP(Y34,S6:W105,5,FALSE))),Z34="",AA34&lt;&gt;""),ROUND((VLOOKUP(Y34,S6:W105,5,FALSE)-AC34)/1000,3),IF(AND(NOT(ISNA(VLOOKUP(Y34,Y6:AC33,5,FALSE))),Z34="",AA34&lt;&gt;""),ROUND((VLOOKUP(Y34,Y6:AC33,5,FALSE)-AC34)/1000,3),"")))))</f>
        <v/>
      </c>
      <c r="AE34" s="19">
        <f>IF(AE33="","",AE33+1)</f>
        <v>528</v>
      </c>
      <c r="AF34" s="39"/>
      <c r="AG34" s="39"/>
      <c r="AH34" s="15" t="str">
        <f>IF(AND(AF34&lt;&gt;"",AG34&lt;&gt;""),ROUND(AF34,3)+ROUND(AH33,3)-ROUND(AG34,3),IF(AND(EXACT(UPPER(AE34),"TBM"),AF34&lt;&gt;""),ROUND(AF34,3),IF(AF34="",AH33,IF(ISNA(VLOOKUP(AE34,A6:E105,5,FALSE)),IF(ISNA(VLOOKUP(AE34,G6:K105,5,FALSE)),IF(ISNA(VLOOKUP(AE34,M6:Q105,5,FALSE)),IF(ISNA(VLOOKUP(AE34,S6:W105,5,FALSE)),IF(ISNA(VLOOKUP(AE34,Y6:AC105,5,FALSE)),IF(ISNA(VLOOKUP(AE34,AE6:AI33,5,FALSE)),"",ROUND(VLOOKUP(AE34,AE6:AI33,5,FALSE),0)/1000+ROUND(AF34,3)),ROUND(VLOOKUP(AE34,Y6:AC105,5,FALSE),0)/1000+ROUND(AF34,3)),ROUND(VLOOKUP(AE34,S6:W105,5,FALSE),0)/1000+ROUND(AF34,3)),ROUND(VLOOKUP(AE34,M6:Q105,5,FALSE),0)/1000+ROUND(AF34,3)),ROUND(VLOOKUP(AE34,G6:K105,5,FALSE),0)/1000+ROUND(AF34,3)),ROUND(VLOOKUP(AE34,A6:E105,5,FALSE),0)/1000+ROUND(AF34,3)))))</f>
        <v/>
      </c>
      <c r="AI34" s="18" t="str">
        <f>IF(OR(NOT(EXACT(UPPER(AE34),"TBM")),AF34=""),IF(AND(AF34&lt;&gt;"",AG34="",AH34&lt;&gt;""),"",IF(AND(AF34="",AG34&lt;&gt;"",AH34&lt;&gt;""),ROUND(ROUND(AH34,3)-ROUND(AG34,3),3)*1000,IF(AND(AF34&lt;&gt;"",AG34&lt;&gt;"",AH34&lt;&gt;""),ROUND(ROUND(AH33,3)-ROUND(AG34,3),3)*1000,""))),"")</f>
        <v/>
      </c>
      <c r="AJ34" s="45" t="str">
        <f>IF(AND(NOT(ISNA(VLOOKUP(AE34,A6:E105,5,FALSE))),AF34="",AG34&lt;&gt;""),ROUND((VLOOKUP(AE34,A6:E105,5,FALSE)-AI34)/1000,3),IF(AND(NOT(ISNA(VLOOKUP(AE34,G6:K105,5,FALSE))),AF34="",AG34&lt;&gt;""),ROUND((VLOOKUP(AE34,G6:K105,5,FALSE)-AI34)/1000,3),IF(AND(NOT(ISNA(VLOOKUP(AE34,M6:Q105,5,FALSE))),AF34="",AG34&lt;&gt;""),ROUND((VLOOKUP(AE34,M6:Q105,5,FALSE)-AI34)/1000,3),IF(AND(NOT(ISNA(VLOOKUP(AE34,S6:W105,5,FALSE))),AF34="",AG34&lt;&gt;""),ROUND((VLOOKUP(AE34,S6:W105,5,FALSE)-AI34)/1000,3),IF(AND(NOT(ISNA(VLOOKUP(AE34,Y6:AC105,5,FALSE))),AF34="",AG34&lt;&gt;""),ROUND((VLOOKUP(AE34,Y6:AC105,5,FALSE)-AI34)/1000,3),IF(AND(NOT(ISNA(VLOOKUP(AE34,AE6:AI33,5,FALSE))),AF34="",AG34&lt;&gt;""),ROUND((VLOOKUP(AE34,AE6:AI33,5,FALSE)-AI34)/1000,3),""))))))</f>
        <v/>
      </c>
      <c r="AK34" s="19">
        <f>IF(AK33="","",AK33+1)</f>
        <v>628</v>
      </c>
      <c r="AL34" s="39"/>
      <c r="AM34" s="39"/>
      <c r="AN34" s="15" t="str">
        <f>IF(AND(AL34&lt;&gt;"",AM34&lt;&gt;""),ROUND(AL34,3)+ROUND(AN33,3)-ROUND(AM34,3),IF(AND(EXACT(UPPER(AK34),"TBM"),AL34&lt;&gt;""),ROUND(AL34,3),IF(AL34="",AN33,IF(ISNA(VLOOKUP(AK34,A6:E105,5,FALSE)),IF(ISNA(VLOOKUP(AK34,G6:K105,5,FALSE)),IF(ISNA(VLOOKUP(AK34,M6:Q105,5,FALSE)),IF(ISNA(VLOOKUP(AK34,S6:W105,5,FALSE)),IF(ISNA(VLOOKUP(AK34,Y6:AC105,5,FALSE)),IF(ISNA(VLOOKUP(AK34,AE6:AI105,5,FALSE)),IF(ISNA(VLOOKUP(AK34,AK6:AO33,5,FALSE)),"",ROUND(VLOOKUP(AK34,AK6:AO33,5,FALSE),0)/1000+ROUND(AL34,3)),ROUND(VLOOKUP(AK34,AE6:AI105,5,FALSE),0)/1000+ROUND(AL34,3)),ROUND(VLOOKUP(AK34,Y6:AC105,5,FALSE),0)/1000+ROUND(AL34,3)),ROUND(VLOOKUP(AK34,S6:W105,5,FALSE),0)/1000+ROUND(AL34,3)),ROUND(VLOOKUP(AK34,M6:Q105,5,FALSE),0)/1000+ROUND(AL34,3)),ROUND(VLOOKUP(AK34,G6:K105,5,FALSE),0)/1000+ROUND(AL34,3)),ROUND(VLOOKUP(AK34,A6:E105,5,FALSE),0)/1000+ROUND(AL34,3)))))</f>
        <v/>
      </c>
      <c r="AO34" s="18" t="str">
        <f>IF(OR(NOT(EXACT(UPPER(AK34),"TBM")),AL34=""),IF(AND(AL34&lt;&gt;"",AM34="",AN34&lt;&gt;""),"",IF(AND(AL34="",AM34&lt;&gt;"",AN34&lt;&gt;""),ROUND(ROUND(AN34,3)-ROUND(AM34,3),3)*1000,IF(AND(AL34&lt;&gt;"",AM34&lt;&gt;"",AN34&lt;&gt;""),ROUND(ROUND(AN33,3)-ROUND(AM34,3),3)*1000,""))),"")</f>
        <v/>
      </c>
      <c r="AP34" s="45" t="str">
        <f>IF(AND(NOT(ISNA(VLOOKUP(AK34,A6:E105,5,FALSE))),AL34="",AM34&lt;&gt;""),ROUND((VLOOKUP(AK34,A6:E105,5,FALSE)-AO34)/1000,3),IF(AND(NOT(ISNA(VLOOKUP(AK34,G6:K105,5,FALSE))),AL34="",AM34&lt;&gt;""),ROUND((VLOOKUP(AK34,G6:K105,5,FALSE)-AO34)/1000,3),IF(AND(NOT(ISNA(VLOOKUP(AK34,M6:Q105,5,FALSE))),AL34="",AM34&lt;&gt;""),ROUND((VLOOKUP(AK34,M6:Q105,5,FALSE)-AO34)/1000,3),IF(AND(NOT(ISNA(VLOOKUP(AK34,S6:W105,5,FALSE))),AL34="",AM34&lt;&gt;""),ROUND((VLOOKUP(AK34,S6:W105,5,FALSE)-AO34)/1000,3),IF(AND(NOT(ISNA(VLOOKUP(AK34,Y6:AC105,5,FALSE))),AL34="",AM34&lt;&gt;""),ROUND((VLOOKUP(AK34,Y6:AC105,5,FALSE)-AO34)/1000,3),IF(AND(NOT(ISNA(VLOOKUP(AK34,AE6:AI105,5,FALSE))),AL34="",AM34&lt;&gt;""),ROUND((VLOOKUP(AK34,AE6:AI105,5,FALSE)-AO34)/1000,3),IF(AND(NOT(ISNA(VLOOKUP(AK34,AK6:AO33,5,FALSE))),AL34="",AM34&lt;&gt;""),ROUND((VLOOKUP(AK34,AK6:AO33,5,FALSE)-AO34)/1000,3),"")))))))</f>
        <v/>
      </c>
      <c r="AQ34" s="19">
        <f>IF(AQ33="","",AQ33+1)</f>
        <v>728</v>
      </c>
      <c r="AR34" s="39"/>
      <c r="AS34" s="39"/>
      <c r="AT34" s="15" t="str">
        <f>IF(AND(AR34&lt;&gt;"",AS34&lt;&gt;""),ROUND(AR34,3)+ROUND(AT33,3)-ROUND(AS34,3),IF(AND(EXACT(UPPER(AQ34),"TBM"),AR34&lt;&gt;""),ROUND(AR34,3),IF(AR34="",AT33,IF(ISNA(VLOOKUP(AQ34,A6:E105,5,FALSE)),IF(ISNA(VLOOKUP(AQ34,G6:K105,5,FALSE)),IF(ISNA(VLOOKUP(AQ34,M6:Q105,5,FALSE)),IF(ISNA(VLOOKUP(AQ34,S6:W105,5,FALSE)),IF(ISNA(VLOOKUP(AQ34,Y6:AC105,5,FALSE)),IF(ISNA(VLOOKUP(AQ34,AE6:AI105,5,FALSE)),IF(ISNA(VLOOKUP(AQ34,AK6:AO105,5,FALSE)),IF(ISNA(VLOOKUP(AQ34,AQ6:AU33,5,FALSE)),"",ROUND(VLOOKUP(AQ34,AQ6:AU33,5,FALSE),0)/1000+ROUND(AR34,3)),ROUND(VLOOKUP(AQ34,AK6:AO105,5,FALSE),0)/1000+ROUND(AR34,3)),ROUND(VLOOKUP(AQ34,AE6:AI105,5,FALSE),0)/1000+ROUND(AR34,3)),ROUND(VLOOKUP(AQ34,Y6:AC105,5,FALSE),0)/1000+ROUND(AR34,3)),ROUND(VLOOKUP(AQ34,S6:W105,5,FALSE),0)/1000+ROUND(AR34,3)),ROUND(VLOOKUP(AQ34,M6:Q105,5,FALSE),0)/1000+ROUND(AR34,3)),ROUND(VLOOKUP(AQ34,G6:K105,5,FALSE),0)/1000+ROUND(AR34,3)),ROUND(VLOOKUP(AQ34,A6:E105,5,FALSE),0)/1000+ROUND(AR34,3)))))</f>
        <v/>
      </c>
      <c r="AU34" s="18" t="str">
        <f>IF(OR(NOT(EXACT(UPPER(AQ34),"TBM")),AR34=""),IF(AND(AR34&lt;&gt;"",AS34="",AT34&lt;&gt;""),"",IF(AND(AR34="",AS34&lt;&gt;"",AT34&lt;&gt;""),ROUND(ROUND(AT34,3)-ROUND(AS34,3),3)*1000,IF(AND(AR34&lt;&gt;"",AS34&lt;&gt;"",AT34&lt;&gt;""),ROUND(ROUND(AT33,3)-ROUND(AS34,3),3)*1000,""))),"")</f>
        <v/>
      </c>
      <c r="AV34" s="45" t="str">
        <f>IF(AND(NOT(ISNA(VLOOKUP(AQ34,A6:E105,5,FALSE))),AR34="",AS34&lt;&gt;""),ROUND((VLOOKUP(AQ34,A6:E105,5,FALSE)-AU34)/1000,3),IF(AND(NOT(ISNA(VLOOKUP(AQ34,G6:K105,5,FALSE))),AR34="",AS34&lt;&gt;""),ROUND((VLOOKUP(AQ34,G6:K105,5,FALSE)-AU34)/1000,3),IF(AND(NOT(ISNA(VLOOKUP(AQ34,M6:Q105,5,FALSE))),AR34="",AS34&lt;&gt;""),ROUND((VLOOKUP(AQ34,M6:Q105,5,FALSE)-AU34)/1000,3),IF(AND(NOT(ISNA(VLOOKUP(AQ34,S6:W105,5,FALSE))),AR34="",AS34&lt;&gt;""),ROUND((VLOOKUP(AQ34,S6:W105,5,FALSE)-AU34)/1000,3),IF(AND(NOT(ISNA(VLOOKUP(AQ34,Y6:AC105,5,FALSE))),AR34="",AS34&lt;&gt;""),ROUND((VLOOKUP(AQ34,Y6:AC105,5,FALSE)-AU34)/1000,3),IF(AND(NOT(ISNA(VLOOKUP(AQ34,AE6:AI105,5,FALSE))),AR34="",AS34&lt;&gt;""),ROUND((VLOOKUP(AQ34,AE6:AI105,5,FALSE)-AU34)/1000,3),IF(AND(NOT(ISNA(VLOOKUP(AQ34,AK6:AO105,5,FALSE))),AR34="",AS34&lt;&gt;""),ROUND((VLOOKUP(AQ34,AK6:AO105,5,FALSE)-AU34)/1000,3),IF(AND(NOT(ISNA(VLOOKUP(AQ34,AQ6:AU33,5,FALSE))),AR34="",AS34&lt;&gt;""),ROUND((VLOOKUP(AQ34,AQ6:AU33,5,FALSE)-AU34)/1000,3),""))))))))</f>
        <v/>
      </c>
      <c r="AW34" s="19">
        <f>IF(AW33="","",AW33+1)</f>
        <v>828</v>
      </c>
      <c r="AX34" s="39"/>
      <c r="AY34" s="39"/>
      <c r="AZ34" s="15" t="str">
        <f>IF(AND(AX34&lt;&gt;"",AY34&lt;&gt;""),ROUND(AX34,3)+ROUND(AZ33,3)-ROUND(AY34,3),IF(AND(EXACT(UPPER(AW34),"TBM"),AX34&lt;&gt;""),ROUND(AX34,3),IF(AX34="",AZ33,IF(ISNA(VLOOKUP(AW34,A6:E105,5,FALSE)),IF(ISNA(VLOOKUP(AW34,G6:K105,5,FALSE)),IF(ISNA(VLOOKUP(AW34,M6:Q105,5,FALSE)),IF(ISNA(VLOOKUP(AW34,S6:W105,5,FALSE)),IF(ISNA(VLOOKUP(AW34,Y6:AC105,5,FALSE)),IF(ISNA(VLOOKUP(AW34,AE6:AI105,5,FALSE)),IF(ISNA(VLOOKUP(AW34,AK6:AO105,5,FALSE)),IF(ISNA(VLOOKUP(AW34,AQ6:AU105,5,FALSE)),IF(ISNA(VLOOKUP(AW34,AW6:BA33,5,FALSE)),"",ROUND(VLOOKUP(AW34,AW6:BA33,5,FALSE),0)/1000+ROUND(AX34,3)),ROUND(VLOOKUP(AW34,AQ6:AU105,5,FALSE),0)/1000+ROUND(AX34,3)),ROUND(VLOOKUP(AW34,AK6:AO105,5,FALSE),0)/1000+ROUND(AX34,3)),ROUND(VLOOKUP(AW34,AE6:AI105,5,FALSE),0)/1000+ROUND(AX34,3)),ROUND(VLOOKUP(AW34,Y6:AC105,5,FALSE),0)/1000+ROUND(AX34,3)),ROUND(VLOOKUP(AW34,S6:W105,5,FALSE),0)/1000+ROUND(AX34,3)),ROUND(VLOOKUP(AW34,M6:Q105,5,FALSE),0)/1000+ROUND(AX34,3)),ROUND(VLOOKUP(AW34,G6:K105,5,FALSE),0)/1000+ROUND(AX34,3)),ROUND(VLOOKUP(AW34,A6:E105,5,FALSE),0)/1000+ROUND(AX34,3)))))</f>
        <v/>
      </c>
      <c r="BA34" s="18" t="str">
        <f>IF(OR(NOT(EXACT(UPPER(AW34),"TBM")),AX34=""),IF(AND(AX34&lt;&gt;"",AY34="",AZ34&lt;&gt;""),"",IF(AND(AX34="",AY34&lt;&gt;"",AZ34&lt;&gt;""),ROUND(ROUND(AZ34,3)-ROUND(AY34,3),3)*1000,IF(AND(AX34&lt;&gt;"",AY34&lt;&gt;"",AZ34&lt;&gt;""),ROUND(ROUND(AZ33,3)-ROUND(AY34,3),3)*1000,""))),"")</f>
        <v/>
      </c>
      <c r="BB34" s="45" t="str">
        <f>IF(AND(NOT(ISNA(VLOOKUP(AW34,A6:E105,5,FALSE))),AX34="",AY34&lt;&gt;""),ROUND((VLOOKUP(AW34,A6:E105,5,FALSE)-BA34)/1000,3),IF(AND(NOT(ISNA(VLOOKUP(AW34,G6:K105,5,FALSE))),AX34="",AY34&lt;&gt;""),ROUND((VLOOKUP(AW34,G6:K105,5,FALSE)-BA34)/1000,3),IF(AND(NOT(ISNA(VLOOKUP(AW34,M6:Q105,5,FALSE))),AX34="",AY34&lt;&gt;""),ROUND((VLOOKUP(AW34,M6:Q105,5,FALSE)-BA34)/1000,3),IF(AND(NOT(ISNA(VLOOKUP(AW34,S6:W105,5,FALSE))),AX34="",AY34&lt;&gt;""),ROUND((VLOOKUP(AW34,S6:W105,5,FALSE)-BA34)/1000,3),IF(AND(NOT(ISNA(VLOOKUP(AW34,Y6:AC105,5,FALSE))),AX34="",AY34&lt;&gt;""),ROUND((VLOOKUP(AW34,Y6:AC105,5,FALSE)-BA34)/1000,3),IF(AND(NOT(ISNA(VLOOKUP(AW34,AE6:AI105,5,FALSE))),AX34="",AY34&lt;&gt;""),ROUND((VLOOKUP(AW34,AE6:AI105,5,FALSE)-BA34)/1000,3),IF(AND(NOT(ISNA(VLOOKUP(AW34,AK6:AO105,5,FALSE))),AX34="",AY34&lt;&gt;""),ROUND((VLOOKUP(AW34,AK6:AO105,5,FALSE)-BA34)/1000,3),IF(AND(NOT(ISNA(VLOOKUP(AW34,AQ6:AU105,5,FALSE))),AX34="",AY34&lt;&gt;""),ROUND((VLOOKUP(AW34,AQ6:AU105,5,FALSE)-BA34)/1000,3),IF(AND(NOT(ISNA(VLOOKUP(AW34,AW6:BA33,5,FALSE))),AX34="",AY34&lt;&gt;""),ROUND((VLOOKUP(AW34,AW6:BA33,5,FALSE)-BA34)/1000,3),"")))))))))</f>
        <v/>
      </c>
      <c r="BC34" s="19">
        <f>IF(BC33="","",BC33+1)</f>
        <v>928</v>
      </c>
      <c r="BD34" s="39"/>
      <c r="BE34" s="39"/>
      <c r="BF34" s="15" t="str">
        <f>IF(AND(BD34&lt;&gt;"",BE34&lt;&gt;""),ROUND(BD34,3)+ROUND(BF33,3)-ROUND(BE34,3),IF(AND(EXACT(UPPER(BC34),"TBM"),BD34&lt;&gt;""),ROUND(BD34,3),IF(BD34="",BF33,IF(ISNA(VLOOKUP(BC34,A6:E105,5,FALSE)),IF(ISNA(VLOOKUP(BC34,G6:K105,5,FALSE)),IF(ISNA(VLOOKUP(BC34,M6:Q105,5,FALSE)),IF(ISNA(VLOOKUP(BC34,S6:W105,5,FALSE)),IF(ISNA(VLOOKUP(BC34,Y6:AC105,5,FALSE)),IF(ISNA(VLOOKUP(BC34,AE6:AI105,5,FALSE)),IF(ISNA(VLOOKUP(BC34,AK6:AO105,5,FALSE)),IF(ISNA(VLOOKUP(BC34,AQ6:AU105,5,FALSE)),IF(ISNA(VLOOKUP(BC34,AW6:BA105,5,FALSE)),IF(ISNA(VLOOKUP(BC34,BC6:BG33,5,FALSE)),"",ROUND(VLOOKUP(BC34,BC6:BG33,5,FALSE),0)/1000+ROUND(BD34,3)),ROUND(VLOOKUP(BC34,AW6:BA105,5,FALSE),0)/1000+ROUND(BD34,3)),ROUND(VLOOKUP(BC34,AQ6:AU105,5,FALSE),0)/1000+ROUND(BD34,3)),ROUND(VLOOKUP(BC34,AK6:AO105,5,FALSE),0)/1000+ROUND(BD34,3)),ROUND(VLOOKUP(BC34,AE6:AI105,5,FALSE),0)/1000+ROUND(BD34,3)),ROUND(VLOOKUP(BC34,Y6:AC105,5,FALSE),0)/1000+ROUND(BD34,3)),ROUND(VLOOKUP(BC34,S6:W105,5,FALSE),0)/1000+ROUND(BD34,3)),ROUND(VLOOKUP(BC34,M6:Q105,5,FALSE),0)/1000+ROUND(BD34,3)),ROUND(VLOOKUP(BC34,G6:K105,5,FALSE),0)/1000+ROUND(BD34,3)),ROUND(VLOOKUP(BC34,A6:E105,5,FALSE),0)/1000+ROUND(BD34,3)))))</f>
        <v/>
      </c>
      <c r="BG34" s="18" t="str">
        <f>IF(OR(NOT(EXACT(UPPER(BC34),"TBM")),BD34=""),IF(AND(BD34&lt;&gt;"",BE34="",BF34&lt;&gt;""),"",IF(AND(BD34="",BE34&lt;&gt;"",BF34&lt;&gt;""),ROUND(ROUND(BF34,3)-ROUND(BE34,3),3)*1000,IF(AND(BD34&lt;&gt;"",BE34&lt;&gt;"",BF34&lt;&gt;""),ROUND(ROUND(BF33,3)-ROUND(BE34,3),3)*1000,""))),"")</f>
        <v/>
      </c>
      <c r="BH34" s="45" t="str">
        <f>IF(AND(NOT(ISNA(VLOOKUP(BC34,A6:E105,5,FALSE))),BD34="",BE34&lt;&gt;""),ROUND((VLOOKUP(BC34,A6:E105,5,FALSE)-BG34)/1000,3),IF(AND(NOT(ISNA(VLOOKUP(BC34,G6:K105,5,FALSE))),BD34="",BE34&lt;&gt;""),ROUND((VLOOKUP(BC34,G6:K105,5,FALSE)-BG34)/1000,3),IF(AND(NOT(ISNA(VLOOKUP(BC34,M6:Q105,5,FALSE))),BD34="",BE34&lt;&gt;""),ROUND((VLOOKUP(BC34,M6:Q105,5,FALSE)-BG34)/1000,3),IF(AND(NOT(ISNA(VLOOKUP(BC34,S6:W105,5,FALSE))),BD34="",BE34&lt;&gt;""),ROUND((VLOOKUP(BC34,S6:W105,5,FALSE)-BG34)/1000,3),IF(AND(NOT(ISNA(VLOOKUP(BC34,Y6:AC105,5,FALSE))),BD34="",BE34&lt;&gt;""),ROUND((VLOOKUP(BC34,Y6:AC105,5,FALSE)-BG34)/1000,3),IF(AND(NOT(ISNA(VLOOKUP(BC34,AE6:AI105,5,FALSE))),BD34="",BE34&lt;&gt;""),ROUND((VLOOKUP(BC34,AE6:AI105,5,FALSE)-BG34)/1000,3),IF(AND(NOT(ISNA(VLOOKUP(BC34,AK6:AO105,5,FALSE))),BD34="",BE34&lt;&gt;""),ROUND((VLOOKUP(BC34,AK6:AO105,5,FALSE)-BG34)/1000,3),IF(AND(NOT(ISNA(VLOOKUP(BC34,AQ6:AU105,5,FALSE))),BD34="",BE34&lt;&gt;""),ROUND((VLOOKUP(BC34,AQ6:AU105,5,FALSE)-BG34)/1000,3),IF(AND(NOT(ISNA(VLOOKUP(BC34,AW6:BA105,5,FALSE))),BD34="",BE34&lt;&gt;""),ROUND((VLOOKUP(BC34,AW6:BA105,5,FALSE)-BG34)/1000,3),IF(AND(NOT(ISNA(VLOOKUP(BC34,BC6:BG33,5,FALSE))),BD34="",BE34&lt;&gt;""),ROUND((VLOOKUP(BC34,BC6:BG33,5,FALSE)-BG34)/1000,3),""))))))))))</f>
        <v/>
      </c>
    </row>
    <row r="35" spans="1:60" x14ac:dyDescent="0.25">
      <c r="A35" s="81">
        <f t="shared" si="3"/>
        <v>29</v>
      </c>
      <c r="B35" s="92"/>
      <c r="C35" s="93"/>
      <c r="D35" s="83" t="str">
        <f>IF(AND(B35&lt;&gt;"",C35&lt;&gt;""),ROUND(B35,3)+ROUND(D34,3)-ROUND(C35,3),IF(AND(EXACT(UPPER(A35),"TBM"),B35&lt;&gt;""),ROUND(B35,3),IF(B35="",D34,IF(ISNA(VLOOKUP(A35,A6:E34,5,FALSE)),"",ROUND(VLOOKUP(A35,A6:E34,5,FALSE),0)/1000+ROUND(B35,3)))))</f>
        <v/>
      </c>
      <c r="E35" s="84" t="str">
        <f t="shared" si="0"/>
        <v/>
      </c>
      <c r="F35" s="85" t="str">
        <f>IF(AND(NOT(ISNA(VLOOKUP(A35,A6:E34,5,FALSE))),B35="",C35&lt;&gt;""),ROUND((VLOOKUP(A35,A6:E34,5,FALSE)-E35)/1000,3),"")</f>
        <v/>
      </c>
      <c r="G35" s="81">
        <f t="shared" si="1"/>
        <v>129</v>
      </c>
      <c r="H35" s="82"/>
      <c r="I35" s="82"/>
      <c r="J35" s="83" t="str">
        <f>IF(AND(H35&lt;&gt;"",I35&lt;&gt;""),ROUND(H35,3)+ROUND(J34,3)-ROUND(I35,3),IF(AND(EXACT(UPPER(G35),"TBM"),H35&lt;&gt;""),ROUND(H35,3),IF(H35="",J34,IF(ISNA(VLOOKUP(G35,A6:E105,5,FALSE)),IF(ISNA(VLOOKUP(G35,G6:K34,5,FALSE)),"",ROUND(VLOOKUP(G35,G6:K34,5,FALSE),0)/1000+ROUND(H35,3)),ROUND(VLOOKUP(G35,A6:E105,5,FALSE),0)/1000+ROUND(H35,3)))))</f>
        <v/>
      </c>
      <c r="K35" s="88" t="str">
        <f t="shared" si="2"/>
        <v/>
      </c>
      <c r="L35" s="85" t="str">
        <f>IF(AND(NOT(ISNA(VLOOKUP(G35,A6:E105,5,FALSE))),H35="",I35&lt;&gt;""),ROUND((VLOOKUP(G35,A6:E105,5,FALSE)-K35)/1000,3),IF(AND(NOT(ISNA(VLOOKUP(G35,G6:K34,5,FALSE))),H35="",I35&lt;&gt;""),ROUND((VLOOKUP(G35,G6:K34,5,FALSE)-K35)/1000,3),""))</f>
        <v/>
      </c>
      <c r="M35" s="81">
        <f>IF(M34="","",M34+1)</f>
        <v>229</v>
      </c>
      <c r="N35" s="82"/>
      <c r="O35" s="82"/>
      <c r="P35" s="83" t="str">
        <f>IF(AND(N35&lt;&gt;"",O35&lt;&gt;""),ROUND(N35,3)+ROUND(P34,3)-ROUND(O35,3),IF(AND(EXACT(UPPER(M35),"TBM"),N35&lt;&gt;""),ROUND(N35,3),IF(N35="",P34,IF(ISNA(VLOOKUP(M35,A6:E105,5,FALSE)),IF(ISNA(VLOOKUP(M35,G6:K105,5,FALSE)),IF(ISNA(VLOOKUP(M35,M6:Q34,5,FALSE)),"",ROUND(VLOOKUP(M35,M6:Q34,5,FALSE),0)/1000+ROUND(N35,3)),ROUND(VLOOKUP(M35,G6:K105,5,FALSE),0)/1000+ROUND(N35,3)),ROUND(VLOOKUP(M35,A6:E105,5,FALSE),0)/1000+ROUND(N35,3)))))</f>
        <v/>
      </c>
      <c r="Q35" s="88" t="str">
        <f>IF(OR(NOT(EXACT(UPPER(M35),"TBM")),N35=""),IF(AND(N35&lt;&gt;"",O35="",P35&lt;&gt;""),"",IF(AND(N35="",O35&lt;&gt;"",P35&lt;&gt;""),ROUND(ROUND(P35,3)-ROUND(O35,3),3)*1000,IF(AND(N35&lt;&gt;"",O35&lt;&gt;"",P35&lt;&gt;""),ROUND(ROUND(P34,3)-ROUND(O35,3),3)*1000,""))),"")</f>
        <v/>
      </c>
      <c r="R35" s="85" t="str">
        <f>IF(AND(NOT(ISNA(VLOOKUP(M35,A6:E105,5,FALSE))),N35="",O35&lt;&gt;""),ROUND((VLOOKUP(M35,A6:E105,5,FALSE)-Q35)/1000,3),IF(AND(NOT(ISNA(VLOOKUP(M35,G6:K105,5,FALSE))),N35="",O35&lt;&gt;""),ROUND((VLOOKUP(M35,G6:K105,5,FALSE)-Q35)/1000,3),IF(AND(NOT(ISNA(VLOOKUP(M35,M6:Q34,5,FALSE))),N35="",O35&lt;&gt;""),ROUND((VLOOKUP(M35,M6:Q34,5,FALSE)-Q35)/1000,3),"")))</f>
        <v/>
      </c>
      <c r="S35" s="81">
        <f>IF(S34="","",S34+1)</f>
        <v>329</v>
      </c>
      <c r="T35" s="82"/>
      <c r="U35" s="82"/>
      <c r="V35" s="83" t="str">
        <f>IF(AND(T35&lt;&gt;"",U35&lt;&gt;""),ROUND(T35,3)+ROUND(V34,3)-ROUND(U35,3),IF(AND(EXACT(UPPER(S35),"TBM"),T35&lt;&gt;""),ROUND(T35,3),IF(T35="",V34,IF(ISNA(VLOOKUP(S35,A6:E105,5,FALSE)),IF(ISNA(VLOOKUP(S35,G6:K105,5,FALSE)),IF(ISNA(VLOOKUP(S35,M6:Q105,5,FALSE)),IF(ISNA(VLOOKUP(S35,S6:W34,5,FALSE)),"",ROUND(VLOOKUP(S35,S6:W34,5,FALSE),0)/1000+ROUND(T35,3)),ROUND(VLOOKUP(S35,M6:Q105,5,FALSE),0)/1000+ROUND(T35,3)),ROUND(VLOOKUP(S35,G6:K105,5,FALSE),0)/1000+ROUND(T35,3)),ROUND(VLOOKUP(S35,A6:E105,5,FALSE),0)/1000+ROUND(T35,3)))))</f>
        <v/>
      </c>
      <c r="W35" s="88" t="str">
        <f>IF(OR(NOT(EXACT(UPPER(S35),"TBM")),T35=""),IF(AND(T35&lt;&gt;"",U35="",V35&lt;&gt;""),"",IF(AND(T35="",U35&lt;&gt;"",V35&lt;&gt;""),ROUND(ROUND(V35,3)-ROUND(U35,3),3)*1000,IF(AND(T35&lt;&gt;"",U35&lt;&gt;"",V35&lt;&gt;""),ROUND(ROUND(V34,3)-ROUND(U35,3),3)*1000,""))),"")</f>
        <v/>
      </c>
      <c r="X35" s="85" t="str">
        <f>IF(AND(NOT(ISNA(VLOOKUP(S35,A6:E105,5,FALSE))),T35="",U35&lt;&gt;""),ROUND((VLOOKUP(S35,A6:E105,5,FALSE)-W35)/1000,3),IF(AND(NOT(ISNA(VLOOKUP(S35,G6:K105,5,FALSE))),T35="",U35&lt;&gt;""),ROUND((VLOOKUP(S35,G6:K105,5,FALSE)-W35)/1000,3),IF(AND(NOT(ISNA(VLOOKUP(S35,M6:Q105,5,FALSE))),T35="",U35&lt;&gt;""),ROUND((VLOOKUP(S35,M6:Q105,5,FALSE)-W35)/1000,3),IF(AND(NOT(ISNA(VLOOKUP(S35,S6:W34,5,FALSE))),T35="",U35&lt;&gt;""),ROUND((VLOOKUP(S35,S6:W34,5,FALSE)-W35)/1000,3),""))))</f>
        <v/>
      </c>
      <c r="Y35" s="81">
        <f>IF(Y34="","",Y34+1)</f>
        <v>429</v>
      </c>
      <c r="Z35" s="82"/>
      <c r="AA35" s="82"/>
      <c r="AB35" s="83" t="str">
        <f>IF(AND(Z35&lt;&gt;"",AA35&lt;&gt;""),ROUND(Z35,3)+ROUND(AB34,3)-ROUND(AA35,3),IF(AND(EXACT(UPPER(Y35),"TBM"),Z35&lt;&gt;""),ROUND(Z35,3),IF(Z35="",AB34,IF(ISNA(VLOOKUP(Y35,A6:E105,5,FALSE)),IF(ISNA(VLOOKUP(Y35,G6:K105,5,FALSE)),IF(ISNA(VLOOKUP(Y35,M6:Q105,5,FALSE)),IF(ISNA(VLOOKUP(Y35,S6:W105,5,FALSE)),IF(ISNA(VLOOKUP(Y35,Y6:AC34,5,FALSE)),"",ROUND(VLOOKUP(Y35,Y6:AC34,5,FALSE),0)/1000+ROUND(Z35,3)),ROUND(VLOOKUP(Y35,S6:W105,5,FALSE),0)/1000+ROUND(Z35,3)),ROUND(VLOOKUP(Y35,M6:Q105,5,FALSE),0)/1000+ROUND(Z35,3)),ROUND(VLOOKUP(Y35,G6:K105,5,FALSE),0)/1000+ROUND(Z35,3)),ROUND(VLOOKUP(Y35,A6:E105,5,FALSE),0)/1000+ROUND(Z35,3)))))</f>
        <v/>
      </c>
      <c r="AC35" s="88" t="str">
        <f>IF(OR(NOT(EXACT(UPPER(Y35),"TBM")),Z35=""),IF(AND(Z35&lt;&gt;"",AA35="",AB35&lt;&gt;""),"",IF(AND(Z35="",AA35&lt;&gt;"",AB35&lt;&gt;""),ROUND(ROUND(AB35,3)-ROUND(AA35,3),3)*1000,IF(AND(Z35&lt;&gt;"",AA35&lt;&gt;"",AB35&lt;&gt;""),ROUND(ROUND(AB34,3)-ROUND(AA35,3),3)*1000,""))),"")</f>
        <v/>
      </c>
      <c r="AD35" s="85" t="str">
        <f>IF(AND(NOT(ISNA(VLOOKUP(Y35,A6:E105,5,FALSE))),Z35="",AA35&lt;&gt;""),ROUND((VLOOKUP(Y35,A6:E105,5,FALSE)-AC35)/1000,3),IF(AND(NOT(ISNA(VLOOKUP(Y35,G6:K105,5,FALSE))),Z35="",AA35&lt;&gt;""),ROUND((VLOOKUP(Y35,G6:K105,5,FALSE)-AC35)/1000,3),IF(AND(NOT(ISNA(VLOOKUP(Y35,M6:Q105,5,FALSE))),Z35="",AA35&lt;&gt;""),ROUND((VLOOKUP(Y35,M6:Q105,5,FALSE)-AC35)/1000,3),IF(AND(NOT(ISNA(VLOOKUP(Y35,S6:W105,5,FALSE))),Z35="",AA35&lt;&gt;""),ROUND((VLOOKUP(Y35,S6:W105,5,FALSE)-AC35)/1000,3),IF(AND(NOT(ISNA(VLOOKUP(Y35,Y6:AC34,5,FALSE))),Z35="",AA35&lt;&gt;""),ROUND((VLOOKUP(Y35,Y6:AC34,5,FALSE)-AC35)/1000,3),"")))))</f>
        <v/>
      </c>
      <c r="AE35" s="81">
        <f>IF(AE34="","",AE34+1)</f>
        <v>529</v>
      </c>
      <c r="AF35" s="82"/>
      <c r="AG35" s="82"/>
      <c r="AH35" s="83" t="str">
        <f>IF(AND(AF35&lt;&gt;"",AG35&lt;&gt;""),ROUND(AF35,3)+ROUND(AH34,3)-ROUND(AG35,3),IF(AND(EXACT(UPPER(AE35),"TBM"),AF35&lt;&gt;""),ROUND(AF35,3),IF(AF35="",AH34,IF(ISNA(VLOOKUP(AE35,A6:E105,5,FALSE)),IF(ISNA(VLOOKUP(AE35,G6:K105,5,FALSE)),IF(ISNA(VLOOKUP(AE35,M6:Q105,5,FALSE)),IF(ISNA(VLOOKUP(AE35,S6:W105,5,FALSE)),IF(ISNA(VLOOKUP(AE35,Y6:AC105,5,FALSE)),IF(ISNA(VLOOKUP(AE35,AE6:AI34,5,FALSE)),"",ROUND(VLOOKUP(AE35,AE6:AI34,5,FALSE),0)/1000+ROUND(AF35,3)),ROUND(VLOOKUP(AE35,Y6:AC105,5,FALSE),0)/1000+ROUND(AF35,3)),ROUND(VLOOKUP(AE35,S6:W105,5,FALSE),0)/1000+ROUND(AF35,3)),ROUND(VLOOKUP(AE35,M6:Q105,5,FALSE),0)/1000+ROUND(AF35,3)),ROUND(VLOOKUP(AE35,G6:K105,5,FALSE),0)/1000+ROUND(AF35,3)),ROUND(VLOOKUP(AE35,A6:E105,5,FALSE),0)/1000+ROUND(AF35,3)))))</f>
        <v/>
      </c>
      <c r="AI35" s="88" t="str">
        <f>IF(OR(NOT(EXACT(UPPER(AE35),"TBM")),AF35=""),IF(AND(AF35&lt;&gt;"",AG35="",AH35&lt;&gt;""),"",IF(AND(AF35="",AG35&lt;&gt;"",AH35&lt;&gt;""),ROUND(ROUND(AH35,3)-ROUND(AG35,3),3)*1000,IF(AND(AF35&lt;&gt;"",AG35&lt;&gt;"",AH35&lt;&gt;""),ROUND(ROUND(AH34,3)-ROUND(AG35,3),3)*1000,""))),"")</f>
        <v/>
      </c>
      <c r="AJ35" s="85" t="str">
        <f>IF(AND(NOT(ISNA(VLOOKUP(AE35,A6:E105,5,FALSE))),AF35="",AG35&lt;&gt;""),ROUND((VLOOKUP(AE35,A6:E105,5,FALSE)-AI35)/1000,3),IF(AND(NOT(ISNA(VLOOKUP(AE35,G6:K105,5,FALSE))),AF35="",AG35&lt;&gt;""),ROUND((VLOOKUP(AE35,G6:K105,5,FALSE)-AI35)/1000,3),IF(AND(NOT(ISNA(VLOOKUP(AE35,M6:Q105,5,FALSE))),AF35="",AG35&lt;&gt;""),ROUND((VLOOKUP(AE35,M6:Q105,5,FALSE)-AI35)/1000,3),IF(AND(NOT(ISNA(VLOOKUP(AE35,S6:W105,5,FALSE))),AF35="",AG35&lt;&gt;""),ROUND((VLOOKUP(AE35,S6:W105,5,FALSE)-AI35)/1000,3),IF(AND(NOT(ISNA(VLOOKUP(AE35,Y6:AC105,5,FALSE))),AF35="",AG35&lt;&gt;""),ROUND((VLOOKUP(AE35,Y6:AC105,5,FALSE)-AI35)/1000,3),IF(AND(NOT(ISNA(VLOOKUP(AE35,AE6:AI34,5,FALSE))),AF35="",AG35&lt;&gt;""),ROUND((VLOOKUP(AE35,AE6:AI34,5,FALSE)-AI35)/1000,3),""))))))</f>
        <v/>
      </c>
      <c r="AK35" s="81">
        <f>IF(AK34="","",AK34+1)</f>
        <v>629</v>
      </c>
      <c r="AL35" s="82"/>
      <c r="AM35" s="82"/>
      <c r="AN35" s="83" t="str">
        <f>IF(AND(AL35&lt;&gt;"",AM35&lt;&gt;""),ROUND(AL35,3)+ROUND(AN34,3)-ROUND(AM35,3),IF(AND(EXACT(UPPER(AK35),"TBM"),AL35&lt;&gt;""),ROUND(AL35,3),IF(AL35="",AN34,IF(ISNA(VLOOKUP(AK35,A6:E105,5,FALSE)),IF(ISNA(VLOOKUP(AK35,G6:K105,5,FALSE)),IF(ISNA(VLOOKUP(AK35,M6:Q105,5,FALSE)),IF(ISNA(VLOOKUP(AK35,S6:W105,5,FALSE)),IF(ISNA(VLOOKUP(AK35,Y6:AC105,5,FALSE)),IF(ISNA(VLOOKUP(AK35,AE6:AI105,5,FALSE)),IF(ISNA(VLOOKUP(AK35,AK6:AO34,5,FALSE)),"",ROUND(VLOOKUP(AK35,AK6:AO34,5,FALSE),0)/1000+ROUND(AL35,3)),ROUND(VLOOKUP(AK35,AE6:AI105,5,FALSE),0)/1000+ROUND(AL35,3)),ROUND(VLOOKUP(AK35,Y6:AC105,5,FALSE),0)/1000+ROUND(AL35,3)),ROUND(VLOOKUP(AK35,S6:W105,5,FALSE),0)/1000+ROUND(AL35,3)),ROUND(VLOOKUP(AK35,M6:Q105,5,FALSE),0)/1000+ROUND(AL35,3)),ROUND(VLOOKUP(AK35,G6:K105,5,FALSE),0)/1000+ROUND(AL35,3)),ROUND(VLOOKUP(AK35,A6:E105,5,FALSE),0)/1000+ROUND(AL35,3)))))</f>
        <v/>
      </c>
      <c r="AO35" s="88" t="str">
        <f>IF(OR(NOT(EXACT(UPPER(AK35),"TBM")),AL35=""),IF(AND(AL35&lt;&gt;"",AM35="",AN35&lt;&gt;""),"",IF(AND(AL35="",AM35&lt;&gt;"",AN35&lt;&gt;""),ROUND(ROUND(AN35,3)-ROUND(AM35,3),3)*1000,IF(AND(AL35&lt;&gt;"",AM35&lt;&gt;"",AN35&lt;&gt;""),ROUND(ROUND(AN34,3)-ROUND(AM35,3),3)*1000,""))),"")</f>
        <v/>
      </c>
      <c r="AP35" s="85" t="str">
        <f>IF(AND(NOT(ISNA(VLOOKUP(AK35,A6:E105,5,FALSE))),AL35="",AM35&lt;&gt;""),ROUND((VLOOKUP(AK35,A6:E105,5,FALSE)-AO35)/1000,3),IF(AND(NOT(ISNA(VLOOKUP(AK35,G6:K105,5,FALSE))),AL35="",AM35&lt;&gt;""),ROUND((VLOOKUP(AK35,G6:K105,5,FALSE)-AO35)/1000,3),IF(AND(NOT(ISNA(VLOOKUP(AK35,M6:Q105,5,FALSE))),AL35="",AM35&lt;&gt;""),ROUND((VLOOKUP(AK35,M6:Q105,5,FALSE)-AO35)/1000,3),IF(AND(NOT(ISNA(VLOOKUP(AK35,S6:W105,5,FALSE))),AL35="",AM35&lt;&gt;""),ROUND((VLOOKUP(AK35,S6:W105,5,FALSE)-AO35)/1000,3),IF(AND(NOT(ISNA(VLOOKUP(AK35,Y6:AC105,5,FALSE))),AL35="",AM35&lt;&gt;""),ROUND((VLOOKUP(AK35,Y6:AC105,5,FALSE)-AO35)/1000,3),IF(AND(NOT(ISNA(VLOOKUP(AK35,AE6:AI105,5,FALSE))),AL35="",AM35&lt;&gt;""),ROUND((VLOOKUP(AK35,AE6:AI105,5,FALSE)-AO35)/1000,3),IF(AND(NOT(ISNA(VLOOKUP(AK35,AK6:AO34,5,FALSE))),AL35="",AM35&lt;&gt;""),ROUND((VLOOKUP(AK35,AK6:AO34,5,FALSE)-AO35)/1000,3),"")))))))</f>
        <v/>
      </c>
      <c r="AQ35" s="81">
        <f>IF(AQ34="","",AQ34+1)</f>
        <v>729</v>
      </c>
      <c r="AR35" s="82"/>
      <c r="AS35" s="82"/>
      <c r="AT35" s="83" t="str">
        <f>IF(AND(AR35&lt;&gt;"",AS35&lt;&gt;""),ROUND(AR35,3)+ROUND(AT34,3)-ROUND(AS35,3),IF(AND(EXACT(UPPER(AQ35),"TBM"),AR35&lt;&gt;""),ROUND(AR35,3),IF(AR35="",AT34,IF(ISNA(VLOOKUP(AQ35,A6:E105,5,FALSE)),IF(ISNA(VLOOKUP(AQ35,G6:K105,5,FALSE)),IF(ISNA(VLOOKUP(AQ35,M6:Q105,5,FALSE)),IF(ISNA(VLOOKUP(AQ35,S6:W105,5,FALSE)),IF(ISNA(VLOOKUP(AQ35,Y6:AC105,5,FALSE)),IF(ISNA(VLOOKUP(AQ35,AE6:AI105,5,FALSE)),IF(ISNA(VLOOKUP(AQ35,AK6:AO105,5,FALSE)),IF(ISNA(VLOOKUP(AQ35,AQ6:AU34,5,FALSE)),"",ROUND(VLOOKUP(AQ35,AQ6:AU34,5,FALSE),0)/1000+ROUND(AR35,3)),ROUND(VLOOKUP(AQ35,AK6:AO105,5,FALSE),0)/1000+ROUND(AR35,3)),ROUND(VLOOKUP(AQ35,AE6:AI105,5,FALSE),0)/1000+ROUND(AR35,3)),ROUND(VLOOKUP(AQ35,Y6:AC105,5,FALSE),0)/1000+ROUND(AR35,3)),ROUND(VLOOKUP(AQ35,S6:W105,5,FALSE),0)/1000+ROUND(AR35,3)),ROUND(VLOOKUP(AQ35,M6:Q105,5,FALSE),0)/1000+ROUND(AR35,3)),ROUND(VLOOKUP(AQ35,G6:K105,5,FALSE),0)/1000+ROUND(AR35,3)),ROUND(VLOOKUP(AQ35,A6:E105,5,FALSE),0)/1000+ROUND(AR35,3)))))</f>
        <v/>
      </c>
      <c r="AU35" s="88" t="str">
        <f>IF(OR(NOT(EXACT(UPPER(AQ35),"TBM")),AR35=""),IF(AND(AR35&lt;&gt;"",AS35="",AT35&lt;&gt;""),"",IF(AND(AR35="",AS35&lt;&gt;"",AT35&lt;&gt;""),ROUND(ROUND(AT35,3)-ROUND(AS35,3),3)*1000,IF(AND(AR35&lt;&gt;"",AS35&lt;&gt;"",AT35&lt;&gt;""),ROUND(ROUND(AT34,3)-ROUND(AS35,3),3)*1000,""))),"")</f>
        <v/>
      </c>
      <c r="AV35" s="85" t="str">
        <f>IF(AND(NOT(ISNA(VLOOKUP(AQ35,A6:E105,5,FALSE))),AR35="",AS35&lt;&gt;""),ROUND((VLOOKUP(AQ35,A6:E105,5,FALSE)-AU35)/1000,3),IF(AND(NOT(ISNA(VLOOKUP(AQ35,G6:K105,5,FALSE))),AR35="",AS35&lt;&gt;""),ROUND((VLOOKUP(AQ35,G6:K105,5,FALSE)-AU35)/1000,3),IF(AND(NOT(ISNA(VLOOKUP(AQ35,M6:Q105,5,FALSE))),AR35="",AS35&lt;&gt;""),ROUND((VLOOKUP(AQ35,M6:Q105,5,FALSE)-AU35)/1000,3),IF(AND(NOT(ISNA(VLOOKUP(AQ35,S6:W105,5,FALSE))),AR35="",AS35&lt;&gt;""),ROUND((VLOOKUP(AQ35,S6:W105,5,FALSE)-AU35)/1000,3),IF(AND(NOT(ISNA(VLOOKUP(AQ35,Y6:AC105,5,FALSE))),AR35="",AS35&lt;&gt;""),ROUND((VLOOKUP(AQ35,Y6:AC105,5,FALSE)-AU35)/1000,3),IF(AND(NOT(ISNA(VLOOKUP(AQ35,AE6:AI105,5,FALSE))),AR35="",AS35&lt;&gt;""),ROUND((VLOOKUP(AQ35,AE6:AI105,5,FALSE)-AU35)/1000,3),IF(AND(NOT(ISNA(VLOOKUP(AQ35,AK6:AO105,5,FALSE))),AR35="",AS35&lt;&gt;""),ROUND((VLOOKUP(AQ35,AK6:AO105,5,FALSE)-AU35)/1000,3),IF(AND(NOT(ISNA(VLOOKUP(AQ35,AQ6:AU34,5,FALSE))),AR35="",AS35&lt;&gt;""),ROUND((VLOOKUP(AQ35,AQ6:AU34,5,FALSE)-AU35)/1000,3),""))))))))</f>
        <v/>
      </c>
      <c r="AW35" s="81">
        <f>IF(AW34="","",AW34+1)</f>
        <v>829</v>
      </c>
      <c r="AX35" s="82"/>
      <c r="AY35" s="82"/>
      <c r="AZ35" s="83" t="str">
        <f>IF(AND(AX35&lt;&gt;"",AY35&lt;&gt;""),ROUND(AX35,3)+ROUND(AZ34,3)-ROUND(AY35,3),IF(AND(EXACT(UPPER(AW35),"TBM"),AX35&lt;&gt;""),ROUND(AX35,3),IF(AX35="",AZ34,IF(ISNA(VLOOKUP(AW35,A6:E105,5,FALSE)),IF(ISNA(VLOOKUP(AW35,G6:K105,5,FALSE)),IF(ISNA(VLOOKUP(AW35,M6:Q105,5,FALSE)),IF(ISNA(VLOOKUP(AW35,S6:W105,5,FALSE)),IF(ISNA(VLOOKUP(AW35,Y6:AC105,5,FALSE)),IF(ISNA(VLOOKUP(AW35,AE6:AI105,5,FALSE)),IF(ISNA(VLOOKUP(AW35,AK6:AO105,5,FALSE)),IF(ISNA(VLOOKUP(AW35,AQ6:AU105,5,FALSE)),IF(ISNA(VLOOKUP(AW35,AW6:BA34,5,FALSE)),"",ROUND(VLOOKUP(AW35,AW6:BA34,5,FALSE),0)/1000+ROUND(AX35,3)),ROUND(VLOOKUP(AW35,AQ6:AU105,5,FALSE),0)/1000+ROUND(AX35,3)),ROUND(VLOOKUP(AW35,AK6:AO105,5,FALSE),0)/1000+ROUND(AX35,3)),ROUND(VLOOKUP(AW35,AE6:AI105,5,FALSE),0)/1000+ROUND(AX35,3)),ROUND(VLOOKUP(AW35,Y6:AC105,5,FALSE),0)/1000+ROUND(AX35,3)),ROUND(VLOOKUP(AW35,S6:W105,5,FALSE),0)/1000+ROUND(AX35,3)),ROUND(VLOOKUP(AW35,M6:Q105,5,FALSE),0)/1000+ROUND(AX35,3)),ROUND(VLOOKUP(AW35,G6:K105,5,FALSE),0)/1000+ROUND(AX35,3)),ROUND(VLOOKUP(AW35,A6:E105,5,FALSE),0)/1000+ROUND(AX35,3)))))</f>
        <v/>
      </c>
      <c r="BA35" s="88" t="str">
        <f>IF(OR(NOT(EXACT(UPPER(AW35),"TBM")),AX35=""),IF(AND(AX35&lt;&gt;"",AY35="",AZ35&lt;&gt;""),"",IF(AND(AX35="",AY35&lt;&gt;"",AZ35&lt;&gt;""),ROUND(ROUND(AZ35,3)-ROUND(AY35,3),3)*1000,IF(AND(AX35&lt;&gt;"",AY35&lt;&gt;"",AZ35&lt;&gt;""),ROUND(ROUND(AZ34,3)-ROUND(AY35,3),3)*1000,""))),"")</f>
        <v/>
      </c>
      <c r="BB35" s="85" t="str">
        <f>IF(AND(NOT(ISNA(VLOOKUP(AW35,A6:E105,5,FALSE))),AX35="",AY35&lt;&gt;""),ROUND((VLOOKUP(AW35,A6:E105,5,FALSE)-BA35)/1000,3),IF(AND(NOT(ISNA(VLOOKUP(AW35,G6:K105,5,FALSE))),AX35="",AY35&lt;&gt;""),ROUND((VLOOKUP(AW35,G6:K105,5,FALSE)-BA35)/1000,3),IF(AND(NOT(ISNA(VLOOKUP(AW35,M6:Q105,5,FALSE))),AX35="",AY35&lt;&gt;""),ROUND((VLOOKUP(AW35,M6:Q105,5,FALSE)-BA35)/1000,3),IF(AND(NOT(ISNA(VLOOKUP(AW35,S6:W105,5,FALSE))),AX35="",AY35&lt;&gt;""),ROUND((VLOOKUP(AW35,S6:W105,5,FALSE)-BA35)/1000,3),IF(AND(NOT(ISNA(VLOOKUP(AW35,Y6:AC105,5,FALSE))),AX35="",AY35&lt;&gt;""),ROUND((VLOOKUP(AW35,Y6:AC105,5,FALSE)-BA35)/1000,3),IF(AND(NOT(ISNA(VLOOKUP(AW35,AE6:AI105,5,FALSE))),AX35="",AY35&lt;&gt;""),ROUND((VLOOKUP(AW35,AE6:AI105,5,FALSE)-BA35)/1000,3),IF(AND(NOT(ISNA(VLOOKUP(AW35,AK6:AO105,5,FALSE))),AX35="",AY35&lt;&gt;""),ROUND((VLOOKUP(AW35,AK6:AO105,5,FALSE)-BA35)/1000,3),IF(AND(NOT(ISNA(VLOOKUP(AW35,AQ6:AU105,5,FALSE))),AX35="",AY35&lt;&gt;""),ROUND((VLOOKUP(AW35,AQ6:AU105,5,FALSE)-BA35)/1000,3),IF(AND(NOT(ISNA(VLOOKUP(AW35,AW6:BA34,5,FALSE))),AX35="",AY35&lt;&gt;""),ROUND((VLOOKUP(AW35,AW6:BA34,5,FALSE)-BA35)/1000,3),"")))))))))</f>
        <v/>
      </c>
      <c r="BC35" s="81">
        <f>IF(BC34="","",BC34+1)</f>
        <v>929</v>
      </c>
      <c r="BD35" s="82"/>
      <c r="BE35" s="82"/>
      <c r="BF35" s="83" t="str">
        <f>IF(AND(BD35&lt;&gt;"",BE35&lt;&gt;""),ROUND(BD35,3)+ROUND(BF34,3)-ROUND(BE35,3),IF(AND(EXACT(UPPER(BC35),"TBM"),BD35&lt;&gt;""),ROUND(BD35,3),IF(BD35="",BF34,IF(ISNA(VLOOKUP(BC35,A6:E105,5,FALSE)),IF(ISNA(VLOOKUP(BC35,G6:K105,5,FALSE)),IF(ISNA(VLOOKUP(BC35,M6:Q105,5,FALSE)),IF(ISNA(VLOOKUP(BC35,S6:W105,5,FALSE)),IF(ISNA(VLOOKUP(BC35,Y6:AC105,5,FALSE)),IF(ISNA(VLOOKUP(BC35,AE6:AI105,5,FALSE)),IF(ISNA(VLOOKUP(BC35,AK6:AO105,5,FALSE)),IF(ISNA(VLOOKUP(BC35,AQ6:AU105,5,FALSE)),IF(ISNA(VLOOKUP(BC35,AW6:BA105,5,FALSE)),IF(ISNA(VLOOKUP(BC35,BC6:BG34,5,FALSE)),"",ROUND(VLOOKUP(BC35,BC6:BG34,5,FALSE),0)/1000+ROUND(BD35,3)),ROUND(VLOOKUP(BC35,AW6:BA105,5,FALSE),0)/1000+ROUND(BD35,3)),ROUND(VLOOKUP(BC35,AQ6:AU105,5,FALSE),0)/1000+ROUND(BD35,3)),ROUND(VLOOKUP(BC35,AK6:AO105,5,FALSE),0)/1000+ROUND(BD35,3)),ROUND(VLOOKUP(BC35,AE6:AI105,5,FALSE),0)/1000+ROUND(BD35,3)),ROUND(VLOOKUP(BC35,Y6:AC105,5,FALSE),0)/1000+ROUND(BD35,3)),ROUND(VLOOKUP(BC35,S6:W105,5,FALSE),0)/1000+ROUND(BD35,3)),ROUND(VLOOKUP(BC35,M6:Q105,5,FALSE),0)/1000+ROUND(BD35,3)),ROUND(VLOOKUP(BC35,G6:K105,5,FALSE),0)/1000+ROUND(BD35,3)),ROUND(VLOOKUP(BC35,A6:E105,5,FALSE),0)/1000+ROUND(BD35,3)))))</f>
        <v/>
      </c>
      <c r="BG35" s="88" t="str">
        <f>IF(OR(NOT(EXACT(UPPER(BC35),"TBM")),BD35=""),IF(AND(BD35&lt;&gt;"",BE35="",BF35&lt;&gt;""),"",IF(AND(BD35="",BE35&lt;&gt;"",BF35&lt;&gt;""),ROUND(ROUND(BF35,3)-ROUND(BE35,3),3)*1000,IF(AND(BD35&lt;&gt;"",BE35&lt;&gt;"",BF35&lt;&gt;""),ROUND(ROUND(BF34,3)-ROUND(BE35,3),3)*1000,""))),"")</f>
        <v/>
      </c>
      <c r="BH35" s="85" t="str">
        <f>IF(AND(NOT(ISNA(VLOOKUP(BC35,A6:E105,5,FALSE))),BD35="",BE35&lt;&gt;""),ROUND((VLOOKUP(BC35,A6:E105,5,FALSE)-BG35)/1000,3),IF(AND(NOT(ISNA(VLOOKUP(BC35,G6:K105,5,FALSE))),BD35="",BE35&lt;&gt;""),ROUND((VLOOKUP(BC35,G6:K105,5,FALSE)-BG35)/1000,3),IF(AND(NOT(ISNA(VLOOKUP(BC35,M6:Q105,5,FALSE))),BD35="",BE35&lt;&gt;""),ROUND((VLOOKUP(BC35,M6:Q105,5,FALSE)-BG35)/1000,3),IF(AND(NOT(ISNA(VLOOKUP(BC35,S6:W105,5,FALSE))),BD35="",BE35&lt;&gt;""),ROUND((VLOOKUP(BC35,S6:W105,5,FALSE)-BG35)/1000,3),IF(AND(NOT(ISNA(VLOOKUP(BC35,Y6:AC105,5,FALSE))),BD35="",BE35&lt;&gt;""),ROUND((VLOOKUP(BC35,Y6:AC105,5,FALSE)-BG35)/1000,3),IF(AND(NOT(ISNA(VLOOKUP(BC35,AE6:AI105,5,FALSE))),BD35="",BE35&lt;&gt;""),ROUND((VLOOKUP(BC35,AE6:AI105,5,FALSE)-BG35)/1000,3),IF(AND(NOT(ISNA(VLOOKUP(BC35,AK6:AO105,5,FALSE))),BD35="",BE35&lt;&gt;""),ROUND((VLOOKUP(BC35,AK6:AO105,5,FALSE)-BG35)/1000,3),IF(AND(NOT(ISNA(VLOOKUP(BC35,AQ6:AU105,5,FALSE))),BD35="",BE35&lt;&gt;""),ROUND((VLOOKUP(BC35,AQ6:AU105,5,FALSE)-BG35)/1000,3),IF(AND(NOT(ISNA(VLOOKUP(BC35,AW6:BA105,5,FALSE))),BD35="",BE35&lt;&gt;""),ROUND((VLOOKUP(BC35,AW6:BA105,5,FALSE)-BG35)/1000,3),IF(AND(NOT(ISNA(VLOOKUP(BC35,BC6:BG34,5,FALSE))),BD35="",BE35&lt;&gt;""),ROUND((VLOOKUP(BC35,BC6:BG34,5,FALSE)-BG35)/1000,3),""))))))))))</f>
        <v/>
      </c>
    </row>
    <row r="36" spans="1:60" x14ac:dyDescent="0.25">
      <c r="A36" s="64">
        <f t="shared" si="3"/>
        <v>30</v>
      </c>
      <c r="B36" s="43"/>
      <c r="C36" s="43"/>
      <c r="D36" s="17" t="str">
        <f>IF(AND(B36&lt;&gt;"",C36&lt;&gt;""),ROUND(B36,3)+ROUND(D35,3)-ROUND(C36,3),IF(AND(EXACT(UPPER(A36),"TBM"),B36&lt;&gt;""),ROUND(B36,3),IF(B36="",D35,IF(ISNA(VLOOKUP(A36,A6:E35,5,FALSE)),"",ROUND(VLOOKUP(A36,A6:E35,5,FALSE),0)/1000+ROUND(B36,3)))))</f>
        <v/>
      </c>
      <c r="E36" s="22" t="str">
        <f t="shared" si="0"/>
        <v/>
      </c>
      <c r="F36" s="44" t="str">
        <f>IF(AND(NOT(ISNA(VLOOKUP(A36,A6:E35,5,FALSE))),B36="",C36&lt;&gt;""),ROUND((VLOOKUP(A36,A6:E35,5,FALSE)-E36)/1000,3),"")</f>
        <v/>
      </c>
      <c r="G36" s="64">
        <f t="shared" si="1"/>
        <v>130</v>
      </c>
      <c r="H36" s="43"/>
      <c r="I36" s="43"/>
      <c r="J36" s="17" t="str">
        <f>IF(AND(H36&lt;&gt;"",I36&lt;&gt;""),ROUND(H36,3)+ROUND(J35,3)-ROUND(I36,3),IF(AND(EXACT(UPPER(G36),"TBM"),H36&lt;&gt;""),ROUND(H36,3),IF(H36="",J35,IF(ISNA(VLOOKUP(G36,A6:E105,5,FALSE)),IF(ISNA(VLOOKUP(G36,G6:K35,5,FALSE)),"",ROUND(VLOOKUP(G36,G6:K35,5,FALSE),0)/1000+ROUND(H36,3)),ROUND(VLOOKUP(G36,A6:E105,5,FALSE),0)/1000+ROUND(H36,3)))))</f>
        <v/>
      </c>
      <c r="K36" s="18" t="str">
        <f t="shared" si="2"/>
        <v/>
      </c>
      <c r="L36" s="44" t="str">
        <f>IF(AND(NOT(ISNA(VLOOKUP(G36,A6:E105,5,FALSE))),H36="",I36&lt;&gt;""),ROUND((VLOOKUP(G36,A6:E105,5,FALSE)-K36)/1000,3),IF(AND(NOT(ISNA(VLOOKUP(G36,G6:K35,5,FALSE))),H36="",I36&lt;&gt;""),ROUND((VLOOKUP(G36,G6:K35,5,FALSE)-K36)/1000,3),""))</f>
        <v/>
      </c>
      <c r="M36" s="64">
        <f>IF(M35="","",M35+1)</f>
        <v>230</v>
      </c>
      <c r="N36" s="43"/>
      <c r="O36" s="43"/>
      <c r="P36" s="17" t="str">
        <f>IF(AND(N36&lt;&gt;"",O36&lt;&gt;""),ROUND(N36,3)+ROUND(P35,3)-ROUND(O36,3),IF(AND(EXACT(UPPER(M36),"TBM"),N36&lt;&gt;""),ROUND(N36,3),IF(N36="",P35,IF(ISNA(VLOOKUP(M36,A6:E105,5,FALSE)),IF(ISNA(VLOOKUP(M36,G6:K105,5,FALSE)),IF(ISNA(VLOOKUP(M36,M6:Q35,5,FALSE)),"",ROUND(VLOOKUP(M36,M6:Q35,5,FALSE),0)/1000+ROUND(N36,3)),ROUND(VLOOKUP(M36,G6:K105,5,FALSE),0)/1000+ROUND(N36,3)),ROUND(VLOOKUP(M36,A6:E105,5,FALSE),0)/1000+ROUND(N36,3)))))</f>
        <v/>
      </c>
      <c r="Q36" s="18" t="str">
        <f>IF(OR(NOT(EXACT(UPPER(M36),"TBM")),N36=""),IF(AND(N36&lt;&gt;"",O36="",P36&lt;&gt;""),"",IF(AND(N36="",O36&lt;&gt;"",P36&lt;&gt;""),ROUND(ROUND(P36,3)-ROUND(O36,3),3)*1000,IF(AND(N36&lt;&gt;"",O36&lt;&gt;"",P36&lt;&gt;""),ROUND(ROUND(P35,3)-ROUND(O36,3),3)*1000,""))),"")</f>
        <v/>
      </c>
      <c r="R36" s="44" t="str">
        <f>IF(AND(NOT(ISNA(VLOOKUP(M36,A6:E105,5,FALSE))),N36="",O36&lt;&gt;""),ROUND((VLOOKUP(M36,A6:E105,5,FALSE)-Q36)/1000,3),IF(AND(NOT(ISNA(VLOOKUP(M36,G6:K105,5,FALSE))),N36="",O36&lt;&gt;""),ROUND((VLOOKUP(M36,G6:K105,5,FALSE)-Q36)/1000,3),IF(AND(NOT(ISNA(VLOOKUP(M36,M6:Q35,5,FALSE))),N36="",O36&lt;&gt;""),ROUND((VLOOKUP(M36,M6:Q35,5,FALSE)-Q36)/1000,3),"")))</f>
        <v/>
      </c>
      <c r="S36" s="64">
        <f>IF(S35="","",S35+1)</f>
        <v>330</v>
      </c>
      <c r="T36" s="43"/>
      <c r="U36" s="43"/>
      <c r="V36" s="17" t="str">
        <f>IF(AND(T36&lt;&gt;"",U36&lt;&gt;""),ROUND(T36,3)+ROUND(V35,3)-ROUND(U36,3),IF(AND(EXACT(UPPER(S36),"TBM"),T36&lt;&gt;""),ROUND(T36,3),IF(T36="",V35,IF(ISNA(VLOOKUP(S36,A6:E105,5,FALSE)),IF(ISNA(VLOOKUP(S36,G6:K105,5,FALSE)),IF(ISNA(VLOOKUP(S36,M6:Q105,5,FALSE)),IF(ISNA(VLOOKUP(S36,S6:W35,5,FALSE)),"",ROUND(VLOOKUP(S36,S6:W35,5,FALSE),0)/1000+ROUND(T36,3)),ROUND(VLOOKUP(S36,M6:Q105,5,FALSE),0)/1000+ROUND(T36,3)),ROUND(VLOOKUP(S36,G6:K105,5,FALSE),0)/1000+ROUND(T36,3)),ROUND(VLOOKUP(S36,A6:E105,5,FALSE),0)/1000+ROUND(T36,3)))))</f>
        <v/>
      </c>
      <c r="W36" s="18" t="str">
        <f>IF(OR(NOT(EXACT(UPPER(S36),"TBM")),T36=""),IF(AND(T36&lt;&gt;"",U36="",V36&lt;&gt;""),"",IF(AND(T36="",U36&lt;&gt;"",V36&lt;&gt;""),ROUND(ROUND(V36,3)-ROUND(U36,3),3)*1000,IF(AND(T36&lt;&gt;"",U36&lt;&gt;"",V36&lt;&gt;""),ROUND(ROUND(V35,3)-ROUND(U36,3),3)*1000,""))),"")</f>
        <v/>
      </c>
      <c r="X36" s="44" t="str">
        <f>IF(AND(NOT(ISNA(VLOOKUP(S36,A6:E105,5,FALSE))),T36="",U36&lt;&gt;""),ROUND((VLOOKUP(S36,A6:E105,5,FALSE)-W36)/1000,3),IF(AND(NOT(ISNA(VLOOKUP(S36,G6:K105,5,FALSE))),T36="",U36&lt;&gt;""),ROUND((VLOOKUP(S36,G6:K105,5,FALSE)-W36)/1000,3),IF(AND(NOT(ISNA(VLOOKUP(S36,M6:Q105,5,FALSE))),T36="",U36&lt;&gt;""),ROUND((VLOOKUP(S36,M6:Q105,5,FALSE)-W36)/1000,3),IF(AND(NOT(ISNA(VLOOKUP(S36,S6:W35,5,FALSE))),T36="",U36&lt;&gt;""),ROUND((VLOOKUP(S36,S6:W35,5,FALSE)-W36)/1000,3),""))))</f>
        <v/>
      </c>
      <c r="Y36" s="64">
        <f>IF(Y35="","",Y35+1)</f>
        <v>430</v>
      </c>
      <c r="Z36" s="43"/>
      <c r="AA36" s="43"/>
      <c r="AB36" s="17" t="str">
        <f>IF(AND(Z36&lt;&gt;"",AA36&lt;&gt;""),ROUND(Z36,3)+ROUND(AB35,3)-ROUND(AA36,3),IF(AND(EXACT(UPPER(Y36),"TBM"),Z36&lt;&gt;""),ROUND(Z36,3),IF(Z36="",AB35,IF(ISNA(VLOOKUP(Y36,A6:E105,5,FALSE)),IF(ISNA(VLOOKUP(Y36,G6:K105,5,FALSE)),IF(ISNA(VLOOKUP(Y36,M6:Q105,5,FALSE)),IF(ISNA(VLOOKUP(Y36,S6:W105,5,FALSE)),IF(ISNA(VLOOKUP(Y36,Y6:AC35,5,FALSE)),"",ROUND(VLOOKUP(Y36,Y6:AC35,5,FALSE),0)/1000+ROUND(Z36,3)),ROUND(VLOOKUP(Y36,S6:W105,5,FALSE),0)/1000+ROUND(Z36,3)),ROUND(VLOOKUP(Y36,M6:Q105,5,FALSE),0)/1000+ROUND(Z36,3)),ROUND(VLOOKUP(Y36,G6:K105,5,FALSE),0)/1000+ROUND(Z36,3)),ROUND(VLOOKUP(Y36,A6:E105,5,FALSE),0)/1000+ROUND(Z36,3)))))</f>
        <v/>
      </c>
      <c r="AC36" s="18" t="str">
        <f>IF(OR(NOT(EXACT(UPPER(Y36),"TBM")),Z36=""),IF(AND(Z36&lt;&gt;"",AA36="",AB36&lt;&gt;""),"",IF(AND(Z36="",AA36&lt;&gt;"",AB36&lt;&gt;""),ROUND(ROUND(AB36,3)-ROUND(AA36,3),3)*1000,IF(AND(Z36&lt;&gt;"",AA36&lt;&gt;"",AB36&lt;&gt;""),ROUND(ROUND(AB35,3)-ROUND(AA36,3),3)*1000,""))),"")</f>
        <v/>
      </c>
      <c r="AD36" s="44" t="str">
        <f>IF(AND(NOT(ISNA(VLOOKUP(Y36,A6:E105,5,FALSE))),Z36="",AA36&lt;&gt;""),ROUND((VLOOKUP(Y36,A6:E105,5,FALSE)-AC36)/1000,3),IF(AND(NOT(ISNA(VLOOKUP(Y36,G6:K105,5,FALSE))),Z36="",AA36&lt;&gt;""),ROUND((VLOOKUP(Y36,G6:K105,5,FALSE)-AC36)/1000,3),IF(AND(NOT(ISNA(VLOOKUP(Y36,M6:Q105,5,FALSE))),Z36="",AA36&lt;&gt;""),ROUND((VLOOKUP(Y36,M6:Q105,5,FALSE)-AC36)/1000,3),IF(AND(NOT(ISNA(VLOOKUP(Y36,S6:W105,5,FALSE))),Z36="",AA36&lt;&gt;""),ROUND((VLOOKUP(Y36,S6:W105,5,FALSE)-AC36)/1000,3),IF(AND(NOT(ISNA(VLOOKUP(Y36,Y6:AC35,5,FALSE))),Z36="",AA36&lt;&gt;""),ROUND((VLOOKUP(Y36,Y6:AC35,5,FALSE)-AC36)/1000,3),"")))))</f>
        <v/>
      </c>
      <c r="AE36" s="64">
        <f>IF(AE35="","",AE35+1)</f>
        <v>530</v>
      </c>
      <c r="AF36" s="43"/>
      <c r="AG36" s="43"/>
      <c r="AH36" s="17" t="str">
        <f>IF(AND(AF36&lt;&gt;"",AG36&lt;&gt;""),ROUND(AF36,3)+ROUND(AH35,3)-ROUND(AG36,3),IF(AND(EXACT(UPPER(AE36),"TBM"),AF36&lt;&gt;""),ROUND(AF36,3),IF(AF36="",AH35,IF(ISNA(VLOOKUP(AE36,A6:E105,5,FALSE)),IF(ISNA(VLOOKUP(AE36,G6:K105,5,FALSE)),IF(ISNA(VLOOKUP(AE36,M6:Q105,5,FALSE)),IF(ISNA(VLOOKUP(AE36,S6:W105,5,FALSE)),IF(ISNA(VLOOKUP(AE36,Y6:AC105,5,FALSE)),IF(ISNA(VLOOKUP(AE36,AE6:AI35,5,FALSE)),"",ROUND(VLOOKUP(AE36,AE6:AI35,5,FALSE),0)/1000+ROUND(AF36,3)),ROUND(VLOOKUP(AE36,Y6:AC105,5,FALSE),0)/1000+ROUND(AF36,3)),ROUND(VLOOKUP(AE36,S6:W105,5,FALSE),0)/1000+ROUND(AF36,3)),ROUND(VLOOKUP(AE36,M6:Q105,5,FALSE),0)/1000+ROUND(AF36,3)),ROUND(VLOOKUP(AE36,G6:K105,5,FALSE),0)/1000+ROUND(AF36,3)),ROUND(VLOOKUP(AE36,A6:E105,5,FALSE),0)/1000+ROUND(AF36,3)))))</f>
        <v/>
      </c>
      <c r="AI36" s="18" t="str">
        <f>IF(OR(NOT(EXACT(UPPER(AE36),"TBM")),AF36=""),IF(AND(AF36&lt;&gt;"",AG36="",AH36&lt;&gt;""),"",IF(AND(AF36="",AG36&lt;&gt;"",AH36&lt;&gt;""),ROUND(ROUND(AH36,3)-ROUND(AG36,3),3)*1000,IF(AND(AF36&lt;&gt;"",AG36&lt;&gt;"",AH36&lt;&gt;""),ROUND(ROUND(AH35,3)-ROUND(AG36,3),3)*1000,""))),"")</f>
        <v/>
      </c>
      <c r="AJ36" s="44" t="str">
        <f>IF(AND(NOT(ISNA(VLOOKUP(AE36,A6:E105,5,FALSE))),AF36="",AG36&lt;&gt;""),ROUND((VLOOKUP(AE36,A6:E105,5,FALSE)-AI36)/1000,3),IF(AND(NOT(ISNA(VLOOKUP(AE36,G6:K105,5,FALSE))),AF36="",AG36&lt;&gt;""),ROUND((VLOOKUP(AE36,G6:K105,5,FALSE)-AI36)/1000,3),IF(AND(NOT(ISNA(VLOOKUP(AE36,M6:Q105,5,FALSE))),AF36="",AG36&lt;&gt;""),ROUND((VLOOKUP(AE36,M6:Q105,5,FALSE)-AI36)/1000,3),IF(AND(NOT(ISNA(VLOOKUP(AE36,S6:W105,5,FALSE))),AF36="",AG36&lt;&gt;""),ROUND((VLOOKUP(AE36,S6:W105,5,FALSE)-AI36)/1000,3),IF(AND(NOT(ISNA(VLOOKUP(AE36,Y6:AC105,5,FALSE))),AF36="",AG36&lt;&gt;""),ROUND((VLOOKUP(AE36,Y6:AC105,5,FALSE)-AI36)/1000,3),IF(AND(NOT(ISNA(VLOOKUP(AE36,AE6:AI35,5,FALSE))),AF36="",AG36&lt;&gt;""),ROUND((VLOOKUP(AE36,AE6:AI35,5,FALSE)-AI36)/1000,3),""))))))</f>
        <v/>
      </c>
      <c r="AK36" s="64">
        <f>IF(AK35="","",AK35+1)</f>
        <v>630</v>
      </c>
      <c r="AL36" s="43"/>
      <c r="AM36" s="43"/>
      <c r="AN36" s="17" t="str">
        <f>IF(AND(AL36&lt;&gt;"",AM36&lt;&gt;""),ROUND(AL36,3)+ROUND(AN35,3)-ROUND(AM36,3),IF(AND(EXACT(UPPER(AK36),"TBM"),AL36&lt;&gt;""),ROUND(AL36,3),IF(AL36="",AN35,IF(ISNA(VLOOKUP(AK36,A6:E105,5,FALSE)),IF(ISNA(VLOOKUP(AK36,G6:K105,5,FALSE)),IF(ISNA(VLOOKUP(AK36,M6:Q105,5,FALSE)),IF(ISNA(VLOOKUP(AK36,S6:W105,5,FALSE)),IF(ISNA(VLOOKUP(AK36,Y6:AC105,5,FALSE)),IF(ISNA(VLOOKUP(AK36,AE6:AI105,5,FALSE)),IF(ISNA(VLOOKUP(AK36,AK6:AO35,5,FALSE)),"",ROUND(VLOOKUP(AK36,AK6:AO35,5,FALSE),0)/1000+ROUND(AL36,3)),ROUND(VLOOKUP(AK36,AE6:AI105,5,FALSE),0)/1000+ROUND(AL36,3)),ROUND(VLOOKUP(AK36,Y6:AC105,5,FALSE),0)/1000+ROUND(AL36,3)),ROUND(VLOOKUP(AK36,S6:W105,5,FALSE),0)/1000+ROUND(AL36,3)),ROUND(VLOOKUP(AK36,M6:Q105,5,FALSE),0)/1000+ROUND(AL36,3)),ROUND(VLOOKUP(AK36,G6:K105,5,FALSE),0)/1000+ROUND(AL36,3)),ROUND(VLOOKUP(AK36,A6:E105,5,FALSE),0)/1000+ROUND(AL36,3)))))</f>
        <v/>
      </c>
      <c r="AO36" s="18" t="str">
        <f>IF(OR(NOT(EXACT(UPPER(AK36),"TBM")),AL36=""),IF(AND(AL36&lt;&gt;"",AM36="",AN36&lt;&gt;""),"",IF(AND(AL36="",AM36&lt;&gt;"",AN36&lt;&gt;""),ROUND(ROUND(AN36,3)-ROUND(AM36,3),3)*1000,IF(AND(AL36&lt;&gt;"",AM36&lt;&gt;"",AN36&lt;&gt;""),ROUND(ROUND(AN35,3)-ROUND(AM36,3),3)*1000,""))),"")</f>
        <v/>
      </c>
      <c r="AP36" s="44" t="str">
        <f>IF(AND(NOT(ISNA(VLOOKUP(AK36,A6:E105,5,FALSE))),AL36="",AM36&lt;&gt;""),ROUND((VLOOKUP(AK36,A6:E105,5,FALSE)-AO36)/1000,3),IF(AND(NOT(ISNA(VLOOKUP(AK36,G6:K105,5,FALSE))),AL36="",AM36&lt;&gt;""),ROUND((VLOOKUP(AK36,G6:K105,5,FALSE)-AO36)/1000,3),IF(AND(NOT(ISNA(VLOOKUP(AK36,M6:Q105,5,FALSE))),AL36="",AM36&lt;&gt;""),ROUND((VLOOKUP(AK36,M6:Q105,5,FALSE)-AO36)/1000,3),IF(AND(NOT(ISNA(VLOOKUP(AK36,S6:W105,5,FALSE))),AL36="",AM36&lt;&gt;""),ROUND((VLOOKUP(AK36,S6:W105,5,FALSE)-AO36)/1000,3),IF(AND(NOT(ISNA(VLOOKUP(AK36,Y6:AC105,5,FALSE))),AL36="",AM36&lt;&gt;""),ROUND((VLOOKUP(AK36,Y6:AC105,5,FALSE)-AO36)/1000,3),IF(AND(NOT(ISNA(VLOOKUP(AK36,AE6:AI105,5,FALSE))),AL36="",AM36&lt;&gt;""),ROUND((VLOOKUP(AK36,AE6:AI105,5,FALSE)-AO36)/1000,3),IF(AND(NOT(ISNA(VLOOKUP(AK36,AK6:AO35,5,FALSE))),AL36="",AM36&lt;&gt;""),ROUND((VLOOKUP(AK36,AK6:AO35,5,FALSE)-AO36)/1000,3),"")))))))</f>
        <v/>
      </c>
      <c r="AQ36" s="64">
        <f>IF(AQ35="","",AQ35+1)</f>
        <v>730</v>
      </c>
      <c r="AR36" s="43"/>
      <c r="AS36" s="43"/>
      <c r="AT36" s="17" t="str">
        <f>IF(AND(AR36&lt;&gt;"",AS36&lt;&gt;""),ROUND(AR36,3)+ROUND(AT35,3)-ROUND(AS36,3),IF(AND(EXACT(UPPER(AQ36),"TBM"),AR36&lt;&gt;""),ROUND(AR36,3),IF(AR36="",AT35,IF(ISNA(VLOOKUP(AQ36,A6:E105,5,FALSE)),IF(ISNA(VLOOKUP(AQ36,G6:K105,5,FALSE)),IF(ISNA(VLOOKUP(AQ36,M6:Q105,5,FALSE)),IF(ISNA(VLOOKUP(AQ36,S6:W105,5,FALSE)),IF(ISNA(VLOOKUP(AQ36,Y6:AC105,5,FALSE)),IF(ISNA(VLOOKUP(AQ36,AE6:AI105,5,FALSE)),IF(ISNA(VLOOKUP(AQ36,AK6:AO105,5,FALSE)),IF(ISNA(VLOOKUP(AQ36,AQ6:AU35,5,FALSE)),"",ROUND(VLOOKUP(AQ36,AQ6:AU35,5,FALSE),0)/1000+ROUND(AR36,3)),ROUND(VLOOKUP(AQ36,AK6:AO105,5,FALSE),0)/1000+ROUND(AR36,3)),ROUND(VLOOKUP(AQ36,AE6:AI105,5,FALSE),0)/1000+ROUND(AR36,3)),ROUND(VLOOKUP(AQ36,Y6:AC105,5,FALSE),0)/1000+ROUND(AR36,3)),ROUND(VLOOKUP(AQ36,S6:W105,5,FALSE),0)/1000+ROUND(AR36,3)),ROUND(VLOOKUP(AQ36,M6:Q105,5,FALSE),0)/1000+ROUND(AR36,3)),ROUND(VLOOKUP(AQ36,G6:K105,5,FALSE),0)/1000+ROUND(AR36,3)),ROUND(VLOOKUP(AQ36,A6:E105,5,FALSE),0)/1000+ROUND(AR36,3)))))</f>
        <v/>
      </c>
      <c r="AU36" s="18" t="str">
        <f>IF(OR(NOT(EXACT(UPPER(AQ36),"TBM")),AR36=""),IF(AND(AR36&lt;&gt;"",AS36="",AT36&lt;&gt;""),"",IF(AND(AR36="",AS36&lt;&gt;"",AT36&lt;&gt;""),ROUND(ROUND(AT36,3)-ROUND(AS36,3),3)*1000,IF(AND(AR36&lt;&gt;"",AS36&lt;&gt;"",AT36&lt;&gt;""),ROUND(ROUND(AT35,3)-ROUND(AS36,3),3)*1000,""))),"")</f>
        <v/>
      </c>
      <c r="AV36" s="44" t="str">
        <f>IF(AND(NOT(ISNA(VLOOKUP(AQ36,A6:E105,5,FALSE))),AR36="",AS36&lt;&gt;""),ROUND((VLOOKUP(AQ36,A6:E105,5,FALSE)-AU36)/1000,3),IF(AND(NOT(ISNA(VLOOKUP(AQ36,G6:K105,5,FALSE))),AR36="",AS36&lt;&gt;""),ROUND((VLOOKUP(AQ36,G6:K105,5,FALSE)-AU36)/1000,3),IF(AND(NOT(ISNA(VLOOKUP(AQ36,M6:Q105,5,FALSE))),AR36="",AS36&lt;&gt;""),ROUND((VLOOKUP(AQ36,M6:Q105,5,FALSE)-AU36)/1000,3),IF(AND(NOT(ISNA(VLOOKUP(AQ36,S6:W105,5,FALSE))),AR36="",AS36&lt;&gt;""),ROUND((VLOOKUP(AQ36,S6:W105,5,FALSE)-AU36)/1000,3),IF(AND(NOT(ISNA(VLOOKUP(AQ36,Y6:AC105,5,FALSE))),AR36="",AS36&lt;&gt;""),ROUND((VLOOKUP(AQ36,Y6:AC105,5,FALSE)-AU36)/1000,3),IF(AND(NOT(ISNA(VLOOKUP(AQ36,AE6:AI105,5,FALSE))),AR36="",AS36&lt;&gt;""),ROUND((VLOOKUP(AQ36,AE6:AI105,5,FALSE)-AU36)/1000,3),IF(AND(NOT(ISNA(VLOOKUP(AQ36,AK6:AO105,5,FALSE))),AR36="",AS36&lt;&gt;""),ROUND((VLOOKUP(AQ36,AK6:AO105,5,FALSE)-AU36)/1000,3),IF(AND(NOT(ISNA(VLOOKUP(AQ36,AQ6:AU35,5,FALSE))),AR36="",AS36&lt;&gt;""),ROUND((VLOOKUP(AQ36,AQ6:AU35,5,FALSE)-AU36)/1000,3),""))))))))</f>
        <v/>
      </c>
      <c r="AW36" s="64">
        <f>IF(AW35="","",AW35+1)</f>
        <v>830</v>
      </c>
      <c r="AX36" s="43"/>
      <c r="AY36" s="43"/>
      <c r="AZ36" s="17" t="str">
        <f>IF(AND(AX36&lt;&gt;"",AY36&lt;&gt;""),ROUND(AX36,3)+ROUND(AZ35,3)-ROUND(AY36,3),IF(AND(EXACT(UPPER(AW36),"TBM"),AX36&lt;&gt;""),ROUND(AX36,3),IF(AX36="",AZ35,IF(ISNA(VLOOKUP(AW36,A6:E105,5,FALSE)),IF(ISNA(VLOOKUP(AW36,G6:K105,5,FALSE)),IF(ISNA(VLOOKUP(AW36,M6:Q105,5,FALSE)),IF(ISNA(VLOOKUP(AW36,S6:W105,5,FALSE)),IF(ISNA(VLOOKUP(AW36,Y6:AC105,5,FALSE)),IF(ISNA(VLOOKUP(AW36,AE6:AI105,5,FALSE)),IF(ISNA(VLOOKUP(AW36,AK6:AO105,5,FALSE)),IF(ISNA(VLOOKUP(AW36,AQ6:AU105,5,FALSE)),IF(ISNA(VLOOKUP(AW36,AW6:BA35,5,FALSE)),"",ROUND(VLOOKUP(AW36,AW6:BA35,5,FALSE),0)/1000+ROUND(AX36,3)),ROUND(VLOOKUP(AW36,AQ6:AU105,5,FALSE),0)/1000+ROUND(AX36,3)),ROUND(VLOOKUP(AW36,AK6:AO105,5,FALSE),0)/1000+ROUND(AX36,3)),ROUND(VLOOKUP(AW36,AE6:AI105,5,FALSE),0)/1000+ROUND(AX36,3)),ROUND(VLOOKUP(AW36,Y6:AC105,5,FALSE),0)/1000+ROUND(AX36,3)),ROUND(VLOOKUP(AW36,S6:W105,5,FALSE),0)/1000+ROUND(AX36,3)),ROUND(VLOOKUP(AW36,M6:Q105,5,FALSE),0)/1000+ROUND(AX36,3)),ROUND(VLOOKUP(AW36,G6:K105,5,FALSE),0)/1000+ROUND(AX36,3)),ROUND(VLOOKUP(AW36,A6:E105,5,FALSE),0)/1000+ROUND(AX36,3)))))</f>
        <v/>
      </c>
      <c r="BA36" s="18" t="str">
        <f>IF(OR(NOT(EXACT(UPPER(AW36),"TBM")),AX36=""),IF(AND(AX36&lt;&gt;"",AY36="",AZ36&lt;&gt;""),"",IF(AND(AX36="",AY36&lt;&gt;"",AZ36&lt;&gt;""),ROUND(ROUND(AZ36,3)-ROUND(AY36,3),3)*1000,IF(AND(AX36&lt;&gt;"",AY36&lt;&gt;"",AZ36&lt;&gt;""),ROUND(ROUND(AZ35,3)-ROUND(AY36,3),3)*1000,""))),"")</f>
        <v/>
      </c>
      <c r="BB36" s="44" t="str">
        <f>IF(AND(NOT(ISNA(VLOOKUP(AW36,A6:E105,5,FALSE))),AX36="",AY36&lt;&gt;""),ROUND((VLOOKUP(AW36,A6:E105,5,FALSE)-BA36)/1000,3),IF(AND(NOT(ISNA(VLOOKUP(AW36,G6:K105,5,FALSE))),AX36="",AY36&lt;&gt;""),ROUND((VLOOKUP(AW36,G6:K105,5,FALSE)-BA36)/1000,3),IF(AND(NOT(ISNA(VLOOKUP(AW36,M6:Q105,5,FALSE))),AX36="",AY36&lt;&gt;""),ROUND((VLOOKUP(AW36,M6:Q105,5,FALSE)-BA36)/1000,3),IF(AND(NOT(ISNA(VLOOKUP(AW36,S6:W105,5,FALSE))),AX36="",AY36&lt;&gt;""),ROUND((VLOOKUP(AW36,S6:W105,5,FALSE)-BA36)/1000,3),IF(AND(NOT(ISNA(VLOOKUP(AW36,Y6:AC105,5,FALSE))),AX36="",AY36&lt;&gt;""),ROUND((VLOOKUP(AW36,Y6:AC105,5,FALSE)-BA36)/1000,3),IF(AND(NOT(ISNA(VLOOKUP(AW36,AE6:AI105,5,FALSE))),AX36="",AY36&lt;&gt;""),ROUND((VLOOKUP(AW36,AE6:AI105,5,FALSE)-BA36)/1000,3),IF(AND(NOT(ISNA(VLOOKUP(AW36,AK6:AO105,5,FALSE))),AX36="",AY36&lt;&gt;""),ROUND((VLOOKUP(AW36,AK6:AO105,5,FALSE)-BA36)/1000,3),IF(AND(NOT(ISNA(VLOOKUP(AW36,AQ6:AU105,5,FALSE))),AX36="",AY36&lt;&gt;""),ROUND((VLOOKUP(AW36,AQ6:AU105,5,FALSE)-BA36)/1000,3),IF(AND(NOT(ISNA(VLOOKUP(AW36,AW6:BA35,5,FALSE))),AX36="",AY36&lt;&gt;""),ROUND((VLOOKUP(AW36,AW6:BA35,5,FALSE)-BA36)/1000,3),"")))))))))</f>
        <v/>
      </c>
      <c r="BC36" s="64">
        <f>IF(BC35="","",BC35+1)</f>
        <v>930</v>
      </c>
      <c r="BD36" s="43"/>
      <c r="BE36" s="43"/>
      <c r="BF36" s="17" t="str">
        <f>IF(AND(BD36&lt;&gt;"",BE36&lt;&gt;""),ROUND(BD36,3)+ROUND(BF35,3)-ROUND(BE36,3),IF(AND(EXACT(UPPER(BC36),"TBM"),BD36&lt;&gt;""),ROUND(BD36,3),IF(BD36="",BF35,IF(ISNA(VLOOKUP(BC36,A6:E105,5,FALSE)),IF(ISNA(VLOOKUP(BC36,G6:K105,5,FALSE)),IF(ISNA(VLOOKUP(BC36,M6:Q105,5,FALSE)),IF(ISNA(VLOOKUP(BC36,S6:W105,5,FALSE)),IF(ISNA(VLOOKUP(BC36,Y6:AC105,5,FALSE)),IF(ISNA(VLOOKUP(BC36,AE6:AI105,5,FALSE)),IF(ISNA(VLOOKUP(BC36,AK6:AO105,5,FALSE)),IF(ISNA(VLOOKUP(BC36,AQ6:AU105,5,FALSE)),IF(ISNA(VLOOKUP(BC36,AW6:BA105,5,FALSE)),IF(ISNA(VLOOKUP(BC36,BC6:BG35,5,FALSE)),"",ROUND(VLOOKUP(BC36,BC6:BG35,5,FALSE),0)/1000+ROUND(BD36,3)),ROUND(VLOOKUP(BC36,AW6:BA105,5,FALSE),0)/1000+ROUND(BD36,3)),ROUND(VLOOKUP(BC36,AQ6:AU105,5,FALSE),0)/1000+ROUND(BD36,3)),ROUND(VLOOKUP(BC36,AK6:AO105,5,FALSE),0)/1000+ROUND(BD36,3)),ROUND(VLOOKUP(BC36,AE6:AI105,5,FALSE),0)/1000+ROUND(BD36,3)),ROUND(VLOOKUP(BC36,Y6:AC105,5,FALSE),0)/1000+ROUND(BD36,3)),ROUND(VLOOKUP(BC36,S6:W105,5,FALSE),0)/1000+ROUND(BD36,3)),ROUND(VLOOKUP(BC36,M6:Q105,5,FALSE),0)/1000+ROUND(BD36,3)),ROUND(VLOOKUP(BC36,G6:K105,5,FALSE),0)/1000+ROUND(BD36,3)),ROUND(VLOOKUP(BC36,A6:E105,5,FALSE),0)/1000+ROUND(BD36,3)))))</f>
        <v/>
      </c>
      <c r="BG36" s="18" t="str">
        <f>IF(OR(NOT(EXACT(UPPER(BC36),"TBM")),BD36=""),IF(AND(BD36&lt;&gt;"",BE36="",BF36&lt;&gt;""),"",IF(AND(BD36="",BE36&lt;&gt;"",BF36&lt;&gt;""),ROUND(ROUND(BF36,3)-ROUND(BE36,3),3)*1000,IF(AND(BD36&lt;&gt;"",BE36&lt;&gt;"",BF36&lt;&gt;""),ROUND(ROUND(BF35,3)-ROUND(BE36,3),3)*1000,""))),"")</f>
        <v/>
      </c>
      <c r="BH36" s="44" t="str">
        <f>IF(AND(NOT(ISNA(VLOOKUP(BC36,A6:E105,5,FALSE))),BD36="",BE36&lt;&gt;""),ROUND((VLOOKUP(BC36,A6:E105,5,FALSE)-BG36)/1000,3),IF(AND(NOT(ISNA(VLOOKUP(BC36,G6:K105,5,FALSE))),BD36="",BE36&lt;&gt;""),ROUND((VLOOKUP(BC36,G6:K105,5,FALSE)-BG36)/1000,3),IF(AND(NOT(ISNA(VLOOKUP(BC36,M6:Q105,5,FALSE))),BD36="",BE36&lt;&gt;""),ROUND((VLOOKUP(BC36,M6:Q105,5,FALSE)-BG36)/1000,3),IF(AND(NOT(ISNA(VLOOKUP(BC36,S6:W105,5,FALSE))),BD36="",BE36&lt;&gt;""),ROUND((VLOOKUP(BC36,S6:W105,5,FALSE)-BG36)/1000,3),IF(AND(NOT(ISNA(VLOOKUP(BC36,Y6:AC105,5,FALSE))),BD36="",BE36&lt;&gt;""),ROUND((VLOOKUP(BC36,Y6:AC105,5,FALSE)-BG36)/1000,3),IF(AND(NOT(ISNA(VLOOKUP(BC36,AE6:AI105,5,FALSE))),BD36="",BE36&lt;&gt;""),ROUND((VLOOKUP(BC36,AE6:AI105,5,FALSE)-BG36)/1000,3),IF(AND(NOT(ISNA(VLOOKUP(BC36,AK6:AO105,5,FALSE))),BD36="",BE36&lt;&gt;""),ROUND((VLOOKUP(BC36,AK6:AO105,5,FALSE)-BG36)/1000,3),IF(AND(NOT(ISNA(VLOOKUP(BC36,AQ6:AU105,5,FALSE))),BD36="",BE36&lt;&gt;""),ROUND((VLOOKUP(BC36,AQ6:AU105,5,FALSE)-BG36)/1000,3),IF(AND(NOT(ISNA(VLOOKUP(BC36,AW6:BA105,5,FALSE))),BD36="",BE36&lt;&gt;""),ROUND((VLOOKUP(BC36,AW6:BA105,5,FALSE)-BG36)/1000,3),IF(AND(NOT(ISNA(VLOOKUP(BC36,BC6:BG35,5,FALSE))),BD36="",BE36&lt;&gt;""),ROUND((VLOOKUP(BC36,BC6:BG35,5,FALSE)-BG36)/1000,3),""))))))))))</f>
        <v/>
      </c>
    </row>
    <row r="37" spans="1:60" x14ac:dyDescent="0.25">
      <c r="A37" s="19">
        <f t="shared" si="3"/>
        <v>31</v>
      </c>
      <c r="B37" s="39"/>
      <c r="C37" s="39"/>
      <c r="D37" s="15" t="str">
        <f>IF(AND(B37&lt;&gt;"",C37&lt;&gt;""),ROUND(B37,3)+ROUND(D36,3)-ROUND(C37,3),IF(AND(EXACT(UPPER(A37),"TBM"),B37&lt;&gt;""),ROUND(B37,3),IF(B37="",D36,IF(ISNA(VLOOKUP(A37,A6:E36,5,FALSE)),"",ROUND(VLOOKUP(A37,A6:E36,5,FALSE),0)/1000+ROUND(B37,3)))))</f>
        <v/>
      </c>
      <c r="E37" s="21" t="str">
        <f t="shared" si="0"/>
        <v/>
      </c>
      <c r="F37" s="45" t="str">
        <f>IF(AND(NOT(ISNA(VLOOKUP(A37,A6:E36,5,FALSE))),B37="",C37&lt;&gt;""),ROUND((VLOOKUP(A37,A6:E36,5,FALSE)-E37)/1000,3),"")</f>
        <v/>
      </c>
      <c r="G37" s="19">
        <f t="shared" si="1"/>
        <v>131</v>
      </c>
      <c r="H37" s="39"/>
      <c r="I37" s="39"/>
      <c r="J37" s="15" t="str">
        <f>IF(AND(H37&lt;&gt;"",I37&lt;&gt;""),ROUND(H37,3)+ROUND(J36,3)-ROUND(I37,3),IF(AND(EXACT(UPPER(G37),"TBM"),H37&lt;&gt;""),ROUND(H37,3),IF(H37="",J36,IF(ISNA(VLOOKUP(G37,A6:E105,5,FALSE)),IF(ISNA(VLOOKUP(G37,G6:K36,5,FALSE)),"",ROUND(VLOOKUP(G37,G6:K36,5,FALSE),0)/1000+ROUND(H37,3)),ROUND(VLOOKUP(G37,A6:E105,5,FALSE),0)/1000+ROUND(H37,3)))))</f>
        <v/>
      </c>
      <c r="K37" s="18" t="str">
        <f t="shared" si="2"/>
        <v/>
      </c>
      <c r="L37" s="45" t="str">
        <f>IF(AND(NOT(ISNA(VLOOKUP(G37,A6:E105,5,FALSE))),H37="",I37&lt;&gt;""),ROUND((VLOOKUP(G37,A6:E105,5,FALSE)-K37)/1000,3),IF(AND(NOT(ISNA(VLOOKUP(G37,G6:K36,5,FALSE))),H37="",I37&lt;&gt;""),ROUND((VLOOKUP(G37,G6:K36,5,FALSE)-K37)/1000,3),""))</f>
        <v/>
      </c>
      <c r="M37" s="19">
        <f>IF(M36="","",M36+1)</f>
        <v>231</v>
      </c>
      <c r="N37" s="39"/>
      <c r="O37" s="39"/>
      <c r="P37" s="15" t="str">
        <f>IF(AND(N37&lt;&gt;"",O37&lt;&gt;""),ROUND(N37,3)+ROUND(P36,3)-ROUND(O37,3),IF(AND(EXACT(UPPER(M37),"TBM"),N37&lt;&gt;""),ROUND(N37,3),IF(N37="",P36,IF(ISNA(VLOOKUP(M37,A6:E105,5,FALSE)),IF(ISNA(VLOOKUP(M37,G6:K105,5,FALSE)),IF(ISNA(VLOOKUP(M37,M6:Q36,5,FALSE)),"",ROUND(VLOOKUP(M37,M6:Q36,5,FALSE),0)/1000+ROUND(N37,3)),ROUND(VLOOKUP(M37,G6:K105,5,FALSE),0)/1000+ROUND(N37,3)),ROUND(VLOOKUP(M37,A6:E105,5,FALSE),0)/1000+ROUND(N37,3)))))</f>
        <v/>
      </c>
      <c r="Q37" s="18" t="str">
        <f>IF(OR(NOT(EXACT(UPPER(M37),"TBM")),N37=""),IF(AND(N37&lt;&gt;"",O37="",P37&lt;&gt;""),"",IF(AND(N37="",O37&lt;&gt;"",P37&lt;&gt;""),ROUND(ROUND(P37,3)-ROUND(O37,3),3)*1000,IF(AND(N37&lt;&gt;"",O37&lt;&gt;"",P37&lt;&gt;""),ROUND(ROUND(P36,3)-ROUND(O37,3),3)*1000,""))),"")</f>
        <v/>
      </c>
      <c r="R37" s="45" t="str">
        <f>IF(AND(NOT(ISNA(VLOOKUP(M37,A6:E105,5,FALSE))),N37="",O37&lt;&gt;""),ROUND((VLOOKUP(M37,A6:E105,5,FALSE)-Q37)/1000,3),IF(AND(NOT(ISNA(VLOOKUP(M37,G6:K105,5,FALSE))),N37="",O37&lt;&gt;""),ROUND((VLOOKUP(M37,G6:K105,5,FALSE)-Q37)/1000,3),IF(AND(NOT(ISNA(VLOOKUP(M37,M6:Q36,5,FALSE))),N37="",O37&lt;&gt;""),ROUND((VLOOKUP(M37,M6:Q36,5,FALSE)-Q37)/1000,3),"")))</f>
        <v/>
      </c>
      <c r="S37" s="19">
        <f>IF(S36="","",S36+1)</f>
        <v>331</v>
      </c>
      <c r="T37" s="39"/>
      <c r="U37" s="39"/>
      <c r="V37" s="15" t="str">
        <f>IF(AND(T37&lt;&gt;"",U37&lt;&gt;""),ROUND(T37,3)+ROUND(V36,3)-ROUND(U37,3),IF(AND(EXACT(UPPER(S37),"TBM"),T37&lt;&gt;""),ROUND(T37,3),IF(T37="",V36,IF(ISNA(VLOOKUP(S37,A6:E105,5,FALSE)),IF(ISNA(VLOOKUP(S37,G6:K105,5,FALSE)),IF(ISNA(VLOOKUP(S37,M6:Q105,5,FALSE)),IF(ISNA(VLOOKUP(S37,S6:W36,5,FALSE)),"",ROUND(VLOOKUP(S37,S6:W36,5,FALSE),0)/1000+ROUND(T37,3)),ROUND(VLOOKUP(S37,M6:Q105,5,FALSE),0)/1000+ROUND(T37,3)),ROUND(VLOOKUP(S37,G6:K105,5,FALSE),0)/1000+ROUND(T37,3)),ROUND(VLOOKUP(S37,A6:E105,5,FALSE),0)/1000+ROUND(T37,3)))))</f>
        <v/>
      </c>
      <c r="W37" s="18" t="str">
        <f>IF(OR(NOT(EXACT(UPPER(S37),"TBM")),T37=""),IF(AND(T37&lt;&gt;"",U37="",V37&lt;&gt;""),"",IF(AND(T37="",U37&lt;&gt;"",V37&lt;&gt;""),ROUND(ROUND(V37,3)-ROUND(U37,3),3)*1000,IF(AND(T37&lt;&gt;"",U37&lt;&gt;"",V37&lt;&gt;""),ROUND(ROUND(V36,3)-ROUND(U37,3),3)*1000,""))),"")</f>
        <v/>
      </c>
      <c r="X37" s="45" t="str">
        <f>IF(AND(NOT(ISNA(VLOOKUP(S37,A6:E105,5,FALSE))),T37="",U37&lt;&gt;""),ROUND((VLOOKUP(S37,A6:E105,5,FALSE)-W37)/1000,3),IF(AND(NOT(ISNA(VLOOKUP(S37,G6:K105,5,FALSE))),T37="",U37&lt;&gt;""),ROUND((VLOOKUP(S37,G6:K105,5,FALSE)-W37)/1000,3),IF(AND(NOT(ISNA(VLOOKUP(S37,M6:Q105,5,FALSE))),T37="",U37&lt;&gt;""),ROUND((VLOOKUP(S37,M6:Q105,5,FALSE)-W37)/1000,3),IF(AND(NOT(ISNA(VLOOKUP(S37,S6:W36,5,FALSE))),T37="",U37&lt;&gt;""),ROUND((VLOOKUP(S37,S6:W36,5,FALSE)-W37)/1000,3),""))))</f>
        <v/>
      </c>
      <c r="Y37" s="19">
        <f>IF(Y36="","",Y36+1)</f>
        <v>431</v>
      </c>
      <c r="Z37" s="39"/>
      <c r="AA37" s="39"/>
      <c r="AB37" s="15" t="str">
        <f>IF(AND(Z37&lt;&gt;"",AA37&lt;&gt;""),ROUND(Z37,3)+ROUND(AB36,3)-ROUND(AA37,3),IF(AND(EXACT(UPPER(Y37),"TBM"),Z37&lt;&gt;""),ROUND(Z37,3),IF(Z37="",AB36,IF(ISNA(VLOOKUP(Y37,A6:E105,5,FALSE)),IF(ISNA(VLOOKUP(Y37,G6:K105,5,FALSE)),IF(ISNA(VLOOKUP(Y37,M6:Q105,5,FALSE)),IF(ISNA(VLOOKUP(Y37,S6:W105,5,FALSE)),IF(ISNA(VLOOKUP(Y37,Y6:AC36,5,FALSE)),"",ROUND(VLOOKUP(Y37,Y6:AC36,5,FALSE),0)/1000+ROUND(Z37,3)),ROUND(VLOOKUP(Y37,S6:W105,5,FALSE),0)/1000+ROUND(Z37,3)),ROUND(VLOOKUP(Y37,M6:Q105,5,FALSE),0)/1000+ROUND(Z37,3)),ROUND(VLOOKUP(Y37,G6:K105,5,FALSE),0)/1000+ROUND(Z37,3)),ROUND(VLOOKUP(Y37,A6:E105,5,FALSE),0)/1000+ROUND(Z37,3)))))</f>
        <v/>
      </c>
      <c r="AC37" s="18" t="str">
        <f>IF(OR(NOT(EXACT(UPPER(Y37),"TBM")),Z37=""),IF(AND(Z37&lt;&gt;"",AA37="",AB37&lt;&gt;""),"",IF(AND(Z37="",AA37&lt;&gt;"",AB37&lt;&gt;""),ROUND(ROUND(AB37,3)-ROUND(AA37,3),3)*1000,IF(AND(Z37&lt;&gt;"",AA37&lt;&gt;"",AB37&lt;&gt;""),ROUND(ROUND(AB36,3)-ROUND(AA37,3),3)*1000,""))),"")</f>
        <v/>
      </c>
      <c r="AD37" s="45" t="str">
        <f>IF(AND(NOT(ISNA(VLOOKUP(Y37,A6:E105,5,FALSE))),Z37="",AA37&lt;&gt;""),ROUND((VLOOKUP(Y37,A6:E105,5,FALSE)-AC37)/1000,3),IF(AND(NOT(ISNA(VLOOKUP(Y37,G6:K105,5,FALSE))),Z37="",AA37&lt;&gt;""),ROUND((VLOOKUP(Y37,G6:K105,5,FALSE)-AC37)/1000,3),IF(AND(NOT(ISNA(VLOOKUP(Y37,M6:Q105,5,FALSE))),Z37="",AA37&lt;&gt;""),ROUND((VLOOKUP(Y37,M6:Q105,5,FALSE)-AC37)/1000,3),IF(AND(NOT(ISNA(VLOOKUP(Y37,S6:W105,5,FALSE))),Z37="",AA37&lt;&gt;""),ROUND((VLOOKUP(Y37,S6:W105,5,FALSE)-AC37)/1000,3),IF(AND(NOT(ISNA(VLOOKUP(Y37,Y6:AC36,5,FALSE))),Z37="",AA37&lt;&gt;""),ROUND((VLOOKUP(Y37,Y6:AC36,5,FALSE)-AC37)/1000,3),"")))))</f>
        <v/>
      </c>
      <c r="AE37" s="19">
        <f>IF(AE36="","",AE36+1)</f>
        <v>531</v>
      </c>
      <c r="AF37" s="39"/>
      <c r="AG37" s="39"/>
      <c r="AH37" s="15" t="str">
        <f>IF(AND(AF37&lt;&gt;"",AG37&lt;&gt;""),ROUND(AF37,3)+ROUND(AH36,3)-ROUND(AG37,3),IF(AND(EXACT(UPPER(AE37),"TBM"),AF37&lt;&gt;""),ROUND(AF37,3),IF(AF37="",AH36,IF(ISNA(VLOOKUP(AE37,A6:E105,5,FALSE)),IF(ISNA(VLOOKUP(AE37,G6:K105,5,FALSE)),IF(ISNA(VLOOKUP(AE37,M6:Q105,5,FALSE)),IF(ISNA(VLOOKUP(AE37,S6:W105,5,FALSE)),IF(ISNA(VLOOKUP(AE37,Y6:AC105,5,FALSE)),IF(ISNA(VLOOKUP(AE37,AE6:AI36,5,FALSE)),"",ROUND(VLOOKUP(AE37,AE6:AI36,5,FALSE),0)/1000+ROUND(AF37,3)),ROUND(VLOOKUP(AE37,Y6:AC105,5,FALSE),0)/1000+ROUND(AF37,3)),ROUND(VLOOKUP(AE37,S6:W105,5,FALSE),0)/1000+ROUND(AF37,3)),ROUND(VLOOKUP(AE37,M6:Q105,5,FALSE),0)/1000+ROUND(AF37,3)),ROUND(VLOOKUP(AE37,G6:K105,5,FALSE),0)/1000+ROUND(AF37,3)),ROUND(VLOOKUP(AE37,A6:E105,5,FALSE),0)/1000+ROUND(AF37,3)))))</f>
        <v/>
      </c>
      <c r="AI37" s="18" t="str">
        <f>IF(OR(NOT(EXACT(UPPER(AE37),"TBM")),AF37=""),IF(AND(AF37&lt;&gt;"",AG37="",AH37&lt;&gt;""),"",IF(AND(AF37="",AG37&lt;&gt;"",AH37&lt;&gt;""),ROUND(ROUND(AH37,3)-ROUND(AG37,3),3)*1000,IF(AND(AF37&lt;&gt;"",AG37&lt;&gt;"",AH37&lt;&gt;""),ROUND(ROUND(AH36,3)-ROUND(AG37,3),3)*1000,""))),"")</f>
        <v/>
      </c>
      <c r="AJ37" s="45" t="str">
        <f>IF(AND(NOT(ISNA(VLOOKUP(AE37,A6:E105,5,FALSE))),AF37="",AG37&lt;&gt;""),ROUND((VLOOKUP(AE37,A6:E105,5,FALSE)-AI37)/1000,3),IF(AND(NOT(ISNA(VLOOKUP(AE37,G6:K105,5,FALSE))),AF37="",AG37&lt;&gt;""),ROUND((VLOOKUP(AE37,G6:K105,5,FALSE)-AI37)/1000,3),IF(AND(NOT(ISNA(VLOOKUP(AE37,M6:Q105,5,FALSE))),AF37="",AG37&lt;&gt;""),ROUND((VLOOKUP(AE37,M6:Q105,5,FALSE)-AI37)/1000,3),IF(AND(NOT(ISNA(VLOOKUP(AE37,S6:W105,5,FALSE))),AF37="",AG37&lt;&gt;""),ROUND((VLOOKUP(AE37,S6:W105,5,FALSE)-AI37)/1000,3),IF(AND(NOT(ISNA(VLOOKUP(AE37,Y6:AC105,5,FALSE))),AF37="",AG37&lt;&gt;""),ROUND((VLOOKUP(AE37,Y6:AC105,5,FALSE)-AI37)/1000,3),IF(AND(NOT(ISNA(VLOOKUP(AE37,AE6:AI36,5,FALSE))),AF37="",AG37&lt;&gt;""),ROUND((VLOOKUP(AE37,AE6:AI36,5,FALSE)-AI37)/1000,3),""))))))</f>
        <v/>
      </c>
      <c r="AK37" s="19">
        <f>IF(AK36="","",AK36+1)</f>
        <v>631</v>
      </c>
      <c r="AL37" s="39"/>
      <c r="AM37" s="39"/>
      <c r="AN37" s="15" t="str">
        <f>IF(AND(AL37&lt;&gt;"",AM37&lt;&gt;""),ROUND(AL37,3)+ROUND(AN36,3)-ROUND(AM37,3),IF(AND(EXACT(UPPER(AK37),"TBM"),AL37&lt;&gt;""),ROUND(AL37,3),IF(AL37="",AN36,IF(ISNA(VLOOKUP(AK37,A6:E105,5,FALSE)),IF(ISNA(VLOOKUP(AK37,G6:K105,5,FALSE)),IF(ISNA(VLOOKUP(AK37,M6:Q105,5,FALSE)),IF(ISNA(VLOOKUP(AK37,S6:W105,5,FALSE)),IF(ISNA(VLOOKUP(AK37,Y6:AC105,5,FALSE)),IF(ISNA(VLOOKUP(AK37,AE6:AI105,5,FALSE)),IF(ISNA(VLOOKUP(AK37,AK6:AO36,5,FALSE)),"",ROUND(VLOOKUP(AK37,AK6:AO36,5,FALSE),0)/1000+ROUND(AL37,3)),ROUND(VLOOKUP(AK37,AE6:AI105,5,FALSE),0)/1000+ROUND(AL37,3)),ROUND(VLOOKUP(AK37,Y6:AC105,5,FALSE),0)/1000+ROUND(AL37,3)),ROUND(VLOOKUP(AK37,S6:W105,5,FALSE),0)/1000+ROUND(AL37,3)),ROUND(VLOOKUP(AK37,M6:Q105,5,FALSE),0)/1000+ROUND(AL37,3)),ROUND(VLOOKUP(AK37,G6:K105,5,FALSE),0)/1000+ROUND(AL37,3)),ROUND(VLOOKUP(AK37,A6:E105,5,FALSE),0)/1000+ROUND(AL37,3)))))</f>
        <v/>
      </c>
      <c r="AO37" s="18" t="str">
        <f>IF(OR(NOT(EXACT(UPPER(AK37),"TBM")),AL37=""),IF(AND(AL37&lt;&gt;"",AM37="",AN37&lt;&gt;""),"",IF(AND(AL37="",AM37&lt;&gt;"",AN37&lt;&gt;""),ROUND(ROUND(AN37,3)-ROUND(AM37,3),3)*1000,IF(AND(AL37&lt;&gt;"",AM37&lt;&gt;"",AN37&lt;&gt;""),ROUND(ROUND(AN36,3)-ROUND(AM37,3),3)*1000,""))),"")</f>
        <v/>
      </c>
      <c r="AP37" s="45" t="str">
        <f>IF(AND(NOT(ISNA(VLOOKUP(AK37,A6:E105,5,FALSE))),AL37="",AM37&lt;&gt;""),ROUND((VLOOKUP(AK37,A6:E105,5,FALSE)-AO37)/1000,3),IF(AND(NOT(ISNA(VLOOKUP(AK37,G6:K105,5,FALSE))),AL37="",AM37&lt;&gt;""),ROUND((VLOOKUP(AK37,G6:K105,5,FALSE)-AO37)/1000,3),IF(AND(NOT(ISNA(VLOOKUP(AK37,M6:Q105,5,FALSE))),AL37="",AM37&lt;&gt;""),ROUND((VLOOKUP(AK37,M6:Q105,5,FALSE)-AO37)/1000,3),IF(AND(NOT(ISNA(VLOOKUP(AK37,S6:W105,5,FALSE))),AL37="",AM37&lt;&gt;""),ROUND((VLOOKUP(AK37,S6:W105,5,FALSE)-AO37)/1000,3),IF(AND(NOT(ISNA(VLOOKUP(AK37,Y6:AC105,5,FALSE))),AL37="",AM37&lt;&gt;""),ROUND((VLOOKUP(AK37,Y6:AC105,5,FALSE)-AO37)/1000,3),IF(AND(NOT(ISNA(VLOOKUP(AK37,AE6:AI105,5,FALSE))),AL37="",AM37&lt;&gt;""),ROUND((VLOOKUP(AK37,AE6:AI105,5,FALSE)-AO37)/1000,3),IF(AND(NOT(ISNA(VLOOKUP(AK37,AK6:AO36,5,FALSE))),AL37="",AM37&lt;&gt;""),ROUND((VLOOKUP(AK37,AK6:AO36,5,FALSE)-AO37)/1000,3),"")))))))</f>
        <v/>
      </c>
      <c r="AQ37" s="19">
        <f>IF(AQ36="","",AQ36+1)</f>
        <v>731</v>
      </c>
      <c r="AR37" s="39"/>
      <c r="AS37" s="39"/>
      <c r="AT37" s="15" t="str">
        <f>IF(AND(AR37&lt;&gt;"",AS37&lt;&gt;""),ROUND(AR37,3)+ROUND(AT36,3)-ROUND(AS37,3),IF(AND(EXACT(UPPER(AQ37),"TBM"),AR37&lt;&gt;""),ROUND(AR37,3),IF(AR37="",AT36,IF(ISNA(VLOOKUP(AQ37,A6:E105,5,FALSE)),IF(ISNA(VLOOKUP(AQ37,G6:K105,5,FALSE)),IF(ISNA(VLOOKUP(AQ37,M6:Q105,5,FALSE)),IF(ISNA(VLOOKUP(AQ37,S6:W105,5,FALSE)),IF(ISNA(VLOOKUP(AQ37,Y6:AC105,5,FALSE)),IF(ISNA(VLOOKUP(AQ37,AE6:AI105,5,FALSE)),IF(ISNA(VLOOKUP(AQ37,AK6:AO105,5,FALSE)),IF(ISNA(VLOOKUP(AQ37,AQ6:AU36,5,FALSE)),"",ROUND(VLOOKUP(AQ37,AQ6:AU36,5,FALSE),0)/1000+ROUND(AR37,3)),ROUND(VLOOKUP(AQ37,AK6:AO105,5,FALSE),0)/1000+ROUND(AR37,3)),ROUND(VLOOKUP(AQ37,AE6:AI105,5,FALSE),0)/1000+ROUND(AR37,3)),ROUND(VLOOKUP(AQ37,Y6:AC105,5,FALSE),0)/1000+ROUND(AR37,3)),ROUND(VLOOKUP(AQ37,S6:W105,5,FALSE),0)/1000+ROUND(AR37,3)),ROUND(VLOOKUP(AQ37,M6:Q105,5,FALSE),0)/1000+ROUND(AR37,3)),ROUND(VLOOKUP(AQ37,G6:K105,5,FALSE),0)/1000+ROUND(AR37,3)),ROUND(VLOOKUP(AQ37,A6:E105,5,FALSE),0)/1000+ROUND(AR37,3)))))</f>
        <v/>
      </c>
      <c r="AU37" s="18" t="str">
        <f>IF(OR(NOT(EXACT(UPPER(AQ37),"TBM")),AR37=""),IF(AND(AR37&lt;&gt;"",AS37="",AT37&lt;&gt;""),"",IF(AND(AR37="",AS37&lt;&gt;"",AT37&lt;&gt;""),ROUND(ROUND(AT37,3)-ROUND(AS37,3),3)*1000,IF(AND(AR37&lt;&gt;"",AS37&lt;&gt;"",AT37&lt;&gt;""),ROUND(ROUND(AT36,3)-ROUND(AS37,3),3)*1000,""))),"")</f>
        <v/>
      </c>
      <c r="AV37" s="45" t="str">
        <f>IF(AND(NOT(ISNA(VLOOKUP(AQ37,A6:E105,5,FALSE))),AR37="",AS37&lt;&gt;""),ROUND((VLOOKUP(AQ37,A6:E105,5,FALSE)-AU37)/1000,3),IF(AND(NOT(ISNA(VLOOKUP(AQ37,G6:K105,5,FALSE))),AR37="",AS37&lt;&gt;""),ROUND((VLOOKUP(AQ37,G6:K105,5,FALSE)-AU37)/1000,3),IF(AND(NOT(ISNA(VLOOKUP(AQ37,M6:Q105,5,FALSE))),AR37="",AS37&lt;&gt;""),ROUND((VLOOKUP(AQ37,M6:Q105,5,FALSE)-AU37)/1000,3),IF(AND(NOT(ISNA(VLOOKUP(AQ37,S6:W105,5,FALSE))),AR37="",AS37&lt;&gt;""),ROUND((VLOOKUP(AQ37,S6:W105,5,FALSE)-AU37)/1000,3),IF(AND(NOT(ISNA(VLOOKUP(AQ37,Y6:AC105,5,FALSE))),AR37="",AS37&lt;&gt;""),ROUND((VLOOKUP(AQ37,Y6:AC105,5,FALSE)-AU37)/1000,3),IF(AND(NOT(ISNA(VLOOKUP(AQ37,AE6:AI105,5,FALSE))),AR37="",AS37&lt;&gt;""),ROUND((VLOOKUP(AQ37,AE6:AI105,5,FALSE)-AU37)/1000,3),IF(AND(NOT(ISNA(VLOOKUP(AQ37,AK6:AO105,5,FALSE))),AR37="",AS37&lt;&gt;""),ROUND((VLOOKUP(AQ37,AK6:AO105,5,FALSE)-AU37)/1000,3),IF(AND(NOT(ISNA(VLOOKUP(AQ37,AQ6:AU36,5,FALSE))),AR37="",AS37&lt;&gt;""),ROUND((VLOOKUP(AQ37,AQ6:AU36,5,FALSE)-AU37)/1000,3),""))))))))</f>
        <v/>
      </c>
      <c r="AW37" s="19">
        <f>IF(AW36="","",AW36+1)</f>
        <v>831</v>
      </c>
      <c r="AX37" s="39"/>
      <c r="AY37" s="39"/>
      <c r="AZ37" s="15" t="str">
        <f>IF(AND(AX37&lt;&gt;"",AY37&lt;&gt;""),ROUND(AX37,3)+ROUND(AZ36,3)-ROUND(AY37,3),IF(AND(EXACT(UPPER(AW37),"TBM"),AX37&lt;&gt;""),ROUND(AX37,3),IF(AX37="",AZ36,IF(ISNA(VLOOKUP(AW37,A6:E105,5,FALSE)),IF(ISNA(VLOOKUP(AW37,G6:K105,5,FALSE)),IF(ISNA(VLOOKUP(AW37,M6:Q105,5,FALSE)),IF(ISNA(VLOOKUP(AW37,S6:W105,5,FALSE)),IF(ISNA(VLOOKUP(AW37,Y6:AC105,5,FALSE)),IF(ISNA(VLOOKUP(AW37,AE6:AI105,5,FALSE)),IF(ISNA(VLOOKUP(AW37,AK6:AO105,5,FALSE)),IF(ISNA(VLOOKUP(AW37,AQ6:AU105,5,FALSE)),IF(ISNA(VLOOKUP(AW37,AW6:BA36,5,FALSE)),"",ROUND(VLOOKUP(AW37,AW6:BA36,5,FALSE),0)/1000+ROUND(AX37,3)),ROUND(VLOOKUP(AW37,AQ6:AU105,5,FALSE),0)/1000+ROUND(AX37,3)),ROUND(VLOOKUP(AW37,AK6:AO105,5,FALSE),0)/1000+ROUND(AX37,3)),ROUND(VLOOKUP(AW37,AE6:AI105,5,FALSE),0)/1000+ROUND(AX37,3)),ROUND(VLOOKUP(AW37,Y6:AC105,5,FALSE),0)/1000+ROUND(AX37,3)),ROUND(VLOOKUP(AW37,S6:W105,5,FALSE),0)/1000+ROUND(AX37,3)),ROUND(VLOOKUP(AW37,M6:Q105,5,FALSE),0)/1000+ROUND(AX37,3)),ROUND(VLOOKUP(AW37,G6:K105,5,FALSE),0)/1000+ROUND(AX37,3)),ROUND(VLOOKUP(AW37,A6:E105,5,FALSE),0)/1000+ROUND(AX37,3)))))</f>
        <v/>
      </c>
      <c r="BA37" s="18" t="str">
        <f>IF(OR(NOT(EXACT(UPPER(AW37),"TBM")),AX37=""),IF(AND(AX37&lt;&gt;"",AY37="",AZ37&lt;&gt;""),"",IF(AND(AX37="",AY37&lt;&gt;"",AZ37&lt;&gt;""),ROUND(ROUND(AZ37,3)-ROUND(AY37,3),3)*1000,IF(AND(AX37&lt;&gt;"",AY37&lt;&gt;"",AZ37&lt;&gt;""),ROUND(ROUND(AZ36,3)-ROUND(AY37,3),3)*1000,""))),"")</f>
        <v/>
      </c>
      <c r="BB37" s="45" t="str">
        <f>IF(AND(NOT(ISNA(VLOOKUP(AW37,A6:E105,5,FALSE))),AX37="",AY37&lt;&gt;""),ROUND((VLOOKUP(AW37,A6:E105,5,FALSE)-BA37)/1000,3),IF(AND(NOT(ISNA(VLOOKUP(AW37,G6:K105,5,FALSE))),AX37="",AY37&lt;&gt;""),ROUND((VLOOKUP(AW37,G6:K105,5,FALSE)-BA37)/1000,3),IF(AND(NOT(ISNA(VLOOKUP(AW37,M6:Q105,5,FALSE))),AX37="",AY37&lt;&gt;""),ROUND((VLOOKUP(AW37,M6:Q105,5,FALSE)-BA37)/1000,3),IF(AND(NOT(ISNA(VLOOKUP(AW37,S6:W105,5,FALSE))),AX37="",AY37&lt;&gt;""),ROUND((VLOOKUP(AW37,S6:W105,5,FALSE)-BA37)/1000,3),IF(AND(NOT(ISNA(VLOOKUP(AW37,Y6:AC105,5,FALSE))),AX37="",AY37&lt;&gt;""),ROUND((VLOOKUP(AW37,Y6:AC105,5,FALSE)-BA37)/1000,3),IF(AND(NOT(ISNA(VLOOKUP(AW37,AE6:AI105,5,FALSE))),AX37="",AY37&lt;&gt;""),ROUND((VLOOKUP(AW37,AE6:AI105,5,FALSE)-BA37)/1000,3),IF(AND(NOT(ISNA(VLOOKUP(AW37,AK6:AO105,5,FALSE))),AX37="",AY37&lt;&gt;""),ROUND((VLOOKUP(AW37,AK6:AO105,5,FALSE)-BA37)/1000,3),IF(AND(NOT(ISNA(VLOOKUP(AW37,AQ6:AU105,5,FALSE))),AX37="",AY37&lt;&gt;""),ROUND((VLOOKUP(AW37,AQ6:AU105,5,FALSE)-BA37)/1000,3),IF(AND(NOT(ISNA(VLOOKUP(AW37,AW6:BA36,5,FALSE))),AX37="",AY37&lt;&gt;""),ROUND((VLOOKUP(AW37,AW6:BA36,5,FALSE)-BA37)/1000,3),"")))))))))</f>
        <v/>
      </c>
      <c r="BC37" s="19">
        <f>IF(BC36="","",BC36+1)</f>
        <v>931</v>
      </c>
      <c r="BD37" s="39"/>
      <c r="BE37" s="39"/>
      <c r="BF37" s="15" t="str">
        <f>IF(AND(BD37&lt;&gt;"",BE37&lt;&gt;""),ROUND(BD37,3)+ROUND(BF36,3)-ROUND(BE37,3),IF(AND(EXACT(UPPER(BC37),"TBM"),BD37&lt;&gt;""),ROUND(BD37,3),IF(BD37="",BF36,IF(ISNA(VLOOKUP(BC37,A6:E105,5,FALSE)),IF(ISNA(VLOOKUP(BC37,G6:K105,5,FALSE)),IF(ISNA(VLOOKUP(BC37,M6:Q105,5,FALSE)),IF(ISNA(VLOOKUP(BC37,S6:W105,5,FALSE)),IF(ISNA(VLOOKUP(BC37,Y6:AC105,5,FALSE)),IF(ISNA(VLOOKUP(BC37,AE6:AI105,5,FALSE)),IF(ISNA(VLOOKUP(BC37,AK6:AO105,5,FALSE)),IF(ISNA(VLOOKUP(BC37,AQ6:AU105,5,FALSE)),IF(ISNA(VLOOKUP(BC37,AW6:BA105,5,FALSE)),IF(ISNA(VLOOKUP(BC37,BC6:BG36,5,FALSE)),"",ROUND(VLOOKUP(BC37,BC6:BG36,5,FALSE),0)/1000+ROUND(BD37,3)),ROUND(VLOOKUP(BC37,AW6:BA105,5,FALSE),0)/1000+ROUND(BD37,3)),ROUND(VLOOKUP(BC37,AQ6:AU105,5,FALSE),0)/1000+ROUND(BD37,3)),ROUND(VLOOKUP(BC37,AK6:AO105,5,FALSE),0)/1000+ROUND(BD37,3)),ROUND(VLOOKUP(BC37,AE6:AI105,5,FALSE),0)/1000+ROUND(BD37,3)),ROUND(VLOOKUP(BC37,Y6:AC105,5,FALSE),0)/1000+ROUND(BD37,3)),ROUND(VLOOKUP(BC37,S6:W105,5,FALSE),0)/1000+ROUND(BD37,3)),ROUND(VLOOKUP(BC37,M6:Q105,5,FALSE),0)/1000+ROUND(BD37,3)),ROUND(VLOOKUP(BC37,G6:K105,5,FALSE),0)/1000+ROUND(BD37,3)),ROUND(VLOOKUP(BC37,A6:E105,5,FALSE),0)/1000+ROUND(BD37,3)))))</f>
        <v/>
      </c>
      <c r="BG37" s="18" t="str">
        <f>IF(OR(NOT(EXACT(UPPER(BC37),"TBM")),BD37=""),IF(AND(BD37&lt;&gt;"",BE37="",BF37&lt;&gt;""),"",IF(AND(BD37="",BE37&lt;&gt;"",BF37&lt;&gt;""),ROUND(ROUND(BF37,3)-ROUND(BE37,3),3)*1000,IF(AND(BD37&lt;&gt;"",BE37&lt;&gt;"",BF37&lt;&gt;""),ROUND(ROUND(BF36,3)-ROUND(BE37,3),3)*1000,""))),"")</f>
        <v/>
      </c>
      <c r="BH37" s="45" t="str">
        <f>IF(AND(NOT(ISNA(VLOOKUP(BC37,A6:E105,5,FALSE))),BD37="",BE37&lt;&gt;""),ROUND((VLOOKUP(BC37,A6:E105,5,FALSE)-BG37)/1000,3),IF(AND(NOT(ISNA(VLOOKUP(BC37,G6:K105,5,FALSE))),BD37="",BE37&lt;&gt;""),ROUND((VLOOKUP(BC37,G6:K105,5,FALSE)-BG37)/1000,3),IF(AND(NOT(ISNA(VLOOKUP(BC37,M6:Q105,5,FALSE))),BD37="",BE37&lt;&gt;""),ROUND((VLOOKUP(BC37,M6:Q105,5,FALSE)-BG37)/1000,3),IF(AND(NOT(ISNA(VLOOKUP(BC37,S6:W105,5,FALSE))),BD37="",BE37&lt;&gt;""),ROUND((VLOOKUP(BC37,S6:W105,5,FALSE)-BG37)/1000,3),IF(AND(NOT(ISNA(VLOOKUP(BC37,Y6:AC105,5,FALSE))),BD37="",BE37&lt;&gt;""),ROUND((VLOOKUP(BC37,Y6:AC105,5,FALSE)-BG37)/1000,3),IF(AND(NOT(ISNA(VLOOKUP(BC37,AE6:AI105,5,FALSE))),BD37="",BE37&lt;&gt;""),ROUND((VLOOKUP(BC37,AE6:AI105,5,FALSE)-BG37)/1000,3),IF(AND(NOT(ISNA(VLOOKUP(BC37,AK6:AO105,5,FALSE))),BD37="",BE37&lt;&gt;""),ROUND((VLOOKUP(BC37,AK6:AO105,5,FALSE)-BG37)/1000,3),IF(AND(NOT(ISNA(VLOOKUP(BC37,AQ6:AU105,5,FALSE))),BD37="",BE37&lt;&gt;""),ROUND((VLOOKUP(BC37,AQ6:AU105,5,FALSE)-BG37)/1000,3),IF(AND(NOT(ISNA(VLOOKUP(BC37,AW6:BA105,5,FALSE))),BD37="",BE37&lt;&gt;""),ROUND((VLOOKUP(BC37,AW6:BA105,5,FALSE)-BG37)/1000,3),IF(AND(NOT(ISNA(VLOOKUP(BC37,BC6:BG36,5,FALSE))),BD37="",BE37&lt;&gt;""),ROUND((VLOOKUP(BC37,BC6:BG36,5,FALSE)-BG37)/1000,3),""))))))))))</f>
        <v/>
      </c>
    </row>
    <row r="38" spans="1:60" x14ac:dyDescent="0.25">
      <c r="A38" s="19">
        <f t="shared" si="3"/>
        <v>32</v>
      </c>
      <c r="B38" s="39"/>
      <c r="C38" s="39"/>
      <c r="D38" s="15" t="str">
        <f>IF(AND(B38&lt;&gt;"",C38&lt;&gt;""),ROUND(B38,3)+ROUND(D37,3)-ROUND(C38,3),IF(AND(EXACT(UPPER(A38),"TBM"),B38&lt;&gt;""),ROUND(B38,3),IF(B38="",D37,IF(ISNA(VLOOKUP(A38,A6:E37,5,FALSE)),"",ROUND(VLOOKUP(A38,A6:E37,5,FALSE),0)/1000+ROUND(B38,3)))))</f>
        <v/>
      </c>
      <c r="E38" s="22" t="str">
        <f t="shared" si="0"/>
        <v/>
      </c>
      <c r="F38" s="44" t="str">
        <f>IF(AND(NOT(ISNA(VLOOKUP(A38,A6:E37,5,FALSE))),B38="",C38&lt;&gt;""),ROUND((VLOOKUP(A38,A6:E37,5,FALSE)-E38)/1000,3),"")</f>
        <v/>
      </c>
      <c r="G38" s="19">
        <f t="shared" si="1"/>
        <v>132</v>
      </c>
      <c r="H38" s="43"/>
      <c r="I38" s="43"/>
      <c r="J38" s="15" t="str">
        <f>IF(AND(H38&lt;&gt;"",I38&lt;&gt;""),ROUND(H38,3)+ROUND(J37,3)-ROUND(I38,3),IF(AND(EXACT(UPPER(G38),"TBM"),H38&lt;&gt;""),ROUND(H38,3),IF(H38="",J37,IF(ISNA(VLOOKUP(G38,A6:E105,5,FALSE)),IF(ISNA(VLOOKUP(G38,G6:K37,5,FALSE)),"",ROUND(VLOOKUP(G38,G6:K37,5,FALSE),0)/1000+ROUND(H38,3)),ROUND(VLOOKUP(G38,A6:E105,5,FALSE),0)/1000+ROUND(H38,3)))))</f>
        <v/>
      </c>
      <c r="K38" s="18" t="str">
        <f t="shared" si="2"/>
        <v/>
      </c>
      <c r="L38" s="44" t="str">
        <f>IF(AND(NOT(ISNA(VLOOKUP(G38,A6:E105,5,FALSE))),H38="",I38&lt;&gt;""),ROUND((VLOOKUP(G38,A6:E105,5,FALSE)-K38)/1000,3),IF(AND(NOT(ISNA(VLOOKUP(G38,G6:K37,5,FALSE))),H38="",I38&lt;&gt;""),ROUND((VLOOKUP(G38,G6:K37,5,FALSE)-K38)/1000,3),""))</f>
        <v/>
      </c>
      <c r="M38" s="19">
        <f>IF(M37="","",M37+1)</f>
        <v>232</v>
      </c>
      <c r="N38" s="43"/>
      <c r="O38" s="43"/>
      <c r="P38" s="15" t="str">
        <f>IF(AND(N38&lt;&gt;"",O38&lt;&gt;""),ROUND(N38,3)+ROUND(P37,3)-ROUND(O38,3),IF(AND(EXACT(UPPER(M38),"TBM"),N38&lt;&gt;""),ROUND(N38,3),IF(N38="",P37,IF(ISNA(VLOOKUP(M38,A6:E105,5,FALSE)),IF(ISNA(VLOOKUP(M38,G6:K105,5,FALSE)),IF(ISNA(VLOOKUP(M38,M6:Q37,5,FALSE)),"",ROUND(VLOOKUP(M38,M6:Q37,5,FALSE),0)/1000+ROUND(N38,3)),ROUND(VLOOKUP(M38,G6:K105,5,FALSE),0)/1000+ROUND(N38,3)),ROUND(VLOOKUP(M38,A6:E105,5,FALSE),0)/1000+ROUND(N38,3)))))</f>
        <v/>
      </c>
      <c r="Q38" s="18" t="str">
        <f>IF(OR(NOT(EXACT(UPPER(M38),"TBM")),N38=""),IF(AND(N38&lt;&gt;"",O38="",P38&lt;&gt;""),"",IF(AND(N38="",O38&lt;&gt;"",P38&lt;&gt;""),ROUND(ROUND(P38,3)-ROUND(O38,3),3)*1000,IF(AND(N38&lt;&gt;"",O38&lt;&gt;"",P38&lt;&gt;""),ROUND(ROUND(P37,3)-ROUND(O38,3),3)*1000,""))),"")</f>
        <v/>
      </c>
      <c r="R38" s="44" t="str">
        <f>IF(AND(NOT(ISNA(VLOOKUP(M38,A6:E105,5,FALSE))),N38="",O38&lt;&gt;""),ROUND((VLOOKUP(M38,A6:E105,5,FALSE)-Q38)/1000,3),IF(AND(NOT(ISNA(VLOOKUP(M38,G6:K105,5,FALSE))),N38="",O38&lt;&gt;""),ROUND((VLOOKUP(M38,G6:K105,5,FALSE)-Q38)/1000,3),IF(AND(NOT(ISNA(VLOOKUP(M38,M6:Q37,5,FALSE))),N38="",O38&lt;&gt;""),ROUND((VLOOKUP(M38,M6:Q37,5,FALSE)-Q38)/1000,3),"")))</f>
        <v/>
      </c>
      <c r="S38" s="19">
        <f>IF(S37="","",S37+1)</f>
        <v>332</v>
      </c>
      <c r="T38" s="43"/>
      <c r="U38" s="43"/>
      <c r="V38" s="15" t="str">
        <f>IF(AND(T38&lt;&gt;"",U38&lt;&gt;""),ROUND(T38,3)+ROUND(V37,3)-ROUND(U38,3),IF(AND(EXACT(UPPER(S38),"TBM"),T38&lt;&gt;""),ROUND(T38,3),IF(T38="",V37,IF(ISNA(VLOOKUP(S38,A6:E105,5,FALSE)),IF(ISNA(VLOOKUP(S38,G6:K105,5,FALSE)),IF(ISNA(VLOOKUP(S38,M6:Q105,5,FALSE)),IF(ISNA(VLOOKUP(S38,S6:W37,5,FALSE)),"",ROUND(VLOOKUP(S38,S6:W37,5,FALSE),0)/1000+ROUND(T38,3)),ROUND(VLOOKUP(S38,M6:Q105,5,FALSE),0)/1000+ROUND(T38,3)),ROUND(VLOOKUP(S38,G6:K105,5,FALSE),0)/1000+ROUND(T38,3)),ROUND(VLOOKUP(S38,A6:E105,5,FALSE),0)/1000+ROUND(T38,3)))))</f>
        <v/>
      </c>
      <c r="W38" s="18" t="str">
        <f>IF(OR(NOT(EXACT(UPPER(S38),"TBM")),T38=""),IF(AND(T38&lt;&gt;"",U38="",V38&lt;&gt;""),"",IF(AND(T38="",U38&lt;&gt;"",V38&lt;&gt;""),ROUND(ROUND(V38,3)-ROUND(U38,3),3)*1000,IF(AND(T38&lt;&gt;"",U38&lt;&gt;"",V38&lt;&gt;""),ROUND(ROUND(V37,3)-ROUND(U38,3),3)*1000,""))),"")</f>
        <v/>
      </c>
      <c r="X38" s="44" t="str">
        <f>IF(AND(NOT(ISNA(VLOOKUP(S38,A6:E105,5,FALSE))),T38="",U38&lt;&gt;""),ROUND((VLOOKUP(S38,A6:E105,5,FALSE)-W38)/1000,3),IF(AND(NOT(ISNA(VLOOKUP(S38,G6:K105,5,FALSE))),T38="",U38&lt;&gt;""),ROUND((VLOOKUP(S38,G6:K105,5,FALSE)-W38)/1000,3),IF(AND(NOT(ISNA(VLOOKUP(S38,M6:Q105,5,FALSE))),T38="",U38&lt;&gt;""),ROUND((VLOOKUP(S38,M6:Q105,5,FALSE)-W38)/1000,3),IF(AND(NOT(ISNA(VLOOKUP(S38,S6:W37,5,FALSE))),T38="",U38&lt;&gt;""),ROUND((VLOOKUP(S38,S6:W37,5,FALSE)-W38)/1000,3),""))))</f>
        <v/>
      </c>
      <c r="Y38" s="19">
        <f>IF(Y37="","",Y37+1)</f>
        <v>432</v>
      </c>
      <c r="Z38" s="43"/>
      <c r="AA38" s="43"/>
      <c r="AB38" s="15" t="str">
        <f>IF(AND(Z38&lt;&gt;"",AA38&lt;&gt;""),ROUND(Z38,3)+ROUND(AB37,3)-ROUND(AA38,3),IF(AND(EXACT(UPPER(Y38),"TBM"),Z38&lt;&gt;""),ROUND(Z38,3),IF(Z38="",AB37,IF(ISNA(VLOOKUP(Y38,A6:E105,5,FALSE)),IF(ISNA(VLOOKUP(Y38,G6:K105,5,FALSE)),IF(ISNA(VLOOKUP(Y38,M6:Q105,5,FALSE)),IF(ISNA(VLOOKUP(Y38,S6:W105,5,FALSE)),IF(ISNA(VLOOKUP(Y38,Y6:AC37,5,FALSE)),"",ROUND(VLOOKUP(Y38,Y6:AC37,5,FALSE),0)/1000+ROUND(Z38,3)),ROUND(VLOOKUP(Y38,S6:W105,5,FALSE),0)/1000+ROUND(Z38,3)),ROUND(VLOOKUP(Y38,M6:Q105,5,FALSE),0)/1000+ROUND(Z38,3)),ROUND(VLOOKUP(Y38,G6:K105,5,FALSE),0)/1000+ROUND(Z38,3)),ROUND(VLOOKUP(Y38,A6:E105,5,FALSE),0)/1000+ROUND(Z38,3)))))</f>
        <v/>
      </c>
      <c r="AC38" s="18" t="str">
        <f>IF(OR(NOT(EXACT(UPPER(Y38),"TBM")),Z38=""),IF(AND(Z38&lt;&gt;"",AA38="",AB38&lt;&gt;""),"",IF(AND(Z38="",AA38&lt;&gt;"",AB38&lt;&gt;""),ROUND(ROUND(AB38,3)-ROUND(AA38,3),3)*1000,IF(AND(Z38&lt;&gt;"",AA38&lt;&gt;"",AB38&lt;&gt;""),ROUND(ROUND(AB37,3)-ROUND(AA38,3),3)*1000,""))),"")</f>
        <v/>
      </c>
      <c r="AD38" s="44" t="str">
        <f>IF(AND(NOT(ISNA(VLOOKUP(Y38,A6:E105,5,FALSE))),Z38="",AA38&lt;&gt;""),ROUND((VLOOKUP(Y38,A6:E105,5,FALSE)-AC38)/1000,3),IF(AND(NOT(ISNA(VLOOKUP(Y38,G6:K105,5,FALSE))),Z38="",AA38&lt;&gt;""),ROUND((VLOOKUP(Y38,G6:K105,5,FALSE)-AC38)/1000,3),IF(AND(NOT(ISNA(VLOOKUP(Y38,M6:Q105,5,FALSE))),Z38="",AA38&lt;&gt;""),ROUND((VLOOKUP(Y38,M6:Q105,5,FALSE)-AC38)/1000,3),IF(AND(NOT(ISNA(VLOOKUP(Y38,S6:W105,5,FALSE))),Z38="",AA38&lt;&gt;""),ROUND((VLOOKUP(Y38,S6:W105,5,FALSE)-AC38)/1000,3),IF(AND(NOT(ISNA(VLOOKUP(Y38,Y6:AC37,5,FALSE))),Z38="",AA38&lt;&gt;""),ROUND((VLOOKUP(Y38,Y6:AC37,5,FALSE)-AC38)/1000,3),"")))))</f>
        <v/>
      </c>
      <c r="AE38" s="19">
        <f>IF(AE37="","",AE37+1)</f>
        <v>532</v>
      </c>
      <c r="AF38" s="43"/>
      <c r="AG38" s="43"/>
      <c r="AH38" s="15" t="str">
        <f>IF(AND(AF38&lt;&gt;"",AG38&lt;&gt;""),ROUND(AF38,3)+ROUND(AH37,3)-ROUND(AG38,3),IF(AND(EXACT(UPPER(AE38),"TBM"),AF38&lt;&gt;""),ROUND(AF38,3),IF(AF38="",AH37,IF(ISNA(VLOOKUP(AE38,A6:E105,5,FALSE)),IF(ISNA(VLOOKUP(AE38,G6:K105,5,FALSE)),IF(ISNA(VLOOKUP(AE38,M6:Q105,5,FALSE)),IF(ISNA(VLOOKUP(AE38,S6:W105,5,FALSE)),IF(ISNA(VLOOKUP(AE38,Y6:AC105,5,FALSE)),IF(ISNA(VLOOKUP(AE38,AE6:AI37,5,FALSE)),"",ROUND(VLOOKUP(AE38,AE6:AI37,5,FALSE),0)/1000+ROUND(AF38,3)),ROUND(VLOOKUP(AE38,Y6:AC105,5,FALSE),0)/1000+ROUND(AF38,3)),ROUND(VLOOKUP(AE38,S6:W105,5,FALSE),0)/1000+ROUND(AF38,3)),ROUND(VLOOKUP(AE38,M6:Q105,5,FALSE),0)/1000+ROUND(AF38,3)),ROUND(VLOOKUP(AE38,G6:K105,5,FALSE),0)/1000+ROUND(AF38,3)),ROUND(VLOOKUP(AE38,A6:E105,5,FALSE),0)/1000+ROUND(AF38,3)))))</f>
        <v/>
      </c>
      <c r="AI38" s="18" t="str">
        <f>IF(OR(NOT(EXACT(UPPER(AE38),"TBM")),AF38=""),IF(AND(AF38&lt;&gt;"",AG38="",AH38&lt;&gt;""),"",IF(AND(AF38="",AG38&lt;&gt;"",AH38&lt;&gt;""),ROUND(ROUND(AH38,3)-ROUND(AG38,3),3)*1000,IF(AND(AF38&lt;&gt;"",AG38&lt;&gt;"",AH38&lt;&gt;""),ROUND(ROUND(AH37,3)-ROUND(AG38,3),3)*1000,""))),"")</f>
        <v/>
      </c>
      <c r="AJ38" s="44" t="str">
        <f>IF(AND(NOT(ISNA(VLOOKUP(AE38,A6:E105,5,FALSE))),AF38="",AG38&lt;&gt;""),ROUND((VLOOKUP(AE38,A6:E105,5,FALSE)-AI38)/1000,3),IF(AND(NOT(ISNA(VLOOKUP(AE38,G6:K105,5,FALSE))),AF38="",AG38&lt;&gt;""),ROUND((VLOOKUP(AE38,G6:K105,5,FALSE)-AI38)/1000,3),IF(AND(NOT(ISNA(VLOOKUP(AE38,M6:Q105,5,FALSE))),AF38="",AG38&lt;&gt;""),ROUND((VLOOKUP(AE38,M6:Q105,5,FALSE)-AI38)/1000,3),IF(AND(NOT(ISNA(VLOOKUP(AE38,S6:W105,5,FALSE))),AF38="",AG38&lt;&gt;""),ROUND((VLOOKUP(AE38,S6:W105,5,FALSE)-AI38)/1000,3),IF(AND(NOT(ISNA(VLOOKUP(AE38,Y6:AC105,5,FALSE))),AF38="",AG38&lt;&gt;""),ROUND((VLOOKUP(AE38,Y6:AC105,5,FALSE)-AI38)/1000,3),IF(AND(NOT(ISNA(VLOOKUP(AE38,AE6:AI37,5,FALSE))),AF38="",AG38&lt;&gt;""),ROUND((VLOOKUP(AE38,AE6:AI37,5,FALSE)-AI38)/1000,3),""))))))</f>
        <v/>
      </c>
      <c r="AK38" s="19">
        <f>IF(AK37="","",AK37+1)</f>
        <v>632</v>
      </c>
      <c r="AL38" s="43"/>
      <c r="AM38" s="43"/>
      <c r="AN38" s="15" t="str">
        <f>IF(AND(AL38&lt;&gt;"",AM38&lt;&gt;""),ROUND(AL38,3)+ROUND(AN37,3)-ROUND(AM38,3),IF(AND(EXACT(UPPER(AK38),"TBM"),AL38&lt;&gt;""),ROUND(AL38,3),IF(AL38="",AN37,IF(ISNA(VLOOKUP(AK38,A6:E105,5,FALSE)),IF(ISNA(VLOOKUP(AK38,G6:K105,5,FALSE)),IF(ISNA(VLOOKUP(AK38,M6:Q105,5,FALSE)),IF(ISNA(VLOOKUP(AK38,S6:W105,5,FALSE)),IF(ISNA(VLOOKUP(AK38,Y6:AC105,5,FALSE)),IF(ISNA(VLOOKUP(AK38,AE6:AI105,5,FALSE)),IF(ISNA(VLOOKUP(AK38,AK6:AO37,5,FALSE)),"",ROUND(VLOOKUP(AK38,AK6:AO37,5,FALSE),0)/1000+ROUND(AL38,3)),ROUND(VLOOKUP(AK38,AE6:AI105,5,FALSE),0)/1000+ROUND(AL38,3)),ROUND(VLOOKUP(AK38,Y6:AC105,5,FALSE),0)/1000+ROUND(AL38,3)),ROUND(VLOOKUP(AK38,S6:W105,5,FALSE),0)/1000+ROUND(AL38,3)),ROUND(VLOOKUP(AK38,M6:Q105,5,FALSE),0)/1000+ROUND(AL38,3)),ROUND(VLOOKUP(AK38,G6:K105,5,FALSE),0)/1000+ROUND(AL38,3)),ROUND(VLOOKUP(AK38,A6:E105,5,FALSE),0)/1000+ROUND(AL38,3)))))</f>
        <v/>
      </c>
      <c r="AO38" s="18" t="str">
        <f>IF(OR(NOT(EXACT(UPPER(AK38),"TBM")),AL38=""),IF(AND(AL38&lt;&gt;"",AM38="",AN38&lt;&gt;""),"",IF(AND(AL38="",AM38&lt;&gt;"",AN38&lt;&gt;""),ROUND(ROUND(AN38,3)-ROUND(AM38,3),3)*1000,IF(AND(AL38&lt;&gt;"",AM38&lt;&gt;"",AN38&lt;&gt;""),ROUND(ROUND(AN37,3)-ROUND(AM38,3),3)*1000,""))),"")</f>
        <v/>
      </c>
      <c r="AP38" s="44" t="str">
        <f>IF(AND(NOT(ISNA(VLOOKUP(AK38,A6:E105,5,FALSE))),AL38="",AM38&lt;&gt;""),ROUND((VLOOKUP(AK38,A6:E105,5,FALSE)-AO38)/1000,3),IF(AND(NOT(ISNA(VLOOKUP(AK38,G6:K105,5,FALSE))),AL38="",AM38&lt;&gt;""),ROUND((VLOOKUP(AK38,G6:K105,5,FALSE)-AO38)/1000,3),IF(AND(NOT(ISNA(VLOOKUP(AK38,M6:Q105,5,FALSE))),AL38="",AM38&lt;&gt;""),ROUND((VLOOKUP(AK38,M6:Q105,5,FALSE)-AO38)/1000,3),IF(AND(NOT(ISNA(VLOOKUP(AK38,S6:W105,5,FALSE))),AL38="",AM38&lt;&gt;""),ROUND((VLOOKUP(AK38,S6:W105,5,FALSE)-AO38)/1000,3),IF(AND(NOT(ISNA(VLOOKUP(AK38,Y6:AC105,5,FALSE))),AL38="",AM38&lt;&gt;""),ROUND((VLOOKUP(AK38,Y6:AC105,5,FALSE)-AO38)/1000,3),IF(AND(NOT(ISNA(VLOOKUP(AK38,AE6:AI105,5,FALSE))),AL38="",AM38&lt;&gt;""),ROUND((VLOOKUP(AK38,AE6:AI105,5,FALSE)-AO38)/1000,3),IF(AND(NOT(ISNA(VLOOKUP(AK38,AK6:AO37,5,FALSE))),AL38="",AM38&lt;&gt;""),ROUND((VLOOKUP(AK38,AK6:AO37,5,FALSE)-AO38)/1000,3),"")))))))</f>
        <v/>
      </c>
      <c r="AQ38" s="19">
        <f>IF(AQ37="","",AQ37+1)</f>
        <v>732</v>
      </c>
      <c r="AR38" s="43"/>
      <c r="AS38" s="43"/>
      <c r="AT38" s="15" t="str">
        <f>IF(AND(AR38&lt;&gt;"",AS38&lt;&gt;""),ROUND(AR38,3)+ROUND(AT37,3)-ROUND(AS38,3),IF(AND(EXACT(UPPER(AQ38),"TBM"),AR38&lt;&gt;""),ROUND(AR38,3),IF(AR38="",AT37,IF(ISNA(VLOOKUP(AQ38,A6:E105,5,FALSE)),IF(ISNA(VLOOKUP(AQ38,G6:K105,5,FALSE)),IF(ISNA(VLOOKUP(AQ38,M6:Q105,5,FALSE)),IF(ISNA(VLOOKUP(AQ38,S6:W105,5,FALSE)),IF(ISNA(VLOOKUP(AQ38,Y6:AC105,5,FALSE)),IF(ISNA(VLOOKUP(AQ38,AE6:AI105,5,FALSE)),IF(ISNA(VLOOKUP(AQ38,AK6:AO105,5,FALSE)),IF(ISNA(VLOOKUP(AQ38,AQ6:AU37,5,FALSE)),"",ROUND(VLOOKUP(AQ38,AQ6:AU37,5,FALSE),0)/1000+ROUND(AR38,3)),ROUND(VLOOKUP(AQ38,AK6:AO105,5,FALSE),0)/1000+ROUND(AR38,3)),ROUND(VLOOKUP(AQ38,AE6:AI105,5,FALSE),0)/1000+ROUND(AR38,3)),ROUND(VLOOKUP(AQ38,Y6:AC105,5,FALSE),0)/1000+ROUND(AR38,3)),ROUND(VLOOKUP(AQ38,S6:W105,5,FALSE),0)/1000+ROUND(AR38,3)),ROUND(VLOOKUP(AQ38,M6:Q105,5,FALSE),0)/1000+ROUND(AR38,3)),ROUND(VLOOKUP(AQ38,G6:K105,5,FALSE),0)/1000+ROUND(AR38,3)),ROUND(VLOOKUP(AQ38,A6:E105,5,FALSE),0)/1000+ROUND(AR38,3)))))</f>
        <v/>
      </c>
      <c r="AU38" s="18" t="str">
        <f>IF(OR(NOT(EXACT(UPPER(AQ38),"TBM")),AR38=""),IF(AND(AR38&lt;&gt;"",AS38="",AT38&lt;&gt;""),"",IF(AND(AR38="",AS38&lt;&gt;"",AT38&lt;&gt;""),ROUND(ROUND(AT38,3)-ROUND(AS38,3),3)*1000,IF(AND(AR38&lt;&gt;"",AS38&lt;&gt;"",AT38&lt;&gt;""),ROUND(ROUND(AT37,3)-ROUND(AS38,3),3)*1000,""))),"")</f>
        <v/>
      </c>
      <c r="AV38" s="44" t="str">
        <f>IF(AND(NOT(ISNA(VLOOKUP(AQ38,A6:E105,5,FALSE))),AR38="",AS38&lt;&gt;""),ROUND((VLOOKUP(AQ38,A6:E105,5,FALSE)-AU38)/1000,3),IF(AND(NOT(ISNA(VLOOKUP(AQ38,G6:K105,5,FALSE))),AR38="",AS38&lt;&gt;""),ROUND((VLOOKUP(AQ38,G6:K105,5,FALSE)-AU38)/1000,3),IF(AND(NOT(ISNA(VLOOKUP(AQ38,M6:Q105,5,FALSE))),AR38="",AS38&lt;&gt;""),ROUND((VLOOKUP(AQ38,M6:Q105,5,FALSE)-AU38)/1000,3),IF(AND(NOT(ISNA(VLOOKUP(AQ38,S6:W105,5,FALSE))),AR38="",AS38&lt;&gt;""),ROUND((VLOOKUP(AQ38,S6:W105,5,FALSE)-AU38)/1000,3),IF(AND(NOT(ISNA(VLOOKUP(AQ38,Y6:AC105,5,FALSE))),AR38="",AS38&lt;&gt;""),ROUND((VLOOKUP(AQ38,Y6:AC105,5,FALSE)-AU38)/1000,3),IF(AND(NOT(ISNA(VLOOKUP(AQ38,AE6:AI105,5,FALSE))),AR38="",AS38&lt;&gt;""),ROUND((VLOOKUP(AQ38,AE6:AI105,5,FALSE)-AU38)/1000,3),IF(AND(NOT(ISNA(VLOOKUP(AQ38,AK6:AO105,5,FALSE))),AR38="",AS38&lt;&gt;""),ROUND((VLOOKUP(AQ38,AK6:AO105,5,FALSE)-AU38)/1000,3),IF(AND(NOT(ISNA(VLOOKUP(AQ38,AQ6:AU37,5,FALSE))),AR38="",AS38&lt;&gt;""),ROUND((VLOOKUP(AQ38,AQ6:AU37,5,FALSE)-AU38)/1000,3),""))))))))</f>
        <v/>
      </c>
      <c r="AW38" s="19">
        <f>IF(AW37="","",AW37+1)</f>
        <v>832</v>
      </c>
      <c r="AX38" s="43"/>
      <c r="AY38" s="43"/>
      <c r="AZ38" s="15" t="str">
        <f>IF(AND(AX38&lt;&gt;"",AY38&lt;&gt;""),ROUND(AX38,3)+ROUND(AZ37,3)-ROUND(AY38,3),IF(AND(EXACT(UPPER(AW38),"TBM"),AX38&lt;&gt;""),ROUND(AX38,3),IF(AX38="",AZ37,IF(ISNA(VLOOKUP(AW38,A6:E105,5,FALSE)),IF(ISNA(VLOOKUP(AW38,G6:K105,5,FALSE)),IF(ISNA(VLOOKUP(AW38,M6:Q105,5,FALSE)),IF(ISNA(VLOOKUP(AW38,S6:W105,5,FALSE)),IF(ISNA(VLOOKUP(AW38,Y6:AC105,5,FALSE)),IF(ISNA(VLOOKUP(AW38,AE6:AI105,5,FALSE)),IF(ISNA(VLOOKUP(AW38,AK6:AO105,5,FALSE)),IF(ISNA(VLOOKUP(AW38,AQ6:AU105,5,FALSE)),IF(ISNA(VLOOKUP(AW38,AW6:BA37,5,FALSE)),"",ROUND(VLOOKUP(AW38,AW6:BA37,5,FALSE),0)/1000+ROUND(AX38,3)),ROUND(VLOOKUP(AW38,AQ6:AU105,5,FALSE),0)/1000+ROUND(AX38,3)),ROUND(VLOOKUP(AW38,AK6:AO105,5,FALSE),0)/1000+ROUND(AX38,3)),ROUND(VLOOKUP(AW38,AE6:AI105,5,FALSE),0)/1000+ROUND(AX38,3)),ROUND(VLOOKUP(AW38,Y6:AC105,5,FALSE),0)/1000+ROUND(AX38,3)),ROUND(VLOOKUP(AW38,S6:W105,5,FALSE),0)/1000+ROUND(AX38,3)),ROUND(VLOOKUP(AW38,M6:Q105,5,FALSE),0)/1000+ROUND(AX38,3)),ROUND(VLOOKUP(AW38,G6:K105,5,FALSE),0)/1000+ROUND(AX38,3)),ROUND(VLOOKUP(AW38,A6:E105,5,FALSE),0)/1000+ROUND(AX38,3)))))</f>
        <v/>
      </c>
      <c r="BA38" s="18" t="str">
        <f>IF(OR(NOT(EXACT(UPPER(AW38),"TBM")),AX38=""),IF(AND(AX38&lt;&gt;"",AY38="",AZ38&lt;&gt;""),"",IF(AND(AX38="",AY38&lt;&gt;"",AZ38&lt;&gt;""),ROUND(ROUND(AZ38,3)-ROUND(AY38,3),3)*1000,IF(AND(AX38&lt;&gt;"",AY38&lt;&gt;"",AZ38&lt;&gt;""),ROUND(ROUND(AZ37,3)-ROUND(AY38,3),3)*1000,""))),"")</f>
        <v/>
      </c>
      <c r="BB38" s="44" t="str">
        <f>IF(AND(NOT(ISNA(VLOOKUP(AW38,A6:E105,5,FALSE))),AX38="",AY38&lt;&gt;""),ROUND((VLOOKUP(AW38,A6:E105,5,FALSE)-BA38)/1000,3),IF(AND(NOT(ISNA(VLOOKUP(AW38,G6:K105,5,FALSE))),AX38="",AY38&lt;&gt;""),ROUND((VLOOKUP(AW38,G6:K105,5,FALSE)-BA38)/1000,3),IF(AND(NOT(ISNA(VLOOKUP(AW38,M6:Q105,5,FALSE))),AX38="",AY38&lt;&gt;""),ROUND((VLOOKUP(AW38,M6:Q105,5,FALSE)-BA38)/1000,3),IF(AND(NOT(ISNA(VLOOKUP(AW38,S6:W105,5,FALSE))),AX38="",AY38&lt;&gt;""),ROUND((VLOOKUP(AW38,S6:W105,5,FALSE)-BA38)/1000,3),IF(AND(NOT(ISNA(VLOOKUP(AW38,Y6:AC105,5,FALSE))),AX38="",AY38&lt;&gt;""),ROUND((VLOOKUP(AW38,Y6:AC105,5,FALSE)-BA38)/1000,3),IF(AND(NOT(ISNA(VLOOKUP(AW38,AE6:AI105,5,FALSE))),AX38="",AY38&lt;&gt;""),ROUND((VLOOKUP(AW38,AE6:AI105,5,FALSE)-BA38)/1000,3),IF(AND(NOT(ISNA(VLOOKUP(AW38,AK6:AO105,5,FALSE))),AX38="",AY38&lt;&gt;""),ROUND((VLOOKUP(AW38,AK6:AO105,5,FALSE)-BA38)/1000,3),IF(AND(NOT(ISNA(VLOOKUP(AW38,AQ6:AU105,5,FALSE))),AX38="",AY38&lt;&gt;""),ROUND((VLOOKUP(AW38,AQ6:AU105,5,FALSE)-BA38)/1000,3),IF(AND(NOT(ISNA(VLOOKUP(AW38,AW6:BA37,5,FALSE))),AX38="",AY38&lt;&gt;""),ROUND((VLOOKUP(AW38,AW6:BA37,5,FALSE)-BA38)/1000,3),"")))))))))</f>
        <v/>
      </c>
      <c r="BC38" s="19">
        <f>IF(BC37="","",BC37+1)</f>
        <v>932</v>
      </c>
      <c r="BD38" s="43"/>
      <c r="BE38" s="43"/>
      <c r="BF38" s="15" t="str">
        <f>IF(AND(BD38&lt;&gt;"",BE38&lt;&gt;""),ROUND(BD38,3)+ROUND(BF37,3)-ROUND(BE38,3),IF(AND(EXACT(UPPER(BC38),"TBM"),BD38&lt;&gt;""),ROUND(BD38,3),IF(BD38="",BF37,IF(ISNA(VLOOKUP(BC38,A6:E105,5,FALSE)),IF(ISNA(VLOOKUP(BC38,G6:K105,5,FALSE)),IF(ISNA(VLOOKUP(BC38,M6:Q105,5,FALSE)),IF(ISNA(VLOOKUP(BC38,S6:W105,5,FALSE)),IF(ISNA(VLOOKUP(BC38,Y6:AC105,5,FALSE)),IF(ISNA(VLOOKUP(BC38,AE6:AI105,5,FALSE)),IF(ISNA(VLOOKUP(BC38,AK6:AO105,5,FALSE)),IF(ISNA(VLOOKUP(BC38,AQ6:AU105,5,FALSE)),IF(ISNA(VLOOKUP(BC38,AW6:BA105,5,FALSE)),IF(ISNA(VLOOKUP(BC38,BC6:BG37,5,FALSE)),"",ROUND(VLOOKUP(BC38,BC6:BG37,5,FALSE),0)/1000+ROUND(BD38,3)),ROUND(VLOOKUP(BC38,AW6:BA105,5,FALSE),0)/1000+ROUND(BD38,3)),ROUND(VLOOKUP(BC38,AQ6:AU105,5,FALSE),0)/1000+ROUND(BD38,3)),ROUND(VLOOKUP(BC38,AK6:AO105,5,FALSE),0)/1000+ROUND(BD38,3)),ROUND(VLOOKUP(BC38,AE6:AI105,5,FALSE),0)/1000+ROUND(BD38,3)),ROUND(VLOOKUP(BC38,Y6:AC105,5,FALSE),0)/1000+ROUND(BD38,3)),ROUND(VLOOKUP(BC38,S6:W105,5,FALSE),0)/1000+ROUND(BD38,3)),ROUND(VLOOKUP(BC38,M6:Q105,5,FALSE),0)/1000+ROUND(BD38,3)),ROUND(VLOOKUP(BC38,G6:K105,5,FALSE),0)/1000+ROUND(BD38,3)),ROUND(VLOOKUP(BC38,A6:E105,5,FALSE),0)/1000+ROUND(BD38,3)))))</f>
        <v/>
      </c>
      <c r="BG38" s="18" t="str">
        <f>IF(OR(NOT(EXACT(UPPER(BC38),"TBM")),BD38=""),IF(AND(BD38&lt;&gt;"",BE38="",BF38&lt;&gt;""),"",IF(AND(BD38="",BE38&lt;&gt;"",BF38&lt;&gt;""),ROUND(ROUND(BF38,3)-ROUND(BE38,3),3)*1000,IF(AND(BD38&lt;&gt;"",BE38&lt;&gt;"",BF38&lt;&gt;""),ROUND(ROUND(BF37,3)-ROUND(BE38,3),3)*1000,""))),"")</f>
        <v/>
      </c>
      <c r="BH38" s="44" t="str">
        <f>IF(AND(NOT(ISNA(VLOOKUP(BC38,A6:E105,5,FALSE))),BD38="",BE38&lt;&gt;""),ROUND((VLOOKUP(BC38,A6:E105,5,FALSE)-BG38)/1000,3),IF(AND(NOT(ISNA(VLOOKUP(BC38,G6:K105,5,FALSE))),BD38="",BE38&lt;&gt;""),ROUND((VLOOKUP(BC38,G6:K105,5,FALSE)-BG38)/1000,3),IF(AND(NOT(ISNA(VLOOKUP(BC38,M6:Q105,5,FALSE))),BD38="",BE38&lt;&gt;""),ROUND((VLOOKUP(BC38,M6:Q105,5,FALSE)-BG38)/1000,3),IF(AND(NOT(ISNA(VLOOKUP(BC38,S6:W105,5,FALSE))),BD38="",BE38&lt;&gt;""),ROUND((VLOOKUP(BC38,S6:W105,5,FALSE)-BG38)/1000,3),IF(AND(NOT(ISNA(VLOOKUP(BC38,Y6:AC105,5,FALSE))),BD38="",BE38&lt;&gt;""),ROUND((VLOOKUP(BC38,Y6:AC105,5,FALSE)-BG38)/1000,3),IF(AND(NOT(ISNA(VLOOKUP(BC38,AE6:AI105,5,FALSE))),BD38="",BE38&lt;&gt;""),ROUND((VLOOKUP(BC38,AE6:AI105,5,FALSE)-BG38)/1000,3),IF(AND(NOT(ISNA(VLOOKUP(BC38,AK6:AO105,5,FALSE))),BD38="",BE38&lt;&gt;""),ROUND((VLOOKUP(BC38,AK6:AO105,5,FALSE)-BG38)/1000,3),IF(AND(NOT(ISNA(VLOOKUP(BC38,AQ6:AU105,5,FALSE))),BD38="",BE38&lt;&gt;""),ROUND((VLOOKUP(BC38,AQ6:AU105,5,FALSE)-BG38)/1000,3),IF(AND(NOT(ISNA(VLOOKUP(BC38,AW6:BA105,5,FALSE))),BD38="",BE38&lt;&gt;""),ROUND((VLOOKUP(BC38,AW6:BA105,5,FALSE)-BG38)/1000,3),IF(AND(NOT(ISNA(VLOOKUP(BC38,BC6:BG37,5,FALSE))),BD38="",BE38&lt;&gt;""),ROUND((VLOOKUP(BC38,BC6:BG37,5,FALSE)-BG38)/1000,3),""))))))))))</f>
        <v/>
      </c>
    </row>
    <row r="39" spans="1:60" x14ac:dyDescent="0.25">
      <c r="A39" s="19">
        <f t="shared" si="3"/>
        <v>33</v>
      </c>
      <c r="B39" s="39"/>
      <c r="C39" s="39"/>
      <c r="D39" s="15" t="str">
        <f>IF(AND(B39&lt;&gt;"",C39&lt;&gt;""),ROUND(B39,3)+ROUND(D38,3)-ROUND(C39,3),IF(AND(EXACT(UPPER(A39),"TBM"),B39&lt;&gt;""),ROUND(B39,3),IF(B39="",D38,IF(ISNA(VLOOKUP(A39,A6:E38,5,FALSE)),"",ROUND(VLOOKUP(A39,A6:E38,5,FALSE),0)/1000+ROUND(B39,3)))))</f>
        <v/>
      </c>
      <c r="E39" s="21" t="str">
        <f t="shared" ref="E39:E70" si="4">IF(OR(NOT(EXACT(UPPER(A39),"TBM")),B39=""),IF(AND(B39&lt;&gt;"",C39="",D39&lt;&gt;""),"",IF(AND(B39="",C39&lt;&gt;"",D39&lt;&gt;""),ROUND(ROUND(D39,3)-ROUND(C39,3),3)*1000,IF(AND(B39&lt;&gt;"",C39&lt;&gt;"",D39&lt;&gt;""),ROUND(ROUND(D38,3)-ROUND(C39,3),3)*1000,""))),"")</f>
        <v/>
      </c>
      <c r="F39" s="45" t="str">
        <f>IF(AND(NOT(ISNA(VLOOKUP(A39,A6:E38,5,FALSE))),B39="",C39&lt;&gt;""),ROUND((VLOOKUP(A39,A6:E38,5,FALSE)-E39)/1000,3),"")</f>
        <v/>
      </c>
      <c r="G39" s="19">
        <f t="shared" si="1"/>
        <v>133</v>
      </c>
      <c r="H39" s="39"/>
      <c r="I39" s="39"/>
      <c r="J39" s="15" t="str">
        <f>IF(AND(H39&lt;&gt;"",I39&lt;&gt;""),ROUND(H39,3)+ROUND(J38,3)-ROUND(I39,3),IF(AND(EXACT(UPPER(G39),"TBM"),H39&lt;&gt;""),ROUND(H39,3),IF(H39="",J38,IF(ISNA(VLOOKUP(G39,A6:E105,5,FALSE)),IF(ISNA(VLOOKUP(G39,G6:K38,5,FALSE)),"",ROUND(VLOOKUP(G39,G6:K38,5,FALSE),0)/1000+ROUND(H39,3)),ROUND(VLOOKUP(G39,A6:E105,5,FALSE),0)/1000+ROUND(H39,3)))))</f>
        <v/>
      </c>
      <c r="K39" s="18" t="str">
        <f t="shared" ref="K39:K70" si="5">IF(OR(NOT(EXACT(UPPER(G39),"TBM")),H39=""),IF(AND(H39&lt;&gt;"",I39="",J39&lt;&gt;""),"",IF(AND(H39="",I39&lt;&gt;"",J39&lt;&gt;""),ROUND(ROUND(J39,3)-ROUND(I39,3),3)*1000,IF(AND(H39&lt;&gt;"",I39&lt;&gt;"",J39&lt;&gt;""),ROUND(ROUND(J38,3)-ROUND(I39,3),3)*1000,""))),"")</f>
        <v/>
      </c>
      <c r="L39" s="45" t="str">
        <f>IF(AND(NOT(ISNA(VLOOKUP(G39,A6:E105,5,FALSE))),H39="",I39&lt;&gt;""),ROUND((VLOOKUP(G39,A6:E105,5,FALSE)-K39)/1000,3),IF(AND(NOT(ISNA(VLOOKUP(G39,G6:K38,5,FALSE))),H39="",I39&lt;&gt;""),ROUND((VLOOKUP(G39,G6:K38,5,FALSE)-K39)/1000,3),""))</f>
        <v/>
      </c>
      <c r="M39" s="19">
        <f>IF(M38="","",M38+1)</f>
        <v>233</v>
      </c>
      <c r="N39" s="39"/>
      <c r="O39" s="39"/>
      <c r="P39" s="15" t="str">
        <f>IF(AND(N39&lt;&gt;"",O39&lt;&gt;""),ROUND(N39,3)+ROUND(P38,3)-ROUND(O39,3),IF(AND(EXACT(UPPER(M39),"TBM"),N39&lt;&gt;""),ROUND(N39,3),IF(N39="",P38,IF(ISNA(VLOOKUP(M39,A6:E105,5,FALSE)),IF(ISNA(VLOOKUP(M39,G6:K105,5,FALSE)),IF(ISNA(VLOOKUP(M39,M6:Q38,5,FALSE)),"",ROUND(VLOOKUP(M39,M6:Q38,5,FALSE),0)/1000+ROUND(N39,3)),ROUND(VLOOKUP(M39,G6:K105,5,FALSE),0)/1000+ROUND(N39,3)),ROUND(VLOOKUP(M39,A6:E105,5,FALSE),0)/1000+ROUND(N39,3)))))</f>
        <v/>
      </c>
      <c r="Q39" s="18" t="str">
        <f>IF(OR(NOT(EXACT(UPPER(M39),"TBM")),N39=""),IF(AND(N39&lt;&gt;"",O39="",P39&lt;&gt;""),"",IF(AND(N39="",O39&lt;&gt;"",P39&lt;&gt;""),ROUND(ROUND(P39,3)-ROUND(O39,3),3)*1000,IF(AND(N39&lt;&gt;"",O39&lt;&gt;"",P39&lt;&gt;""),ROUND(ROUND(P38,3)-ROUND(O39,3),3)*1000,""))),"")</f>
        <v/>
      </c>
      <c r="R39" s="45" t="str">
        <f>IF(AND(NOT(ISNA(VLOOKUP(M39,A6:E105,5,FALSE))),N39="",O39&lt;&gt;""),ROUND((VLOOKUP(M39,A6:E105,5,FALSE)-Q39)/1000,3),IF(AND(NOT(ISNA(VLOOKUP(M39,G6:K105,5,FALSE))),N39="",O39&lt;&gt;""),ROUND((VLOOKUP(M39,G6:K105,5,FALSE)-Q39)/1000,3),IF(AND(NOT(ISNA(VLOOKUP(M39,M6:Q38,5,FALSE))),N39="",O39&lt;&gt;""),ROUND((VLOOKUP(M39,M6:Q38,5,FALSE)-Q39)/1000,3),"")))</f>
        <v/>
      </c>
      <c r="S39" s="19">
        <f>IF(S38="","",S38+1)</f>
        <v>333</v>
      </c>
      <c r="T39" s="39"/>
      <c r="U39" s="39"/>
      <c r="V39" s="15" t="str">
        <f>IF(AND(T39&lt;&gt;"",U39&lt;&gt;""),ROUND(T39,3)+ROUND(V38,3)-ROUND(U39,3),IF(AND(EXACT(UPPER(S39),"TBM"),T39&lt;&gt;""),ROUND(T39,3),IF(T39="",V38,IF(ISNA(VLOOKUP(S39,A6:E105,5,FALSE)),IF(ISNA(VLOOKUP(S39,G6:K105,5,FALSE)),IF(ISNA(VLOOKUP(S39,M6:Q105,5,FALSE)),IF(ISNA(VLOOKUP(S39,S6:W38,5,FALSE)),"",ROUND(VLOOKUP(S39,S6:W38,5,FALSE),0)/1000+ROUND(T39,3)),ROUND(VLOOKUP(S39,M6:Q105,5,FALSE),0)/1000+ROUND(T39,3)),ROUND(VLOOKUP(S39,G6:K105,5,FALSE),0)/1000+ROUND(T39,3)),ROUND(VLOOKUP(S39,A6:E105,5,FALSE),0)/1000+ROUND(T39,3)))))</f>
        <v/>
      </c>
      <c r="W39" s="18" t="str">
        <f>IF(OR(NOT(EXACT(UPPER(S39),"TBM")),T39=""),IF(AND(T39&lt;&gt;"",U39="",V39&lt;&gt;""),"",IF(AND(T39="",U39&lt;&gt;"",V39&lt;&gt;""),ROUND(ROUND(V39,3)-ROUND(U39,3),3)*1000,IF(AND(T39&lt;&gt;"",U39&lt;&gt;"",V39&lt;&gt;""),ROUND(ROUND(V38,3)-ROUND(U39,3),3)*1000,""))),"")</f>
        <v/>
      </c>
      <c r="X39" s="45" t="str">
        <f>IF(AND(NOT(ISNA(VLOOKUP(S39,A6:E105,5,FALSE))),T39="",U39&lt;&gt;""),ROUND((VLOOKUP(S39,A6:E105,5,FALSE)-W39)/1000,3),IF(AND(NOT(ISNA(VLOOKUP(S39,G6:K105,5,FALSE))),T39="",U39&lt;&gt;""),ROUND((VLOOKUP(S39,G6:K105,5,FALSE)-W39)/1000,3),IF(AND(NOT(ISNA(VLOOKUP(S39,M6:Q105,5,FALSE))),T39="",U39&lt;&gt;""),ROUND((VLOOKUP(S39,M6:Q105,5,FALSE)-W39)/1000,3),IF(AND(NOT(ISNA(VLOOKUP(S39,S6:W38,5,FALSE))),T39="",U39&lt;&gt;""),ROUND((VLOOKUP(S39,S6:W38,5,FALSE)-W39)/1000,3),""))))</f>
        <v/>
      </c>
      <c r="Y39" s="19">
        <f>IF(Y38="","",Y38+1)</f>
        <v>433</v>
      </c>
      <c r="Z39" s="39"/>
      <c r="AA39" s="39"/>
      <c r="AB39" s="15" t="str">
        <f>IF(AND(Z39&lt;&gt;"",AA39&lt;&gt;""),ROUND(Z39,3)+ROUND(AB38,3)-ROUND(AA39,3),IF(AND(EXACT(UPPER(Y39),"TBM"),Z39&lt;&gt;""),ROUND(Z39,3),IF(Z39="",AB38,IF(ISNA(VLOOKUP(Y39,A6:E105,5,FALSE)),IF(ISNA(VLOOKUP(Y39,G6:K105,5,FALSE)),IF(ISNA(VLOOKUP(Y39,M6:Q105,5,FALSE)),IF(ISNA(VLOOKUP(Y39,S6:W105,5,FALSE)),IF(ISNA(VLOOKUP(Y39,Y6:AC38,5,FALSE)),"",ROUND(VLOOKUP(Y39,Y6:AC38,5,FALSE),0)/1000+ROUND(Z39,3)),ROUND(VLOOKUP(Y39,S6:W105,5,FALSE),0)/1000+ROUND(Z39,3)),ROUND(VLOOKUP(Y39,M6:Q105,5,FALSE),0)/1000+ROUND(Z39,3)),ROUND(VLOOKUP(Y39,G6:K105,5,FALSE),0)/1000+ROUND(Z39,3)),ROUND(VLOOKUP(Y39,A6:E105,5,FALSE),0)/1000+ROUND(Z39,3)))))</f>
        <v/>
      </c>
      <c r="AC39" s="18" t="str">
        <f>IF(OR(NOT(EXACT(UPPER(Y39),"TBM")),Z39=""),IF(AND(Z39&lt;&gt;"",AA39="",AB39&lt;&gt;""),"",IF(AND(Z39="",AA39&lt;&gt;"",AB39&lt;&gt;""),ROUND(ROUND(AB39,3)-ROUND(AA39,3),3)*1000,IF(AND(Z39&lt;&gt;"",AA39&lt;&gt;"",AB39&lt;&gt;""),ROUND(ROUND(AB38,3)-ROUND(AA39,3),3)*1000,""))),"")</f>
        <v/>
      </c>
      <c r="AD39" s="45" t="str">
        <f>IF(AND(NOT(ISNA(VLOOKUP(Y39,A6:E105,5,FALSE))),Z39="",AA39&lt;&gt;""),ROUND((VLOOKUP(Y39,A6:E105,5,FALSE)-AC39)/1000,3),IF(AND(NOT(ISNA(VLOOKUP(Y39,G6:K105,5,FALSE))),Z39="",AA39&lt;&gt;""),ROUND((VLOOKUP(Y39,G6:K105,5,FALSE)-AC39)/1000,3),IF(AND(NOT(ISNA(VLOOKUP(Y39,M6:Q105,5,FALSE))),Z39="",AA39&lt;&gt;""),ROUND((VLOOKUP(Y39,M6:Q105,5,FALSE)-AC39)/1000,3),IF(AND(NOT(ISNA(VLOOKUP(Y39,S6:W105,5,FALSE))),Z39="",AA39&lt;&gt;""),ROUND((VLOOKUP(Y39,S6:W105,5,FALSE)-AC39)/1000,3),IF(AND(NOT(ISNA(VLOOKUP(Y39,Y6:AC38,5,FALSE))),Z39="",AA39&lt;&gt;""),ROUND((VLOOKUP(Y39,Y6:AC38,5,FALSE)-AC39)/1000,3),"")))))</f>
        <v/>
      </c>
      <c r="AE39" s="19">
        <f>IF(AE38="","",AE38+1)</f>
        <v>533</v>
      </c>
      <c r="AF39" s="39"/>
      <c r="AG39" s="39"/>
      <c r="AH39" s="15" t="str">
        <f>IF(AND(AF39&lt;&gt;"",AG39&lt;&gt;""),ROUND(AF39,3)+ROUND(AH38,3)-ROUND(AG39,3),IF(AND(EXACT(UPPER(AE39),"TBM"),AF39&lt;&gt;""),ROUND(AF39,3),IF(AF39="",AH38,IF(ISNA(VLOOKUP(AE39,A6:E105,5,FALSE)),IF(ISNA(VLOOKUP(AE39,G6:K105,5,FALSE)),IF(ISNA(VLOOKUP(AE39,M6:Q105,5,FALSE)),IF(ISNA(VLOOKUP(AE39,S6:W105,5,FALSE)),IF(ISNA(VLOOKUP(AE39,Y6:AC105,5,FALSE)),IF(ISNA(VLOOKUP(AE39,AE6:AI38,5,FALSE)),"",ROUND(VLOOKUP(AE39,AE6:AI38,5,FALSE),0)/1000+ROUND(AF39,3)),ROUND(VLOOKUP(AE39,Y6:AC105,5,FALSE),0)/1000+ROUND(AF39,3)),ROUND(VLOOKUP(AE39,S6:W105,5,FALSE),0)/1000+ROUND(AF39,3)),ROUND(VLOOKUP(AE39,M6:Q105,5,FALSE),0)/1000+ROUND(AF39,3)),ROUND(VLOOKUP(AE39,G6:K105,5,FALSE),0)/1000+ROUND(AF39,3)),ROUND(VLOOKUP(AE39,A6:E105,5,FALSE),0)/1000+ROUND(AF39,3)))))</f>
        <v/>
      </c>
      <c r="AI39" s="18" t="str">
        <f>IF(OR(NOT(EXACT(UPPER(AE39),"TBM")),AF39=""),IF(AND(AF39&lt;&gt;"",AG39="",AH39&lt;&gt;""),"",IF(AND(AF39="",AG39&lt;&gt;"",AH39&lt;&gt;""),ROUND(ROUND(AH39,3)-ROUND(AG39,3),3)*1000,IF(AND(AF39&lt;&gt;"",AG39&lt;&gt;"",AH39&lt;&gt;""),ROUND(ROUND(AH38,3)-ROUND(AG39,3),3)*1000,""))),"")</f>
        <v/>
      </c>
      <c r="AJ39" s="45" t="str">
        <f>IF(AND(NOT(ISNA(VLOOKUP(AE39,A6:E105,5,FALSE))),AF39="",AG39&lt;&gt;""),ROUND((VLOOKUP(AE39,A6:E105,5,FALSE)-AI39)/1000,3),IF(AND(NOT(ISNA(VLOOKUP(AE39,G6:K105,5,FALSE))),AF39="",AG39&lt;&gt;""),ROUND((VLOOKUP(AE39,G6:K105,5,FALSE)-AI39)/1000,3),IF(AND(NOT(ISNA(VLOOKUP(AE39,M6:Q105,5,FALSE))),AF39="",AG39&lt;&gt;""),ROUND((VLOOKUP(AE39,M6:Q105,5,FALSE)-AI39)/1000,3),IF(AND(NOT(ISNA(VLOOKUP(AE39,S6:W105,5,FALSE))),AF39="",AG39&lt;&gt;""),ROUND((VLOOKUP(AE39,S6:W105,5,FALSE)-AI39)/1000,3),IF(AND(NOT(ISNA(VLOOKUP(AE39,Y6:AC105,5,FALSE))),AF39="",AG39&lt;&gt;""),ROUND((VLOOKUP(AE39,Y6:AC105,5,FALSE)-AI39)/1000,3),IF(AND(NOT(ISNA(VLOOKUP(AE39,AE6:AI38,5,FALSE))),AF39="",AG39&lt;&gt;""),ROUND((VLOOKUP(AE39,AE6:AI38,5,FALSE)-AI39)/1000,3),""))))))</f>
        <v/>
      </c>
      <c r="AK39" s="19">
        <f>IF(AK38="","",AK38+1)</f>
        <v>633</v>
      </c>
      <c r="AL39" s="39"/>
      <c r="AM39" s="39"/>
      <c r="AN39" s="15" t="str">
        <f>IF(AND(AL39&lt;&gt;"",AM39&lt;&gt;""),ROUND(AL39,3)+ROUND(AN38,3)-ROUND(AM39,3),IF(AND(EXACT(UPPER(AK39),"TBM"),AL39&lt;&gt;""),ROUND(AL39,3),IF(AL39="",AN38,IF(ISNA(VLOOKUP(AK39,A6:E105,5,FALSE)),IF(ISNA(VLOOKUP(AK39,G6:K105,5,FALSE)),IF(ISNA(VLOOKUP(AK39,M6:Q105,5,FALSE)),IF(ISNA(VLOOKUP(AK39,S6:W105,5,FALSE)),IF(ISNA(VLOOKUP(AK39,Y6:AC105,5,FALSE)),IF(ISNA(VLOOKUP(AK39,AE6:AI105,5,FALSE)),IF(ISNA(VLOOKUP(AK39,AK6:AO38,5,FALSE)),"",ROUND(VLOOKUP(AK39,AK6:AO38,5,FALSE),0)/1000+ROUND(AL39,3)),ROUND(VLOOKUP(AK39,AE6:AI105,5,FALSE),0)/1000+ROUND(AL39,3)),ROUND(VLOOKUP(AK39,Y6:AC105,5,FALSE),0)/1000+ROUND(AL39,3)),ROUND(VLOOKUP(AK39,S6:W105,5,FALSE),0)/1000+ROUND(AL39,3)),ROUND(VLOOKUP(AK39,M6:Q105,5,FALSE),0)/1000+ROUND(AL39,3)),ROUND(VLOOKUP(AK39,G6:K105,5,FALSE),0)/1000+ROUND(AL39,3)),ROUND(VLOOKUP(AK39,A6:E105,5,FALSE),0)/1000+ROUND(AL39,3)))))</f>
        <v/>
      </c>
      <c r="AO39" s="18" t="str">
        <f>IF(OR(NOT(EXACT(UPPER(AK39),"TBM")),AL39=""),IF(AND(AL39&lt;&gt;"",AM39="",AN39&lt;&gt;""),"",IF(AND(AL39="",AM39&lt;&gt;"",AN39&lt;&gt;""),ROUND(ROUND(AN39,3)-ROUND(AM39,3),3)*1000,IF(AND(AL39&lt;&gt;"",AM39&lt;&gt;"",AN39&lt;&gt;""),ROUND(ROUND(AN38,3)-ROUND(AM39,3),3)*1000,""))),"")</f>
        <v/>
      </c>
      <c r="AP39" s="45" t="str">
        <f>IF(AND(NOT(ISNA(VLOOKUP(AK39,A6:E105,5,FALSE))),AL39="",AM39&lt;&gt;""),ROUND((VLOOKUP(AK39,A6:E105,5,FALSE)-AO39)/1000,3),IF(AND(NOT(ISNA(VLOOKUP(AK39,G6:K105,5,FALSE))),AL39="",AM39&lt;&gt;""),ROUND((VLOOKUP(AK39,G6:K105,5,FALSE)-AO39)/1000,3),IF(AND(NOT(ISNA(VLOOKUP(AK39,M6:Q105,5,FALSE))),AL39="",AM39&lt;&gt;""),ROUND((VLOOKUP(AK39,M6:Q105,5,FALSE)-AO39)/1000,3),IF(AND(NOT(ISNA(VLOOKUP(AK39,S6:W105,5,FALSE))),AL39="",AM39&lt;&gt;""),ROUND((VLOOKUP(AK39,S6:W105,5,FALSE)-AO39)/1000,3),IF(AND(NOT(ISNA(VLOOKUP(AK39,Y6:AC105,5,FALSE))),AL39="",AM39&lt;&gt;""),ROUND((VLOOKUP(AK39,Y6:AC105,5,FALSE)-AO39)/1000,3),IF(AND(NOT(ISNA(VLOOKUP(AK39,AE6:AI105,5,FALSE))),AL39="",AM39&lt;&gt;""),ROUND((VLOOKUP(AK39,AE6:AI105,5,FALSE)-AO39)/1000,3),IF(AND(NOT(ISNA(VLOOKUP(AK39,AK6:AO38,5,FALSE))),AL39="",AM39&lt;&gt;""),ROUND((VLOOKUP(AK39,AK6:AO38,5,FALSE)-AO39)/1000,3),"")))))))</f>
        <v/>
      </c>
      <c r="AQ39" s="19">
        <f>IF(AQ38="","",AQ38+1)</f>
        <v>733</v>
      </c>
      <c r="AR39" s="39"/>
      <c r="AS39" s="39"/>
      <c r="AT39" s="15" t="str">
        <f>IF(AND(AR39&lt;&gt;"",AS39&lt;&gt;""),ROUND(AR39,3)+ROUND(AT38,3)-ROUND(AS39,3),IF(AND(EXACT(UPPER(AQ39),"TBM"),AR39&lt;&gt;""),ROUND(AR39,3),IF(AR39="",AT38,IF(ISNA(VLOOKUP(AQ39,A6:E105,5,FALSE)),IF(ISNA(VLOOKUP(AQ39,G6:K105,5,FALSE)),IF(ISNA(VLOOKUP(AQ39,M6:Q105,5,FALSE)),IF(ISNA(VLOOKUP(AQ39,S6:W105,5,FALSE)),IF(ISNA(VLOOKUP(AQ39,Y6:AC105,5,FALSE)),IF(ISNA(VLOOKUP(AQ39,AE6:AI105,5,FALSE)),IF(ISNA(VLOOKUP(AQ39,AK6:AO105,5,FALSE)),IF(ISNA(VLOOKUP(AQ39,AQ6:AU38,5,FALSE)),"",ROUND(VLOOKUP(AQ39,AQ6:AU38,5,FALSE),0)/1000+ROUND(AR39,3)),ROUND(VLOOKUP(AQ39,AK6:AO105,5,FALSE),0)/1000+ROUND(AR39,3)),ROUND(VLOOKUP(AQ39,AE6:AI105,5,FALSE),0)/1000+ROUND(AR39,3)),ROUND(VLOOKUP(AQ39,Y6:AC105,5,FALSE),0)/1000+ROUND(AR39,3)),ROUND(VLOOKUP(AQ39,S6:W105,5,FALSE),0)/1000+ROUND(AR39,3)),ROUND(VLOOKUP(AQ39,M6:Q105,5,FALSE),0)/1000+ROUND(AR39,3)),ROUND(VLOOKUP(AQ39,G6:K105,5,FALSE),0)/1000+ROUND(AR39,3)),ROUND(VLOOKUP(AQ39,A6:E105,5,FALSE),0)/1000+ROUND(AR39,3)))))</f>
        <v/>
      </c>
      <c r="AU39" s="18" t="str">
        <f>IF(OR(NOT(EXACT(UPPER(AQ39),"TBM")),AR39=""),IF(AND(AR39&lt;&gt;"",AS39="",AT39&lt;&gt;""),"",IF(AND(AR39="",AS39&lt;&gt;"",AT39&lt;&gt;""),ROUND(ROUND(AT39,3)-ROUND(AS39,3),3)*1000,IF(AND(AR39&lt;&gt;"",AS39&lt;&gt;"",AT39&lt;&gt;""),ROUND(ROUND(AT38,3)-ROUND(AS39,3),3)*1000,""))),"")</f>
        <v/>
      </c>
      <c r="AV39" s="45" t="str">
        <f>IF(AND(NOT(ISNA(VLOOKUP(AQ39,A6:E105,5,FALSE))),AR39="",AS39&lt;&gt;""),ROUND((VLOOKUP(AQ39,A6:E105,5,FALSE)-AU39)/1000,3),IF(AND(NOT(ISNA(VLOOKUP(AQ39,G6:K105,5,FALSE))),AR39="",AS39&lt;&gt;""),ROUND((VLOOKUP(AQ39,G6:K105,5,FALSE)-AU39)/1000,3),IF(AND(NOT(ISNA(VLOOKUP(AQ39,M6:Q105,5,FALSE))),AR39="",AS39&lt;&gt;""),ROUND((VLOOKUP(AQ39,M6:Q105,5,FALSE)-AU39)/1000,3),IF(AND(NOT(ISNA(VLOOKUP(AQ39,S6:W105,5,FALSE))),AR39="",AS39&lt;&gt;""),ROUND((VLOOKUP(AQ39,S6:W105,5,FALSE)-AU39)/1000,3),IF(AND(NOT(ISNA(VLOOKUP(AQ39,Y6:AC105,5,FALSE))),AR39="",AS39&lt;&gt;""),ROUND((VLOOKUP(AQ39,Y6:AC105,5,FALSE)-AU39)/1000,3),IF(AND(NOT(ISNA(VLOOKUP(AQ39,AE6:AI105,5,FALSE))),AR39="",AS39&lt;&gt;""),ROUND((VLOOKUP(AQ39,AE6:AI105,5,FALSE)-AU39)/1000,3),IF(AND(NOT(ISNA(VLOOKUP(AQ39,AK6:AO105,5,FALSE))),AR39="",AS39&lt;&gt;""),ROUND((VLOOKUP(AQ39,AK6:AO105,5,FALSE)-AU39)/1000,3),IF(AND(NOT(ISNA(VLOOKUP(AQ39,AQ6:AU38,5,FALSE))),AR39="",AS39&lt;&gt;""),ROUND((VLOOKUP(AQ39,AQ6:AU38,5,FALSE)-AU39)/1000,3),""))))))))</f>
        <v/>
      </c>
      <c r="AW39" s="19">
        <f>IF(AW38="","",AW38+1)</f>
        <v>833</v>
      </c>
      <c r="AX39" s="39"/>
      <c r="AY39" s="39"/>
      <c r="AZ39" s="15" t="str">
        <f>IF(AND(AX39&lt;&gt;"",AY39&lt;&gt;""),ROUND(AX39,3)+ROUND(AZ38,3)-ROUND(AY39,3),IF(AND(EXACT(UPPER(AW39),"TBM"),AX39&lt;&gt;""),ROUND(AX39,3),IF(AX39="",AZ38,IF(ISNA(VLOOKUP(AW39,A6:E105,5,FALSE)),IF(ISNA(VLOOKUP(AW39,G6:K105,5,FALSE)),IF(ISNA(VLOOKUP(AW39,M6:Q105,5,FALSE)),IF(ISNA(VLOOKUP(AW39,S6:W105,5,FALSE)),IF(ISNA(VLOOKUP(AW39,Y6:AC105,5,FALSE)),IF(ISNA(VLOOKUP(AW39,AE6:AI105,5,FALSE)),IF(ISNA(VLOOKUP(AW39,AK6:AO105,5,FALSE)),IF(ISNA(VLOOKUP(AW39,AQ6:AU105,5,FALSE)),IF(ISNA(VLOOKUP(AW39,AW6:BA38,5,FALSE)),"",ROUND(VLOOKUP(AW39,AW6:BA38,5,FALSE),0)/1000+ROUND(AX39,3)),ROUND(VLOOKUP(AW39,AQ6:AU105,5,FALSE),0)/1000+ROUND(AX39,3)),ROUND(VLOOKUP(AW39,AK6:AO105,5,FALSE),0)/1000+ROUND(AX39,3)),ROUND(VLOOKUP(AW39,AE6:AI105,5,FALSE),0)/1000+ROUND(AX39,3)),ROUND(VLOOKUP(AW39,Y6:AC105,5,FALSE),0)/1000+ROUND(AX39,3)),ROUND(VLOOKUP(AW39,S6:W105,5,FALSE),0)/1000+ROUND(AX39,3)),ROUND(VLOOKUP(AW39,M6:Q105,5,FALSE),0)/1000+ROUND(AX39,3)),ROUND(VLOOKUP(AW39,G6:K105,5,FALSE),0)/1000+ROUND(AX39,3)),ROUND(VLOOKUP(AW39,A6:E105,5,FALSE),0)/1000+ROUND(AX39,3)))))</f>
        <v/>
      </c>
      <c r="BA39" s="18" t="str">
        <f>IF(OR(NOT(EXACT(UPPER(AW39),"TBM")),AX39=""),IF(AND(AX39&lt;&gt;"",AY39="",AZ39&lt;&gt;""),"",IF(AND(AX39="",AY39&lt;&gt;"",AZ39&lt;&gt;""),ROUND(ROUND(AZ39,3)-ROUND(AY39,3),3)*1000,IF(AND(AX39&lt;&gt;"",AY39&lt;&gt;"",AZ39&lt;&gt;""),ROUND(ROUND(AZ38,3)-ROUND(AY39,3),3)*1000,""))),"")</f>
        <v/>
      </c>
      <c r="BB39" s="45" t="str">
        <f>IF(AND(NOT(ISNA(VLOOKUP(AW39,A6:E105,5,FALSE))),AX39="",AY39&lt;&gt;""),ROUND((VLOOKUP(AW39,A6:E105,5,FALSE)-BA39)/1000,3),IF(AND(NOT(ISNA(VLOOKUP(AW39,G6:K105,5,FALSE))),AX39="",AY39&lt;&gt;""),ROUND((VLOOKUP(AW39,G6:K105,5,FALSE)-BA39)/1000,3),IF(AND(NOT(ISNA(VLOOKUP(AW39,M6:Q105,5,FALSE))),AX39="",AY39&lt;&gt;""),ROUND((VLOOKUP(AW39,M6:Q105,5,FALSE)-BA39)/1000,3),IF(AND(NOT(ISNA(VLOOKUP(AW39,S6:W105,5,FALSE))),AX39="",AY39&lt;&gt;""),ROUND((VLOOKUP(AW39,S6:W105,5,FALSE)-BA39)/1000,3),IF(AND(NOT(ISNA(VLOOKUP(AW39,Y6:AC105,5,FALSE))),AX39="",AY39&lt;&gt;""),ROUND((VLOOKUP(AW39,Y6:AC105,5,FALSE)-BA39)/1000,3),IF(AND(NOT(ISNA(VLOOKUP(AW39,AE6:AI105,5,FALSE))),AX39="",AY39&lt;&gt;""),ROUND((VLOOKUP(AW39,AE6:AI105,5,FALSE)-BA39)/1000,3),IF(AND(NOT(ISNA(VLOOKUP(AW39,AK6:AO105,5,FALSE))),AX39="",AY39&lt;&gt;""),ROUND((VLOOKUP(AW39,AK6:AO105,5,FALSE)-BA39)/1000,3),IF(AND(NOT(ISNA(VLOOKUP(AW39,AQ6:AU105,5,FALSE))),AX39="",AY39&lt;&gt;""),ROUND((VLOOKUP(AW39,AQ6:AU105,5,FALSE)-BA39)/1000,3),IF(AND(NOT(ISNA(VLOOKUP(AW39,AW6:BA38,5,FALSE))),AX39="",AY39&lt;&gt;""),ROUND((VLOOKUP(AW39,AW6:BA38,5,FALSE)-BA39)/1000,3),"")))))))))</f>
        <v/>
      </c>
      <c r="BC39" s="19">
        <f>IF(BC38="","",BC38+1)</f>
        <v>933</v>
      </c>
      <c r="BD39" s="39"/>
      <c r="BE39" s="39"/>
      <c r="BF39" s="15" t="str">
        <f>IF(AND(BD39&lt;&gt;"",BE39&lt;&gt;""),ROUND(BD39,3)+ROUND(BF38,3)-ROUND(BE39,3),IF(AND(EXACT(UPPER(BC39),"TBM"),BD39&lt;&gt;""),ROUND(BD39,3),IF(BD39="",BF38,IF(ISNA(VLOOKUP(BC39,A6:E105,5,FALSE)),IF(ISNA(VLOOKUP(BC39,G6:K105,5,FALSE)),IF(ISNA(VLOOKUP(BC39,M6:Q105,5,FALSE)),IF(ISNA(VLOOKUP(BC39,S6:W105,5,FALSE)),IF(ISNA(VLOOKUP(BC39,Y6:AC105,5,FALSE)),IF(ISNA(VLOOKUP(BC39,AE6:AI105,5,FALSE)),IF(ISNA(VLOOKUP(BC39,AK6:AO105,5,FALSE)),IF(ISNA(VLOOKUP(BC39,AQ6:AU105,5,FALSE)),IF(ISNA(VLOOKUP(BC39,AW6:BA105,5,FALSE)),IF(ISNA(VLOOKUP(BC39,BC6:BG38,5,FALSE)),"",ROUND(VLOOKUP(BC39,BC6:BG38,5,FALSE),0)/1000+ROUND(BD39,3)),ROUND(VLOOKUP(BC39,AW6:BA105,5,FALSE),0)/1000+ROUND(BD39,3)),ROUND(VLOOKUP(BC39,AQ6:AU105,5,FALSE),0)/1000+ROUND(BD39,3)),ROUND(VLOOKUP(BC39,AK6:AO105,5,FALSE),0)/1000+ROUND(BD39,3)),ROUND(VLOOKUP(BC39,AE6:AI105,5,FALSE),0)/1000+ROUND(BD39,3)),ROUND(VLOOKUP(BC39,Y6:AC105,5,FALSE),0)/1000+ROUND(BD39,3)),ROUND(VLOOKUP(BC39,S6:W105,5,FALSE),0)/1000+ROUND(BD39,3)),ROUND(VLOOKUP(BC39,M6:Q105,5,FALSE),0)/1000+ROUND(BD39,3)),ROUND(VLOOKUP(BC39,G6:K105,5,FALSE),0)/1000+ROUND(BD39,3)),ROUND(VLOOKUP(BC39,A6:E105,5,FALSE),0)/1000+ROUND(BD39,3)))))</f>
        <v/>
      </c>
      <c r="BG39" s="18" t="str">
        <f>IF(OR(NOT(EXACT(UPPER(BC39),"TBM")),BD39=""),IF(AND(BD39&lt;&gt;"",BE39="",BF39&lt;&gt;""),"",IF(AND(BD39="",BE39&lt;&gt;"",BF39&lt;&gt;""),ROUND(ROUND(BF39,3)-ROUND(BE39,3),3)*1000,IF(AND(BD39&lt;&gt;"",BE39&lt;&gt;"",BF39&lt;&gt;""),ROUND(ROUND(BF38,3)-ROUND(BE39,3),3)*1000,""))),"")</f>
        <v/>
      </c>
      <c r="BH39" s="45" t="str">
        <f>IF(AND(NOT(ISNA(VLOOKUP(BC39,A6:E105,5,FALSE))),BD39="",BE39&lt;&gt;""),ROUND((VLOOKUP(BC39,A6:E105,5,FALSE)-BG39)/1000,3),IF(AND(NOT(ISNA(VLOOKUP(BC39,G6:K105,5,FALSE))),BD39="",BE39&lt;&gt;""),ROUND((VLOOKUP(BC39,G6:K105,5,FALSE)-BG39)/1000,3),IF(AND(NOT(ISNA(VLOOKUP(BC39,M6:Q105,5,FALSE))),BD39="",BE39&lt;&gt;""),ROUND((VLOOKUP(BC39,M6:Q105,5,FALSE)-BG39)/1000,3),IF(AND(NOT(ISNA(VLOOKUP(BC39,S6:W105,5,FALSE))),BD39="",BE39&lt;&gt;""),ROUND((VLOOKUP(BC39,S6:W105,5,FALSE)-BG39)/1000,3),IF(AND(NOT(ISNA(VLOOKUP(BC39,Y6:AC105,5,FALSE))),BD39="",BE39&lt;&gt;""),ROUND((VLOOKUP(BC39,Y6:AC105,5,FALSE)-BG39)/1000,3),IF(AND(NOT(ISNA(VLOOKUP(BC39,AE6:AI105,5,FALSE))),BD39="",BE39&lt;&gt;""),ROUND((VLOOKUP(BC39,AE6:AI105,5,FALSE)-BG39)/1000,3),IF(AND(NOT(ISNA(VLOOKUP(BC39,AK6:AO105,5,FALSE))),BD39="",BE39&lt;&gt;""),ROUND((VLOOKUP(BC39,AK6:AO105,5,FALSE)-BG39)/1000,3),IF(AND(NOT(ISNA(VLOOKUP(BC39,AQ6:AU105,5,FALSE))),BD39="",BE39&lt;&gt;""),ROUND((VLOOKUP(BC39,AQ6:AU105,5,FALSE)-BG39)/1000,3),IF(AND(NOT(ISNA(VLOOKUP(BC39,AW6:BA105,5,FALSE))),BD39="",BE39&lt;&gt;""),ROUND((VLOOKUP(BC39,AW6:BA105,5,FALSE)-BG39)/1000,3),IF(AND(NOT(ISNA(VLOOKUP(BC39,BC6:BG38,5,FALSE))),BD39="",BE39&lt;&gt;""),ROUND((VLOOKUP(BC39,BC6:BG38,5,FALSE)-BG39)/1000,3),""))))))))))</f>
        <v/>
      </c>
    </row>
    <row r="40" spans="1:60" x14ac:dyDescent="0.25">
      <c r="A40" s="67">
        <f t="shared" si="3"/>
        <v>34</v>
      </c>
      <c r="B40" s="43"/>
      <c r="C40" s="43"/>
      <c r="D40" s="62" t="str">
        <f>IF(AND(B40&lt;&gt;"",C40&lt;&gt;""),ROUND(B40,3)+ROUND(D39,3)-ROUND(C40,3),IF(AND(EXACT(UPPER(A40),"TBM"),B40&lt;&gt;""),ROUND(B40,3),IF(B40="",D39,IF(ISNA(VLOOKUP(A40,A6:E39,5,FALSE)),"",ROUND(VLOOKUP(A40,A6:E39,5,FALSE),0)/1000+ROUND(B40,3)))))</f>
        <v/>
      </c>
      <c r="E40" s="22" t="str">
        <f t="shared" si="4"/>
        <v/>
      </c>
      <c r="F40" s="46" t="str">
        <f>IF(AND(NOT(ISNA(VLOOKUP(A40,A6:E39,5,FALSE))),B40="",C40&lt;&gt;""),ROUND((VLOOKUP(A40,A6:E39,5,FALSE)-E40)/1000,3),"")</f>
        <v/>
      </c>
      <c r="G40" s="67">
        <f t="shared" si="1"/>
        <v>134</v>
      </c>
      <c r="H40" s="40"/>
      <c r="I40" s="40"/>
      <c r="J40" s="62" t="str">
        <f>IF(AND(H40&lt;&gt;"",I40&lt;&gt;""),ROUND(H40,3)+ROUND(J39,3)-ROUND(I40,3),IF(AND(EXACT(UPPER(G40),"TBM"),H40&lt;&gt;""),ROUND(H40,3),IF(H40="",J39,IF(ISNA(VLOOKUP(G40,A6:E105,5,FALSE)),IF(ISNA(VLOOKUP(G40,G6:K39,5,FALSE)),"",ROUND(VLOOKUP(G40,G6:K39,5,FALSE),0)/1000+ROUND(H40,3)),ROUND(VLOOKUP(G40,A6:E105,5,FALSE),0)/1000+ROUND(H40,3)))))</f>
        <v/>
      </c>
      <c r="K40" s="20" t="str">
        <f t="shared" si="5"/>
        <v/>
      </c>
      <c r="L40" s="46" t="str">
        <f>IF(AND(NOT(ISNA(VLOOKUP(G40,A6:E105,5,FALSE))),H40="",I40&lt;&gt;""),ROUND((VLOOKUP(G40,A6:E105,5,FALSE)-K40)/1000,3),IF(AND(NOT(ISNA(VLOOKUP(G40,G6:K39,5,FALSE))),H40="",I40&lt;&gt;""),ROUND((VLOOKUP(G40,G6:K39,5,FALSE)-K40)/1000,3),""))</f>
        <v/>
      </c>
      <c r="M40" s="67">
        <f>IF(M39="","",M39+1)</f>
        <v>234</v>
      </c>
      <c r="N40" s="40"/>
      <c r="O40" s="40"/>
      <c r="P40" s="62" t="str">
        <f>IF(AND(N40&lt;&gt;"",O40&lt;&gt;""),ROUND(N40,3)+ROUND(P39,3)-ROUND(O40,3),IF(AND(EXACT(UPPER(M40),"TBM"),N40&lt;&gt;""),ROUND(N40,3),IF(N40="",P39,IF(ISNA(VLOOKUP(M40,A6:E105,5,FALSE)),IF(ISNA(VLOOKUP(M40,G6:K105,5,FALSE)),IF(ISNA(VLOOKUP(M40,M6:Q39,5,FALSE)),"",ROUND(VLOOKUP(M40,M6:Q39,5,FALSE),0)/1000+ROUND(N40,3)),ROUND(VLOOKUP(M40,G6:K105,5,FALSE),0)/1000+ROUND(N40,3)),ROUND(VLOOKUP(M40,A6:E105,5,FALSE),0)/1000+ROUND(N40,3)))))</f>
        <v/>
      </c>
      <c r="Q40" s="20" t="str">
        <f>IF(OR(NOT(EXACT(UPPER(M40),"TBM")),N40=""),IF(AND(N40&lt;&gt;"",O40="",P40&lt;&gt;""),"",IF(AND(N40="",O40&lt;&gt;"",P40&lt;&gt;""),ROUND(ROUND(P40,3)-ROUND(O40,3),3)*1000,IF(AND(N40&lt;&gt;"",O40&lt;&gt;"",P40&lt;&gt;""),ROUND(ROUND(P39,3)-ROUND(O40,3),3)*1000,""))),"")</f>
        <v/>
      </c>
      <c r="R40" s="46" t="str">
        <f>IF(AND(NOT(ISNA(VLOOKUP(M40,A6:E105,5,FALSE))),N40="",O40&lt;&gt;""),ROUND((VLOOKUP(M40,A6:E105,5,FALSE)-Q40)/1000,3),IF(AND(NOT(ISNA(VLOOKUP(M40,G6:K105,5,FALSE))),N40="",O40&lt;&gt;""),ROUND((VLOOKUP(M40,G6:K105,5,FALSE)-Q40)/1000,3),IF(AND(NOT(ISNA(VLOOKUP(M40,M6:Q39,5,FALSE))),N40="",O40&lt;&gt;""),ROUND((VLOOKUP(M40,M6:Q39,5,FALSE)-Q40)/1000,3),"")))</f>
        <v/>
      </c>
      <c r="S40" s="67">
        <f>IF(S39="","",S39+1)</f>
        <v>334</v>
      </c>
      <c r="T40" s="40"/>
      <c r="U40" s="40"/>
      <c r="V40" s="62" t="str">
        <f>IF(AND(T40&lt;&gt;"",U40&lt;&gt;""),ROUND(T40,3)+ROUND(V39,3)-ROUND(U40,3),IF(AND(EXACT(UPPER(S40),"TBM"),T40&lt;&gt;""),ROUND(T40,3),IF(T40="",V39,IF(ISNA(VLOOKUP(S40,A6:E105,5,FALSE)),IF(ISNA(VLOOKUP(S40,G6:K105,5,FALSE)),IF(ISNA(VLOOKUP(S40,M6:Q105,5,FALSE)),IF(ISNA(VLOOKUP(S40,S6:W39,5,FALSE)),"",ROUND(VLOOKUP(S40,S6:W39,5,FALSE),0)/1000+ROUND(T40,3)),ROUND(VLOOKUP(S40,M6:Q105,5,FALSE),0)/1000+ROUND(T40,3)),ROUND(VLOOKUP(S40,G6:K105,5,FALSE),0)/1000+ROUND(T40,3)),ROUND(VLOOKUP(S40,A6:E105,5,FALSE),0)/1000+ROUND(T40,3)))))</f>
        <v/>
      </c>
      <c r="W40" s="20" t="str">
        <f>IF(OR(NOT(EXACT(UPPER(S40),"TBM")),T40=""),IF(AND(T40&lt;&gt;"",U40="",V40&lt;&gt;""),"",IF(AND(T40="",U40&lt;&gt;"",V40&lt;&gt;""),ROUND(ROUND(V40,3)-ROUND(U40,3),3)*1000,IF(AND(T40&lt;&gt;"",U40&lt;&gt;"",V40&lt;&gt;""),ROUND(ROUND(V39,3)-ROUND(U40,3),3)*1000,""))),"")</f>
        <v/>
      </c>
      <c r="X40" s="46" t="str">
        <f>IF(AND(NOT(ISNA(VLOOKUP(S40,A6:E105,5,FALSE))),T40="",U40&lt;&gt;""),ROUND((VLOOKUP(S40,A6:E105,5,FALSE)-W40)/1000,3),IF(AND(NOT(ISNA(VLOOKUP(S40,G6:K105,5,FALSE))),T40="",U40&lt;&gt;""),ROUND((VLOOKUP(S40,G6:K105,5,FALSE)-W40)/1000,3),IF(AND(NOT(ISNA(VLOOKUP(S40,M6:Q105,5,FALSE))),T40="",U40&lt;&gt;""),ROUND((VLOOKUP(S40,M6:Q105,5,FALSE)-W40)/1000,3),IF(AND(NOT(ISNA(VLOOKUP(S40,S6:W39,5,FALSE))),T40="",U40&lt;&gt;""),ROUND((VLOOKUP(S40,S6:W39,5,FALSE)-W40)/1000,3),""))))</f>
        <v/>
      </c>
      <c r="Y40" s="67">
        <f>IF(Y39="","",Y39+1)</f>
        <v>434</v>
      </c>
      <c r="Z40" s="40"/>
      <c r="AA40" s="40"/>
      <c r="AB40" s="62" t="str">
        <f>IF(AND(Z40&lt;&gt;"",AA40&lt;&gt;""),ROUND(Z40,3)+ROUND(AB39,3)-ROUND(AA40,3),IF(AND(EXACT(UPPER(Y40),"TBM"),Z40&lt;&gt;""),ROUND(Z40,3),IF(Z40="",AB39,IF(ISNA(VLOOKUP(Y40,A6:E105,5,FALSE)),IF(ISNA(VLOOKUP(Y40,G6:K105,5,FALSE)),IF(ISNA(VLOOKUP(Y40,M6:Q105,5,FALSE)),IF(ISNA(VLOOKUP(Y40,S6:W105,5,FALSE)),IF(ISNA(VLOOKUP(Y40,Y6:AC39,5,FALSE)),"",ROUND(VLOOKUP(Y40,Y6:AC39,5,FALSE),0)/1000+ROUND(Z40,3)),ROUND(VLOOKUP(Y40,S6:W105,5,FALSE),0)/1000+ROUND(Z40,3)),ROUND(VLOOKUP(Y40,M6:Q105,5,FALSE),0)/1000+ROUND(Z40,3)),ROUND(VLOOKUP(Y40,G6:K105,5,FALSE),0)/1000+ROUND(Z40,3)),ROUND(VLOOKUP(Y40,A6:E105,5,FALSE),0)/1000+ROUND(Z40,3)))))</f>
        <v/>
      </c>
      <c r="AC40" s="20" t="str">
        <f>IF(OR(NOT(EXACT(UPPER(Y40),"TBM")),Z40=""),IF(AND(Z40&lt;&gt;"",AA40="",AB40&lt;&gt;""),"",IF(AND(Z40="",AA40&lt;&gt;"",AB40&lt;&gt;""),ROUND(ROUND(AB40,3)-ROUND(AA40,3),3)*1000,IF(AND(Z40&lt;&gt;"",AA40&lt;&gt;"",AB40&lt;&gt;""),ROUND(ROUND(AB39,3)-ROUND(AA40,3),3)*1000,""))),"")</f>
        <v/>
      </c>
      <c r="AD40" s="46" t="str">
        <f>IF(AND(NOT(ISNA(VLOOKUP(Y40,A6:E105,5,FALSE))),Z40="",AA40&lt;&gt;""),ROUND((VLOOKUP(Y40,A6:E105,5,FALSE)-AC40)/1000,3),IF(AND(NOT(ISNA(VLOOKUP(Y40,G6:K105,5,FALSE))),Z40="",AA40&lt;&gt;""),ROUND((VLOOKUP(Y40,G6:K105,5,FALSE)-AC40)/1000,3),IF(AND(NOT(ISNA(VLOOKUP(Y40,M6:Q105,5,FALSE))),Z40="",AA40&lt;&gt;""),ROUND((VLOOKUP(Y40,M6:Q105,5,FALSE)-AC40)/1000,3),IF(AND(NOT(ISNA(VLOOKUP(Y40,S6:W105,5,FALSE))),Z40="",AA40&lt;&gt;""),ROUND((VLOOKUP(Y40,S6:W105,5,FALSE)-AC40)/1000,3),IF(AND(NOT(ISNA(VLOOKUP(Y40,Y6:AC39,5,FALSE))),Z40="",AA40&lt;&gt;""),ROUND((VLOOKUP(Y40,Y6:AC39,5,FALSE)-AC40)/1000,3),"")))))</f>
        <v/>
      </c>
      <c r="AE40" s="67">
        <f>IF(AE39="","",AE39+1)</f>
        <v>534</v>
      </c>
      <c r="AF40" s="40"/>
      <c r="AG40" s="40"/>
      <c r="AH40" s="62" t="str">
        <f>IF(AND(AF40&lt;&gt;"",AG40&lt;&gt;""),ROUND(AF40,3)+ROUND(AH39,3)-ROUND(AG40,3),IF(AND(EXACT(UPPER(AE40),"TBM"),AF40&lt;&gt;""),ROUND(AF40,3),IF(AF40="",AH39,IF(ISNA(VLOOKUP(AE40,A6:E105,5,FALSE)),IF(ISNA(VLOOKUP(AE40,G6:K105,5,FALSE)),IF(ISNA(VLOOKUP(AE40,M6:Q105,5,FALSE)),IF(ISNA(VLOOKUP(AE40,S6:W105,5,FALSE)),IF(ISNA(VLOOKUP(AE40,Y6:AC105,5,FALSE)),IF(ISNA(VLOOKUP(AE40,AE6:AI39,5,FALSE)),"",ROUND(VLOOKUP(AE40,AE6:AI39,5,FALSE),0)/1000+ROUND(AF40,3)),ROUND(VLOOKUP(AE40,Y6:AC105,5,FALSE),0)/1000+ROUND(AF40,3)),ROUND(VLOOKUP(AE40,S6:W105,5,FALSE),0)/1000+ROUND(AF40,3)),ROUND(VLOOKUP(AE40,M6:Q105,5,FALSE),0)/1000+ROUND(AF40,3)),ROUND(VLOOKUP(AE40,G6:K105,5,FALSE),0)/1000+ROUND(AF40,3)),ROUND(VLOOKUP(AE40,A6:E105,5,FALSE),0)/1000+ROUND(AF40,3)))))</f>
        <v/>
      </c>
      <c r="AI40" s="20" t="str">
        <f>IF(OR(NOT(EXACT(UPPER(AE40),"TBM")),AF40=""),IF(AND(AF40&lt;&gt;"",AG40="",AH40&lt;&gt;""),"",IF(AND(AF40="",AG40&lt;&gt;"",AH40&lt;&gt;""),ROUND(ROUND(AH40,3)-ROUND(AG40,3),3)*1000,IF(AND(AF40&lt;&gt;"",AG40&lt;&gt;"",AH40&lt;&gt;""),ROUND(ROUND(AH39,3)-ROUND(AG40,3),3)*1000,""))),"")</f>
        <v/>
      </c>
      <c r="AJ40" s="46" t="str">
        <f>IF(AND(NOT(ISNA(VLOOKUP(AE40,A6:E105,5,FALSE))),AF40="",AG40&lt;&gt;""),ROUND((VLOOKUP(AE40,A6:E105,5,FALSE)-AI40)/1000,3),IF(AND(NOT(ISNA(VLOOKUP(AE40,G6:K105,5,FALSE))),AF40="",AG40&lt;&gt;""),ROUND((VLOOKUP(AE40,G6:K105,5,FALSE)-AI40)/1000,3),IF(AND(NOT(ISNA(VLOOKUP(AE40,M6:Q105,5,FALSE))),AF40="",AG40&lt;&gt;""),ROUND((VLOOKUP(AE40,M6:Q105,5,FALSE)-AI40)/1000,3),IF(AND(NOT(ISNA(VLOOKUP(AE40,S6:W105,5,FALSE))),AF40="",AG40&lt;&gt;""),ROUND((VLOOKUP(AE40,S6:W105,5,FALSE)-AI40)/1000,3),IF(AND(NOT(ISNA(VLOOKUP(AE40,Y6:AC105,5,FALSE))),AF40="",AG40&lt;&gt;""),ROUND((VLOOKUP(AE40,Y6:AC105,5,FALSE)-AI40)/1000,3),IF(AND(NOT(ISNA(VLOOKUP(AE40,AE6:AI39,5,FALSE))),AF40="",AG40&lt;&gt;""),ROUND((VLOOKUP(AE40,AE6:AI39,5,FALSE)-AI40)/1000,3),""))))))</f>
        <v/>
      </c>
      <c r="AK40" s="67">
        <f>IF(AK39="","",AK39+1)</f>
        <v>634</v>
      </c>
      <c r="AL40" s="40"/>
      <c r="AM40" s="40"/>
      <c r="AN40" s="62" t="str">
        <f>IF(AND(AL40&lt;&gt;"",AM40&lt;&gt;""),ROUND(AL40,3)+ROUND(AN39,3)-ROUND(AM40,3),IF(AND(EXACT(UPPER(AK40),"TBM"),AL40&lt;&gt;""),ROUND(AL40,3),IF(AL40="",AN39,IF(ISNA(VLOOKUP(AK40,A6:E105,5,FALSE)),IF(ISNA(VLOOKUP(AK40,G6:K105,5,FALSE)),IF(ISNA(VLOOKUP(AK40,M6:Q105,5,FALSE)),IF(ISNA(VLOOKUP(AK40,S6:W105,5,FALSE)),IF(ISNA(VLOOKUP(AK40,Y6:AC105,5,FALSE)),IF(ISNA(VLOOKUP(AK40,AE6:AI105,5,FALSE)),IF(ISNA(VLOOKUP(AK40,AK6:AO39,5,FALSE)),"",ROUND(VLOOKUP(AK40,AK6:AO39,5,FALSE),0)/1000+ROUND(AL40,3)),ROUND(VLOOKUP(AK40,AE6:AI105,5,FALSE),0)/1000+ROUND(AL40,3)),ROUND(VLOOKUP(AK40,Y6:AC105,5,FALSE),0)/1000+ROUND(AL40,3)),ROUND(VLOOKUP(AK40,S6:W105,5,FALSE),0)/1000+ROUND(AL40,3)),ROUND(VLOOKUP(AK40,M6:Q105,5,FALSE),0)/1000+ROUND(AL40,3)),ROUND(VLOOKUP(AK40,G6:K105,5,FALSE),0)/1000+ROUND(AL40,3)),ROUND(VLOOKUP(AK40,A6:E105,5,FALSE),0)/1000+ROUND(AL40,3)))))</f>
        <v/>
      </c>
      <c r="AO40" s="20" t="str">
        <f>IF(OR(NOT(EXACT(UPPER(AK40),"TBM")),AL40=""),IF(AND(AL40&lt;&gt;"",AM40="",AN40&lt;&gt;""),"",IF(AND(AL40="",AM40&lt;&gt;"",AN40&lt;&gt;""),ROUND(ROUND(AN40,3)-ROUND(AM40,3),3)*1000,IF(AND(AL40&lt;&gt;"",AM40&lt;&gt;"",AN40&lt;&gt;""),ROUND(ROUND(AN39,3)-ROUND(AM40,3),3)*1000,""))),"")</f>
        <v/>
      </c>
      <c r="AP40" s="46" t="str">
        <f>IF(AND(NOT(ISNA(VLOOKUP(AK40,A6:E105,5,FALSE))),AL40="",AM40&lt;&gt;""),ROUND((VLOOKUP(AK40,A6:E105,5,FALSE)-AO40)/1000,3),IF(AND(NOT(ISNA(VLOOKUP(AK40,G6:K105,5,FALSE))),AL40="",AM40&lt;&gt;""),ROUND((VLOOKUP(AK40,G6:K105,5,FALSE)-AO40)/1000,3),IF(AND(NOT(ISNA(VLOOKUP(AK40,M6:Q105,5,FALSE))),AL40="",AM40&lt;&gt;""),ROUND((VLOOKUP(AK40,M6:Q105,5,FALSE)-AO40)/1000,3),IF(AND(NOT(ISNA(VLOOKUP(AK40,S6:W105,5,FALSE))),AL40="",AM40&lt;&gt;""),ROUND((VLOOKUP(AK40,S6:W105,5,FALSE)-AO40)/1000,3),IF(AND(NOT(ISNA(VLOOKUP(AK40,Y6:AC105,5,FALSE))),AL40="",AM40&lt;&gt;""),ROUND((VLOOKUP(AK40,Y6:AC105,5,FALSE)-AO40)/1000,3),IF(AND(NOT(ISNA(VLOOKUP(AK40,AE6:AI105,5,FALSE))),AL40="",AM40&lt;&gt;""),ROUND((VLOOKUP(AK40,AE6:AI105,5,FALSE)-AO40)/1000,3),IF(AND(NOT(ISNA(VLOOKUP(AK40,AK6:AO39,5,FALSE))),AL40="",AM40&lt;&gt;""),ROUND((VLOOKUP(AK40,AK6:AO39,5,FALSE)-AO40)/1000,3),"")))))))</f>
        <v/>
      </c>
      <c r="AQ40" s="67">
        <f>IF(AQ39="","",AQ39+1)</f>
        <v>734</v>
      </c>
      <c r="AR40" s="40"/>
      <c r="AS40" s="40"/>
      <c r="AT40" s="62" t="str">
        <f>IF(AND(AR40&lt;&gt;"",AS40&lt;&gt;""),ROUND(AR40,3)+ROUND(AT39,3)-ROUND(AS40,3),IF(AND(EXACT(UPPER(AQ40),"TBM"),AR40&lt;&gt;""),ROUND(AR40,3),IF(AR40="",AT39,IF(ISNA(VLOOKUP(AQ40,A6:E105,5,FALSE)),IF(ISNA(VLOOKUP(AQ40,G6:K105,5,FALSE)),IF(ISNA(VLOOKUP(AQ40,M6:Q105,5,FALSE)),IF(ISNA(VLOOKUP(AQ40,S6:W105,5,FALSE)),IF(ISNA(VLOOKUP(AQ40,Y6:AC105,5,FALSE)),IF(ISNA(VLOOKUP(AQ40,AE6:AI105,5,FALSE)),IF(ISNA(VLOOKUP(AQ40,AK6:AO105,5,FALSE)),IF(ISNA(VLOOKUP(AQ40,AQ6:AU39,5,FALSE)),"",ROUND(VLOOKUP(AQ40,AQ6:AU39,5,FALSE),0)/1000+ROUND(AR40,3)),ROUND(VLOOKUP(AQ40,AK6:AO105,5,FALSE),0)/1000+ROUND(AR40,3)),ROUND(VLOOKUP(AQ40,AE6:AI105,5,FALSE),0)/1000+ROUND(AR40,3)),ROUND(VLOOKUP(AQ40,Y6:AC105,5,FALSE),0)/1000+ROUND(AR40,3)),ROUND(VLOOKUP(AQ40,S6:W105,5,FALSE),0)/1000+ROUND(AR40,3)),ROUND(VLOOKUP(AQ40,M6:Q105,5,FALSE),0)/1000+ROUND(AR40,3)),ROUND(VLOOKUP(AQ40,G6:K105,5,FALSE),0)/1000+ROUND(AR40,3)),ROUND(VLOOKUP(AQ40,A6:E105,5,FALSE),0)/1000+ROUND(AR40,3)))))</f>
        <v/>
      </c>
      <c r="AU40" s="20" t="str">
        <f>IF(OR(NOT(EXACT(UPPER(AQ40),"TBM")),AR40=""),IF(AND(AR40&lt;&gt;"",AS40="",AT40&lt;&gt;""),"",IF(AND(AR40="",AS40&lt;&gt;"",AT40&lt;&gt;""),ROUND(ROUND(AT40,3)-ROUND(AS40,3),3)*1000,IF(AND(AR40&lt;&gt;"",AS40&lt;&gt;"",AT40&lt;&gt;""),ROUND(ROUND(AT39,3)-ROUND(AS40,3),3)*1000,""))),"")</f>
        <v/>
      </c>
      <c r="AV40" s="46" t="str">
        <f>IF(AND(NOT(ISNA(VLOOKUP(AQ40,A6:E105,5,FALSE))),AR40="",AS40&lt;&gt;""),ROUND((VLOOKUP(AQ40,A6:E105,5,FALSE)-AU40)/1000,3),IF(AND(NOT(ISNA(VLOOKUP(AQ40,G6:K105,5,FALSE))),AR40="",AS40&lt;&gt;""),ROUND((VLOOKUP(AQ40,G6:K105,5,FALSE)-AU40)/1000,3),IF(AND(NOT(ISNA(VLOOKUP(AQ40,M6:Q105,5,FALSE))),AR40="",AS40&lt;&gt;""),ROUND((VLOOKUP(AQ40,M6:Q105,5,FALSE)-AU40)/1000,3),IF(AND(NOT(ISNA(VLOOKUP(AQ40,S6:W105,5,FALSE))),AR40="",AS40&lt;&gt;""),ROUND((VLOOKUP(AQ40,S6:W105,5,FALSE)-AU40)/1000,3),IF(AND(NOT(ISNA(VLOOKUP(AQ40,Y6:AC105,5,FALSE))),AR40="",AS40&lt;&gt;""),ROUND((VLOOKUP(AQ40,Y6:AC105,5,FALSE)-AU40)/1000,3),IF(AND(NOT(ISNA(VLOOKUP(AQ40,AE6:AI105,5,FALSE))),AR40="",AS40&lt;&gt;""),ROUND((VLOOKUP(AQ40,AE6:AI105,5,FALSE)-AU40)/1000,3),IF(AND(NOT(ISNA(VLOOKUP(AQ40,AK6:AO105,5,FALSE))),AR40="",AS40&lt;&gt;""),ROUND((VLOOKUP(AQ40,AK6:AO105,5,FALSE)-AU40)/1000,3),IF(AND(NOT(ISNA(VLOOKUP(AQ40,AQ6:AU39,5,FALSE))),AR40="",AS40&lt;&gt;""),ROUND((VLOOKUP(AQ40,AQ6:AU39,5,FALSE)-AU40)/1000,3),""))))))))</f>
        <v/>
      </c>
      <c r="AW40" s="67">
        <f>IF(AW39="","",AW39+1)</f>
        <v>834</v>
      </c>
      <c r="AX40" s="40"/>
      <c r="AY40" s="40"/>
      <c r="AZ40" s="62" t="str">
        <f>IF(AND(AX40&lt;&gt;"",AY40&lt;&gt;""),ROUND(AX40,3)+ROUND(AZ39,3)-ROUND(AY40,3),IF(AND(EXACT(UPPER(AW40),"TBM"),AX40&lt;&gt;""),ROUND(AX40,3),IF(AX40="",AZ39,IF(ISNA(VLOOKUP(AW40,A6:E105,5,FALSE)),IF(ISNA(VLOOKUP(AW40,G6:K105,5,FALSE)),IF(ISNA(VLOOKUP(AW40,M6:Q105,5,FALSE)),IF(ISNA(VLOOKUP(AW40,S6:W105,5,FALSE)),IF(ISNA(VLOOKUP(AW40,Y6:AC105,5,FALSE)),IF(ISNA(VLOOKUP(AW40,AE6:AI105,5,FALSE)),IF(ISNA(VLOOKUP(AW40,AK6:AO105,5,FALSE)),IF(ISNA(VLOOKUP(AW40,AQ6:AU105,5,FALSE)),IF(ISNA(VLOOKUP(AW40,AW6:BA39,5,FALSE)),"",ROUND(VLOOKUP(AW40,AW6:BA39,5,FALSE),0)/1000+ROUND(AX40,3)),ROUND(VLOOKUP(AW40,AQ6:AU105,5,FALSE),0)/1000+ROUND(AX40,3)),ROUND(VLOOKUP(AW40,AK6:AO105,5,FALSE),0)/1000+ROUND(AX40,3)),ROUND(VLOOKUP(AW40,AE6:AI105,5,FALSE),0)/1000+ROUND(AX40,3)),ROUND(VLOOKUP(AW40,Y6:AC105,5,FALSE),0)/1000+ROUND(AX40,3)),ROUND(VLOOKUP(AW40,S6:W105,5,FALSE),0)/1000+ROUND(AX40,3)),ROUND(VLOOKUP(AW40,M6:Q105,5,FALSE),0)/1000+ROUND(AX40,3)),ROUND(VLOOKUP(AW40,G6:K105,5,FALSE),0)/1000+ROUND(AX40,3)),ROUND(VLOOKUP(AW40,A6:E105,5,FALSE),0)/1000+ROUND(AX40,3)))))</f>
        <v/>
      </c>
      <c r="BA40" s="20" t="str">
        <f>IF(OR(NOT(EXACT(UPPER(AW40),"TBM")),AX40=""),IF(AND(AX40&lt;&gt;"",AY40="",AZ40&lt;&gt;""),"",IF(AND(AX40="",AY40&lt;&gt;"",AZ40&lt;&gt;""),ROUND(ROUND(AZ40,3)-ROUND(AY40,3),3)*1000,IF(AND(AX40&lt;&gt;"",AY40&lt;&gt;"",AZ40&lt;&gt;""),ROUND(ROUND(AZ39,3)-ROUND(AY40,3),3)*1000,""))),"")</f>
        <v/>
      </c>
      <c r="BB40" s="46" t="str">
        <f>IF(AND(NOT(ISNA(VLOOKUP(AW40,A6:E105,5,FALSE))),AX40="",AY40&lt;&gt;""),ROUND((VLOOKUP(AW40,A6:E105,5,FALSE)-BA40)/1000,3),IF(AND(NOT(ISNA(VLOOKUP(AW40,G6:K105,5,FALSE))),AX40="",AY40&lt;&gt;""),ROUND((VLOOKUP(AW40,G6:K105,5,FALSE)-BA40)/1000,3),IF(AND(NOT(ISNA(VLOOKUP(AW40,M6:Q105,5,FALSE))),AX40="",AY40&lt;&gt;""),ROUND((VLOOKUP(AW40,M6:Q105,5,FALSE)-BA40)/1000,3),IF(AND(NOT(ISNA(VLOOKUP(AW40,S6:W105,5,FALSE))),AX40="",AY40&lt;&gt;""),ROUND((VLOOKUP(AW40,S6:W105,5,FALSE)-BA40)/1000,3),IF(AND(NOT(ISNA(VLOOKUP(AW40,Y6:AC105,5,FALSE))),AX40="",AY40&lt;&gt;""),ROUND((VLOOKUP(AW40,Y6:AC105,5,FALSE)-BA40)/1000,3),IF(AND(NOT(ISNA(VLOOKUP(AW40,AE6:AI105,5,FALSE))),AX40="",AY40&lt;&gt;""),ROUND((VLOOKUP(AW40,AE6:AI105,5,FALSE)-BA40)/1000,3),IF(AND(NOT(ISNA(VLOOKUP(AW40,AK6:AO105,5,FALSE))),AX40="",AY40&lt;&gt;""),ROUND((VLOOKUP(AW40,AK6:AO105,5,FALSE)-BA40)/1000,3),IF(AND(NOT(ISNA(VLOOKUP(AW40,AQ6:AU105,5,FALSE))),AX40="",AY40&lt;&gt;""),ROUND((VLOOKUP(AW40,AQ6:AU105,5,FALSE)-BA40)/1000,3),IF(AND(NOT(ISNA(VLOOKUP(AW40,AW6:BA39,5,FALSE))),AX40="",AY40&lt;&gt;""),ROUND((VLOOKUP(AW40,AW6:BA39,5,FALSE)-BA40)/1000,3),"")))))))))</f>
        <v/>
      </c>
      <c r="BC40" s="67">
        <f>IF(BC39="","",BC39+1)</f>
        <v>934</v>
      </c>
      <c r="BD40" s="40"/>
      <c r="BE40" s="40"/>
      <c r="BF40" s="62" t="str">
        <f>IF(AND(BD40&lt;&gt;"",BE40&lt;&gt;""),ROUND(BD40,3)+ROUND(BF39,3)-ROUND(BE40,3),IF(AND(EXACT(UPPER(BC40),"TBM"),BD40&lt;&gt;""),ROUND(BD40,3),IF(BD40="",BF39,IF(ISNA(VLOOKUP(BC40,A6:E105,5,FALSE)),IF(ISNA(VLOOKUP(BC40,G6:K105,5,FALSE)),IF(ISNA(VLOOKUP(BC40,M6:Q105,5,FALSE)),IF(ISNA(VLOOKUP(BC40,S6:W105,5,FALSE)),IF(ISNA(VLOOKUP(BC40,Y6:AC105,5,FALSE)),IF(ISNA(VLOOKUP(BC40,AE6:AI105,5,FALSE)),IF(ISNA(VLOOKUP(BC40,AK6:AO105,5,FALSE)),IF(ISNA(VLOOKUP(BC40,AQ6:AU105,5,FALSE)),IF(ISNA(VLOOKUP(BC40,AW6:BA105,5,FALSE)),IF(ISNA(VLOOKUP(BC40,BC6:BG39,5,FALSE)),"",ROUND(VLOOKUP(BC40,BC6:BG39,5,FALSE),0)/1000+ROUND(BD40,3)),ROUND(VLOOKUP(BC40,AW6:BA105,5,FALSE),0)/1000+ROUND(BD40,3)),ROUND(VLOOKUP(BC40,AQ6:AU105,5,FALSE),0)/1000+ROUND(BD40,3)),ROUND(VLOOKUP(BC40,AK6:AO105,5,FALSE),0)/1000+ROUND(BD40,3)),ROUND(VLOOKUP(BC40,AE6:AI105,5,FALSE),0)/1000+ROUND(BD40,3)),ROUND(VLOOKUP(BC40,Y6:AC105,5,FALSE),0)/1000+ROUND(BD40,3)),ROUND(VLOOKUP(BC40,S6:W105,5,FALSE),0)/1000+ROUND(BD40,3)),ROUND(VLOOKUP(BC40,M6:Q105,5,FALSE),0)/1000+ROUND(BD40,3)),ROUND(VLOOKUP(BC40,G6:K105,5,FALSE),0)/1000+ROUND(BD40,3)),ROUND(VLOOKUP(BC40,A6:E105,5,FALSE),0)/1000+ROUND(BD40,3)))))</f>
        <v/>
      </c>
      <c r="BG40" s="20" t="str">
        <f>IF(OR(NOT(EXACT(UPPER(BC40),"TBM")),BD40=""),IF(AND(BD40&lt;&gt;"",BE40="",BF40&lt;&gt;""),"",IF(AND(BD40="",BE40&lt;&gt;"",BF40&lt;&gt;""),ROUND(ROUND(BF40,3)-ROUND(BE40,3),3)*1000,IF(AND(BD40&lt;&gt;"",BE40&lt;&gt;"",BF40&lt;&gt;""),ROUND(ROUND(BF39,3)-ROUND(BE40,3),3)*1000,""))),"")</f>
        <v/>
      </c>
      <c r="BH40" s="46" t="str">
        <f>IF(AND(NOT(ISNA(VLOOKUP(BC40,A6:E105,5,FALSE))),BD40="",BE40&lt;&gt;""),ROUND((VLOOKUP(BC40,A6:E105,5,FALSE)-BG40)/1000,3),IF(AND(NOT(ISNA(VLOOKUP(BC40,G6:K105,5,FALSE))),BD40="",BE40&lt;&gt;""),ROUND((VLOOKUP(BC40,G6:K105,5,FALSE)-BG40)/1000,3),IF(AND(NOT(ISNA(VLOOKUP(BC40,M6:Q105,5,FALSE))),BD40="",BE40&lt;&gt;""),ROUND((VLOOKUP(BC40,M6:Q105,5,FALSE)-BG40)/1000,3),IF(AND(NOT(ISNA(VLOOKUP(BC40,S6:W105,5,FALSE))),BD40="",BE40&lt;&gt;""),ROUND((VLOOKUP(BC40,S6:W105,5,FALSE)-BG40)/1000,3),IF(AND(NOT(ISNA(VLOOKUP(BC40,Y6:AC105,5,FALSE))),BD40="",BE40&lt;&gt;""),ROUND((VLOOKUP(BC40,Y6:AC105,5,FALSE)-BG40)/1000,3),IF(AND(NOT(ISNA(VLOOKUP(BC40,AE6:AI105,5,FALSE))),BD40="",BE40&lt;&gt;""),ROUND((VLOOKUP(BC40,AE6:AI105,5,FALSE)-BG40)/1000,3),IF(AND(NOT(ISNA(VLOOKUP(BC40,AK6:AO105,5,FALSE))),BD40="",BE40&lt;&gt;""),ROUND((VLOOKUP(BC40,AK6:AO105,5,FALSE)-BG40)/1000,3),IF(AND(NOT(ISNA(VLOOKUP(BC40,AQ6:AU105,5,FALSE))),BD40="",BE40&lt;&gt;""),ROUND((VLOOKUP(BC40,AQ6:AU105,5,FALSE)-BG40)/1000,3),IF(AND(NOT(ISNA(VLOOKUP(BC40,AW6:BA105,5,FALSE))),BD40="",BE40&lt;&gt;""),ROUND((VLOOKUP(BC40,AW6:BA105,5,FALSE)-BG40)/1000,3),IF(AND(NOT(ISNA(VLOOKUP(BC40,BC6:BG39,5,FALSE))),BD40="",BE40&lt;&gt;""),ROUND((VLOOKUP(BC40,BC6:BG39,5,FALSE)-BG40)/1000,3),""))))))))))</f>
        <v/>
      </c>
    </row>
    <row r="41" spans="1:60" x14ac:dyDescent="0.25">
      <c r="A41" s="74">
        <f t="shared" si="3"/>
        <v>35</v>
      </c>
      <c r="B41" s="94"/>
      <c r="C41" s="86"/>
      <c r="D41" s="78" t="str">
        <f>IF(AND(B41&lt;&gt;"",C41&lt;&gt;""),ROUND(B41,3)+ROUND(D40,3)-ROUND(C41,3),IF(AND(EXACT(UPPER(A41),"TBM"),B41&lt;&gt;""),ROUND(B41,3),IF(B41="",D40,IF(ISNA(VLOOKUP(A41,A6:E40,5,FALSE)),"",ROUND(VLOOKUP(A41,A6:E40,5,FALSE),0)/1000+ROUND(B41,3)))))</f>
        <v/>
      </c>
      <c r="E41" s="79" t="str">
        <f t="shared" si="4"/>
        <v/>
      </c>
      <c r="F41" s="80" t="str">
        <f>IF(AND(NOT(ISNA(VLOOKUP(A41,A6:E40,5,FALSE))),B41="",C41&lt;&gt;""),ROUND((VLOOKUP(A41,A6:E40,5,FALSE)-E41)/1000,3),"")</f>
        <v/>
      </c>
      <c r="G41" s="74">
        <f t="shared" si="1"/>
        <v>135</v>
      </c>
      <c r="H41" s="86"/>
      <c r="I41" s="86"/>
      <c r="J41" s="78" t="str">
        <f>IF(AND(H41&lt;&gt;"",I41&lt;&gt;""),ROUND(H41,3)+ROUND(J40,3)-ROUND(I41,3),IF(AND(EXACT(UPPER(G41),"TBM"),H41&lt;&gt;""),ROUND(H41,3),IF(H41="",J40,IF(ISNA(VLOOKUP(G41,A6:E105,5,FALSE)),IF(ISNA(VLOOKUP(G41,G6:K40,5,FALSE)),"",ROUND(VLOOKUP(G41,G6:K40,5,FALSE),0)/1000+ROUND(H41,3)),ROUND(VLOOKUP(G41,A6:E105,5,FALSE),0)/1000+ROUND(H41,3)))))</f>
        <v/>
      </c>
      <c r="K41" s="87" t="str">
        <f t="shared" si="5"/>
        <v/>
      </c>
      <c r="L41" s="80" t="str">
        <f>IF(AND(NOT(ISNA(VLOOKUP(G41,A6:E105,5,FALSE))),H41="",I41&lt;&gt;""),ROUND((VLOOKUP(G41,A6:E105,5,FALSE)-K41)/1000,3),IF(AND(NOT(ISNA(VLOOKUP(G41,G6:K40,5,FALSE))),H41="",I41&lt;&gt;""),ROUND((VLOOKUP(G41,G6:K40,5,FALSE)-K41)/1000,3),""))</f>
        <v/>
      </c>
      <c r="M41" s="74">
        <f>IF(M40="","",M40+1)</f>
        <v>235</v>
      </c>
      <c r="N41" s="86"/>
      <c r="O41" s="86"/>
      <c r="P41" s="78" t="str">
        <f>IF(AND(N41&lt;&gt;"",O41&lt;&gt;""),ROUND(N41,3)+ROUND(P40,3)-ROUND(O41,3),IF(AND(EXACT(UPPER(M41),"TBM"),N41&lt;&gt;""),ROUND(N41,3),IF(N41="",P40,IF(ISNA(VLOOKUP(M41,A6:E105,5,FALSE)),IF(ISNA(VLOOKUP(M41,G6:K105,5,FALSE)),IF(ISNA(VLOOKUP(M41,M6:Q40,5,FALSE)),"",ROUND(VLOOKUP(M41,M6:Q40,5,FALSE),0)/1000+ROUND(N41,3)),ROUND(VLOOKUP(M41,G6:K105,5,FALSE),0)/1000+ROUND(N41,3)),ROUND(VLOOKUP(M41,A6:E105,5,FALSE),0)/1000+ROUND(N41,3)))))</f>
        <v/>
      </c>
      <c r="Q41" s="87" t="str">
        <f>IF(OR(NOT(EXACT(UPPER(M41),"TBM")),N41=""),IF(AND(N41&lt;&gt;"",O41="",P41&lt;&gt;""),"",IF(AND(N41="",O41&lt;&gt;"",P41&lt;&gt;""),ROUND(ROUND(P41,3)-ROUND(O41,3),3)*1000,IF(AND(N41&lt;&gt;"",O41&lt;&gt;"",P41&lt;&gt;""),ROUND(ROUND(P40,3)-ROUND(O41,3),3)*1000,""))),"")</f>
        <v/>
      </c>
      <c r="R41" s="80" t="str">
        <f>IF(AND(NOT(ISNA(VLOOKUP(M41,A6:E105,5,FALSE))),N41="",O41&lt;&gt;""),ROUND((VLOOKUP(M41,A6:E105,5,FALSE)-Q41)/1000,3),IF(AND(NOT(ISNA(VLOOKUP(M41,G6:K105,5,FALSE))),N41="",O41&lt;&gt;""),ROUND((VLOOKUP(M41,G6:K105,5,FALSE)-Q41)/1000,3),IF(AND(NOT(ISNA(VLOOKUP(M41,M6:Q40,5,FALSE))),N41="",O41&lt;&gt;""),ROUND((VLOOKUP(M41,M6:Q40,5,FALSE)-Q41)/1000,3),"")))</f>
        <v/>
      </c>
      <c r="S41" s="74">
        <f>IF(S40="","",S40+1)</f>
        <v>335</v>
      </c>
      <c r="T41" s="86"/>
      <c r="U41" s="86"/>
      <c r="V41" s="78" t="str">
        <f>IF(AND(T41&lt;&gt;"",U41&lt;&gt;""),ROUND(T41,3)+ROUND(V40,3)-ROUND(U41,3),IF(AND(EXACT(UPPER(S41),"TBM"),T41&lt;&gt;""),ROUND(T41,3),IF(T41="",V40,IF(ISNA(VLOOKUP(S41,A6:E105,5,FALSE)),IF(ISNA(VLOOKUP(S41,G6:K105,5,FALSE)),IF(ISNA(VLOOKUP(S41,M6:Q105,5,FALSE)),IF(ISNA(VLOOKUP(S41,S6:W40,5,FALSE)),"",ROUND(VLOOKUP(S41,S6:W40,5,FALSE),0)/1000+ROUND(T41,3)),ROUND(VLOOKUP(S41,M6:Q105,5,FALSE),0)/1000+ROUND(T41,3)),ROUND(VLOOKUP(S41,G6:K105,5,FALSE),0)/1000+ROUND(T41,3)),ROUND(VLOOKUP(S41,A6:E105,5,FALSE),0)/1000+ROUND(T41,3)))))</f>
        <v/>
      </c>
      <c r="W41" s="87" t="str">
        <f>IF(OR(NOT(EXACT(UPPER(S41),"TBM")),T41=""),IF(AND(T41&lt;&gt;"",U41="",V41&lt;&gt;""),"",IF(AND(T41="",U41&lt;&gt;"",V41&lt;&gt;""),ROUND(ROUND(V41,3)-ROUND(U41,3),3)*1000,IF(AND(T41&lt;&gt;"",U41&lt;&gt;"",V41&lt;&gt;""),ROUND(ROUND(V40,3)-ROUND(U41,3),3)*1000,""))),"")</f>
        <v/>
      </c>
      <c r="X41" s="80" t="str">
        <f>IF(AND(NOT(ISNA(VLOOKUP(S41,A6:E105,5,FALSE))),T41="",U41&lt;&gt;""),ROUND((VLOOKUP(S41,A6:E105,5,FALSE)-W41)/1000,3),IF(AND(NOT(ISNA(VLOOKUP(S41,G6:K105,5,FALSE))),T41="",U41&lt;&gt;""),ROUND((VLOOKUP(S41,G6:K105,5,FALSE)-W41)/1000,3),IF(AND(NOT(ISNA(VLOOKUP(S41,M6:Q105,5,FALSE))),T41="",U41&lt;&gt;""),ROUND((VLOOKUP(S41,M6:Q105,5,FALSE)-W41)/1000,3),IF(AND(NOT(ISNA(VLOOKUP(S41,S6:W40,5,FALSE))),T41="",U41&lt;&gt;""),ROUND((VLOOKUP(S41,S6:W40,5,FALSE)-W41)/1000,3),""))))</f>
        <v/>
      </c>
      <c r="Y41" s="74">
        <f>IF(Y40="","",Y40+1)</f>
        <v>435</v>
      </c>
      <c r="Z41" s="86"/>
      <c r="AA41" s="86"/>
      <c r="AB41" s="78" t="str">
        <f>IF(AND(Z41&lt;&gt;"",AA41&lt;&gt;""),ROUND(Z41,3)+ROUND(AB40,3)-ROUND(AA41,3),IF(AND(EXACT(UPPER(Y41),"TBM"),Z41&lt;&gt;""),ROUND(Z41,3),IF(Z41="",AB40,IF(ISNA(VLOOKUP(Y41,A6:E105,5,FALSE)),IF(ISNA(VLOOKUP(Y41,G6:K105,5,FALSE)),IF(ISNA(VLOOKUP(Y41,M6:Q105,5,FALSE)),IF(ISNA(VLOOKUP(Y41,S6:W105,5,FALSE)),IF(ISNA(VLOOKUP(Y41,Y6:AC40,5,FALSE)),"",ROUND(VLOOKUP(Y41,Y6:AC40,5,FALSE),0)/1000+ROUND(Z41,3)),ROUND(VLOOKUP(Y41,S6:W105,5,FALSE),0)/1000+ROUND(Z41,3)),ROUND(VLOOKUP(Y41,M6:Q105,5,FALSE),0)/1000+ROUND(Z41,3)),ROUND(VLOOKUP(Y41,G6:K105,5,FALSE),0)/1000+ROUND(Z41,3)),ROUND(VLOOKUP(Y41,A6:E105,5,FALSE),0)/1000+ROUND(Z41,3)))))</f>
        <v/>
      </c>
      <c r="AC41" s="87" t="str">
        <f>IF(OR(NOT(EXACT(UPPER(Y41),"TBM")),Z41=""),IF(AND(Z41&lt;&gt;"",AA41="",AB41&lt;&gt;""),"",IF(AND(Z41="",AA41&lt;&gt;"",AB41&lt;&gt;""),ROUND(ROUND(AB41,3)-ROUND(AA41,3),3)*1000,IF(AND(Z41&lt;&gt;"",AA41&lt;&gt;"",AB41&lt;&gt;""),ROUND(ROUND(AB40,3)-ROUND(AA41,3),3)*1000,""))),"")</f>
        <v/>
      </c>
      <c r="AD41" s="80" t="str">
        <f>IF(AND(NOT(ISNA(VLOOKUP(Y41,A6:E105,5,FALSE))),Z41="",AA41&lt;&gt;""),ROUND((VLOOKUP(Y41,A6:E105,5,FALSE)-AC41)/1000,3),IF(AND(NOT(ISNA(VLOOKUP(Y41,G6:K105,5,FALSE))),Z41="",AA41&lt;&gt;""),ROUND((VLOOKUP(Y41,G6:K105,5,FALSE)-AC41)/1000,3),IF(AND(NOT(ISNA(VLOOKUP(Y41,M6:Q105,5,FALSE))),Z41="",AA41&lt;&gt;""),ROUND((VLOOKUP(Y41,M6:Q105,5,FALSE)-AC41)/1000,3),IF(AND(NOT(ISNA(VLOOKUP(Y41,S6:W105,5,FALSE))),Z41="",AA41&lt;&gt;""),ROUND((VLOOKUP(Y41,S6:W105,5,FALSE)-AC41)/1000,3),IF(AND(NOT(ISNA(VLOOKUP(Y41,Y6:AC40,5,FALSE))),Z41="",AA41&lt;&gt;""),ROUND((VLOOKUP(Y41,Y6:AC40,5,FALSE)-AC41)/1000,3),"")))))</f>
        <v/>
      </c>
      <c r="AE41" s="74">
        <f>IF(AE40="","",AE40+1)</f>
        <v>535</v>
      </c>
      <c r="AF41" s="86"/>
      <c r="AG41" s="86"/>
      <c r="AH41" s="78" t="str">
        <f>IF(AND(AF41&lt;&gt;"",AG41&lt;&gt;""),ROUND(AF41,3)+ROUND(AH40,3)-ROUND(AG41,3),IF(AND(EXACT(UPPER(AE41),"TBM"),AF41&lt;&gt;""),ROUND(AF41,3),IF(AF41="",AH40,IF(ISNA(VLOOKUP(AE41,A6:E105,5,FALSE)),IF(ISNA(VLOOKUP(AE41,G6:K105,5,FALSE)),IF(ISNA(VLOOKUP(AE41,M6:Q105,5,FALSE)),IF(ISNA(VLOOKUP(AE41,S6:W105,5,FALSE)),IF(ISNA(VLOOKUP(AE41,Y6:AC105,5,FALSE)),IF(ISNA(VLOOKUP(AE41,AE6:AI40,5,FALSE)),"",ROUND(VLOOKUP(AE41,AE6:AI40,5,FALSE),0)/1000+ROUND(AF41,3)),ROUND(VLOOKUP(AE41,Y6:AC105,5,FALSE),0)/1000+ROUND(AF41,3)),ROUND(VLOOKUP(AE41,S6:W105,5,FALSE),0)/1000+ROUND(AF41,3)),ROUND(VLOOKUP(AE41,M6:Q105,5,FALSE),0)/1000+ROUND(AF41,3)),ROUND(VLOOKUP(AE41,G6:K105,5,FALSE),0)/1000+ROUND(AF41,3)),ROUND(VLOOKUP(AE41,A6:E105,5,FALSE),0)/1000+ROUND(AF41,3)))))</f>
        <v/>
      </c>
      <c r="AI41" s="87" t="str">
        <f>IF(OR(NOT(EXACT(UPPER(AE41),"TBM")),AF41=""),IF(AND(AF41&lt;&gt;"",AG41="",AH41&lt;&gt;""),"",IF(AND(AF41="",AG41&lt;&gt;"",AH41&lt;&gt;""),ROUND(ROUND(AH41,3)-ROUND(AG41,3),3)*1000,IF(AND(AF41&lt;&gt;"",AG41&lt;&gt;"",AH41&lt;&gt;""),ROUND(ROUND(AH40,3)-ROUND(AG41,3),3)*1000,""))),"")</f>
        <v/>
      </c>
      <c r="AJ41" s="80" t="str">
        <f>IF(AND(NOT(ISNA(VLOOKUP(AE41,A6:E105,5,FALSE))),AF41="",AG41&lt;&gt;""),ROUND((VLOOKUP(AE41,A6:E105,5,FALSE)-AI41)/1000,3),IF(AND(NOT(ISNA(VLOOKUP(AE41,G6:K105,5,FALSE))),AF41="",AG41&lt;&gt;""),ROUND((VLOOKUP(AE41,G6:K105,5,FALSE)-AI41)/1000,3),IF(AND(NOT(ISNA(VLOOKUP(AE41,M6:Q105,5,FALSE))),AF41="",AG41&lt;&gt;""),ROUND((VLOOKUP(AE41,M6:Q105,5,FALSE)-AI41)/1000,3),IF(AND(NOT(ISNA(VLOOKUP(AE41,S6:W105,5,FALSE))),AF41="",AG41&lt;&gt;""),ROUND((VLOOKUP(AE41,S6:W105,5,FALSE)-AI41)/1000,3),IF(AND(NOT(ISNA(VLOOKUP(AE41,Y6:AC105,5,FALSE))),AF41="",AG41&lt;&gt;""),ROUND((VLOOKUP(AE41,Y6:AC105,5,FALSE)-AI41)/1000,3),IF(AND(NOT(ISNA(VLOOKUP(AE41,AE6:AI40,5,FALSE))),AF41="",AG41&lt;&gt;""),ROUND((VLOOKUP(AE41,AE6:AI40,5,FALSE)-AI41)/1000,3),""))))))</f>
        <v/>
      </c>
      <c r="AK41" s="74">
        <f>IF(AK40="","",AK40+1)</f>
        <v>635</v>
      </c>
      <c r="AL41" s="86"/>
      <c r="AM41" s="86"/>
      <c r="AN41" s="78" t="str">
        <f>IF(AND(AL41&lt;&gt;"",AM41&lt;&gt;""),ROUND(AL41,3)+ROUND(AN40,3)-ROUND(AM41,3),IF(AND(EXACT(UPPER(AK41),"TBM"),AL41&lt;&gt;""),ROUND(AL41,3),IF(AL41="",AN40,IF(ISNA(VLOOKUP(AK41,A6:E105,5,FALSE)),IF(ISNA(VLOOKUP(AK41,G6:K105,5,FALSE)),IF(ISNA(VLOOKUP(AK41,M6:Q105,5,FALSE)),IF(ISNA(VLOOKUP(AK41,S6:W105,5,FALSE)),IF(ISNA(VLOOKUP(AK41,Y6:AC105,5,FALSE)),IF(ISNA(VLOOKUP(AK41,AE6:AI105,5,FALSE)),IF(ISNA(VLOOKUP(AK41,AK6:AO40,5,FALSE)),"",ROUND(VLOOKUP(AK41,AK6:AO40,5,FALSE),0)/1000+ROUND(AL41,3)),ROUND(VLOOKUP(AK41,AE6:AI105,5,FALSE),0)/1000+ROUND(AL41,3)),ROUND(VLOOKUP(AK41,Y6:AC105,5,FALSE),0)/1000+ROUND(AL41,3)),ROUND(VLOOKUP(AK41,S6:W105,5,FALSE),0)/1000+ROUND(AL41,3)),ROUND(VLOOKUP(AK41,M6:Q105,5,FALSE),0)/1000+ROUND(AL41,3)),ROUND(VLOOKUP(AK41,G6:K105,5,FALSE),0)/1000+ROUND(AL41,3)),ROUND(VLOOKUP(AK41,A6:E105,5,FALSE),0)/1000+ROUND(AL41,3)))))</f>
        <v/>
      </c>
      <c r="AO41" s="87" t="str">
        <f>IF(OR(NOT(EXACT(UPPER(AK41),"TBM")),AL41=""),IF(AND(AL41&lt;&gt;"",AM41="",AN41&lt;&gt;""),"",IF(AND(AL41="",AM41&lt;&gt;"",AN41&lt;&gt;""),ROUND(ROUND(AN41,3)-ROUND(AM41,3),3)*1000,IF(AND(AL41&lt;&gt;"",AM41&lt;&gt;"",AN41&lt;&gt;""),ROUND(ROUND(AN40,3)-ROUND(AM41,3),3)*1000,""))),"")</f>
        <v/>
      </c>
      <c r="AP41" s="80" t="str">
        <f>IF(AND(NOT(ISNA(VLOOKUP(AK41,A6:E105,5,FALSE))),AL41="",AM41&lt;&gt;""),ROUND((VLOOKUP(AK41,A6:E105,5,FALSE)-AO41)/1000,3),IF(AND(NOT(ISNA(VLOOKUP(AK41,G6:K105,5,FALSE))),AL41="",AM41&lt;&gt;""),ROUND((VLOOKUP(AK41,G6:K105,5,FALSE)-AO41)/1000,3),IF(AND(NOT(ISNA(VLOOKUP(AK41,M6:Q105,5,FALSE))),AL41="",AM41&lt;&gt;""),ROUND((VLOOKUP(AK41,M6:Q105,5,FALSE)-AO41)/1000,3),IF(AND(NOT(ISNA(VLOOKUP(AK41,S6:W105,5,FALSE))),AL41="",AM41&lt;&gt;""),ROUND((VLOOKUP(AK41,S6:W105,5,FALSE)-AO41)/1000,3),IF(AND(NOT(ISNA(VLOOKUP(AK41,Y6:AC105,5,FALSE))),AL41="",AM41&lt;&gt;""),ROUND((VLOOKUP(AK41,Y6:AC105,5,FALSE)-AO41)/1000,3),IF(AND(NOT(ISNA(VLOOKUP(AK41,AE6:AI105,5,FALSE))),AL41="",AM41&lt;&gt;""),ROUND((VLOOKUP(AK41,AE6:AI105,5,FALSE)-AO41)/1000,3),IF(AND(NOT(ISNA(VLOOKUP(AK41,AK6:AO40,5,FALSE))),AL41="",AM41&lt;&gt;""),ROUND((VLOOKUP(AK41,AK6:AO40,5,FALSE)-AO41)/1000,3),"")))))))</f>
        <v/>
      </c>
      <c r="AQ41" s="74">
        <f>IF(AQ40="","",AQ40+1)</f>
        <v>735</v>
      </c>
      <c r="AR41" s="86"/>
      <c r="AS41" s="86"/>
      <c r="AT41" s="78" t="str">
        <f>IF(AND(AR41&lt;&gt;"",AS41&lt;&gt;""),ROUND(AR41,3)+ROUND(AT40,3)-ROUND(AS41,3),IF(AND(EXACT(UPPER(AQ41),"TBM"),AR41&lt;&gt;""),ROUND(AR41,3),IF(AR41="",AT40,IF(ISNA(VLOOKUP(AQ41,A6:E105,5,FALSE)),IF(ISNA(VLOOKUP(AQ41,G6:K105,5,FALSE)),IF(ISNA(VLOOKUP(AQ41,M6:Q105,5,FALSE)),IF(ISNA(VLOOKUP(AQ41,S6:W105,5,FALSE)),IF(ISNA(VLOOKUP(AQ41,Y6:AC105,5,FALSE)),IF(ISNA(VLOOKUP(AQ41,AE6:AI105,5,FALSE)),IF(ISNA(VLOOKUP(AQ41,AK6:AO105,5,FALSE)),IF(ISNA(VLOOKUP(AQ41,AQ6:AU40,5,FALSE)),"",ROUND(VLOOKUP(AQ41,AQ6:AU40,5,FALSE),0)/1000+ROUND(AR41,3)),ROUND(VLOOKUP(AQ41,AK6:AO105,5,FALSE),0)/1000+ROUND(AR41,3)),ROUND(VLOOKUP(AQ41,AE6:AI105,5,FALSE),0)/1000+ROUND(AR41,3)),ROUND(VLOOKUP(AQ41,Y6:AC105,5,FALSE),0)/1000+ROUND(AR41,3)),ROUND(VLOOKUP(AQ41,S6:W105,5,FALSE),0)/1000+ROUND(AR41,3)),ROUND(VLOOKUP(AQ41,M6:Q105,5,FALSE),0)/1000+ROUND(AR41,3)),ROUND(VLOOKUP(AQ41,G6:K105,5,FALSE),0)/1000+ROUND(AR41,3)),ROUND(VLOOKUP(AQ41,A6:E105,5,FALSE),0)/1000+ROUND(AR41,3)))))</f>
        <v/>
      </c>
      <c r="AU41" s="87" t="str">
        <f>IF(OR(NOT(EXACT(UPPER(AQ41),"TBM")),AR41=""),IF(AND(AR41&lt;&gt;"",AS41="",AT41&lt;&gt;""),"",IF(AND(AR41="",AS41&lt;&gt;"",AT41&lt;&gt;""),ROUND(ROUND(AT41,3)-ROUND(AS41,3),3)*1000,IF(AND(AR41&lt;&gt;"",AS41&lt;&gt;"",AT41&lt;&gt;""),ROUND(ROUND(AT40,3)-ROUND(AS41,3),3)*1000,""))),"")</f>
        <v/>
      </c>
      <c r="AV41" s="80" t="str">
        <f>IF(AND(NOT(ISNA(VLOOKUP(AQ41,A6:E105,5,FALSE))),AR41="",AS41&lt;&gt;""),ROUND((VLOOKUP(AQ41,A6:E105,5,FALSE)-AU41)/1000,3),IF(AND(NOT(ISNA(VLOOKUP(AQ41,G6:K105,5,FALSE))),AR41="",AS41&lt;&gt;""),ROUND((VLOOKUP(AQ41,G6:K105,5,FALSE)-AU41)/1000,3),IF(AND(NOT(ISNA(VLOOKUP(AQ41,M6:Q105,5,FALSE))),AR41="",AS41&lt;&gt;""),ROUND((VLOOKUP(AQ41,M6:Q105,5,FALSE)-AU41)/1000,3),IF(AND(NOT(ISNA(VLOOKUP(AQ41,S6:W105,5,FALSE))),AR41="",AS41&lt;&gt;""),ROUND((VLOOKUP(AQ41,S6:W105,5,FALSE)-AU41)/1000,3),IF(AND(NOT(ISNA(VLOOKUP(AQ41,Y6:AC105,5,FALSE))),AR41="",AS41&lt;&gt;""),ROUND((VLOOKUP(AQ41,Y6:AC105,5,FALSE)-AU41)/1000,3),IF(AND(NOT(ISNA(VLOOKUP(AQ41,AE6:AI105,5,FALSE))),AR41="",AS41&lt;&gt;""),ROUND((VLOOKUP(AQ41,AE6:AI105,5,FALSE)-AU41)/1000,3),IF(AND(NOT(ISNA(VLOOKUP(AQ41,AK6:AO105,5,FALSE))),AR41="",AS41&lt;&gt;""),ROUND((VLOOKUP(AQ41,AK6:AO105,5,FALSE)-AU41)/1000,3),IF(AND(NOT(ISNA(VLOOKUP(AQ41,AQ6:AU40,5,FALSE))),AR41="",AS41&lt;&gt;""),ROUND((VLOOKUP(AQ41,AQ6:AU40,5,FALSE)-AU41)/1000,3),""))))))))</f>
        <v/>
      </c>
      <c r="AW41" s="74">
        <f>IF(AW40="","",AW40+1)</f>
        <v>835</v>
      </c>
      <c r="AX41" s="86"/>
      <c r="AY41" s="86"/>
      <c r="AZ41" s="78" t="str">
        <f>IF(AND(AX41&lt;&gt;"",AY41&lt;&gt;""),ROUND(AX41,3)+ROUND(AZ40,3)-ROUND(AY41,3),IF(AND(EXACT(UPPER(AW41),"TBM"),AX41&lt;&gt;""),ROUND(AX41,3),IF(AX41="",AZ40,IF(ISNA(VLOOKUP(AW41,A6:E105,5,FALSE)),IF(ISNA(VLOOKUP(AW41,G6:K105,5,FALSE)),IF(ISNA(VLOOKUP(AW41,M6:Q105,5,FALSE)),IF(ISNA(VLOOKUP(AW41,S6:W105,5,FALSE)),IF(ISNA(VLOOKUP(AW41,Y6:AC105,5,FALSE)),IF(ISNA(VLOOKUP(AW41,AE6:AI105,5,FALSE)),IF(ISNA(VLOOKUP(AW41,AK6:AO105,5,FALSE)),IF(ISNA(VLOOKUP(AW41,AQ6:AU105,5,FALSE)),IF(ISNA(VLOOKUP(AW41,AW6:BA40,5,FALSE)),"",ROUND(VLOOKUP(AW41,AW6:BA40,5,FALSE),0)/1000+ROUND(AX41,3)),ROUND(VLOOKUP(AW41,AQ6:AU105,5,FALSE),0)/1000+ROUND(AX41,3)),ROUND(VLOOKUP(AW41,AK6:AO105,5,FALSE),0)/1000+ROUND(AX41,3)),ROUND(VLOOKUP(AW41,AE6:AI105,5,FALSE),0)/1000+ROUND(AX41,3)),ROUND(VLOOKUP(AW41,Y6:AC105,5,FALSE),0)/1000+ROUND(AX41,3)),ROUND(VLOOKUP(AW41,S6:W105,5,FALSE),0)/1000+ROUND(AX41,3)),ROUND(VLOOKUP(AW41,M6:Q105,5,FALSE),0)/1000+ROUND(AX41,3)),ROUND(VLOOKUP(AW41,G6:K105,5,FALSE),0)/1000+ROUND(AX41,3)),ROUND(VLOOKUP(AW41,A6:E105,5,FALSE),0)/1000+ROUND(AX41,3)))))</f>
        <v/>
      </c>
      <c r="BA41" s="87" t="str">
        <f>IF(OR(NOT(EXACT(UPPER(AW41),"TBM")),AX41=""),IF(AND(AX41&lt;&gt;"",AY41="",AZ41&lt;&gt;""),"",IF(AND(AX41="",AY41&lt;&gt;"",AZ41&lt;&gt;""),ROUND(ROUND(AZ41,3)-ROUND(AY41,3),3)*1000,IF(AND(AX41&lt;&gt;"",AY41&lt;&gt;"",AZ41&lt;&gt;""),ROUND(ROUND(AZ40,3)-ROUND(AY41,3),3)*1000,""))),"")</f>
        <v/>
      </c>
      <c r="BB41" s="80" t="str">
        <f>IF(AND(NOT(ISNA(VLOOKUP(AW41,A6:E105,5,FALSE))),AX41="",AY41&lt;&gt;""),ROUND((VLOOKUP(AW41,A6:E105,5,FALSE)-BA41)/1000,3),IF(AND(NOT(ISNA(VLOOKUP(AW41,G6:K105,5,FALSE))),AX41="",AY41&lt;&gt;""),ROUND((VLOOKUP(AW41,G6:K105,5,FALSE)-BA41)/1000,3),IF(AND(NOT(ISNA(VLOOKUP(AW41,M6:Q105,5,FALSE))),AX41="",AY41&lt;&gt;""),ROUND((VLOOKUP(AW41,M6:Q105,5,FALSE)-BA41)/1000,3),IF(AND(NOT(ISNA(VLOOKUP(AW41,S6:W105,5,FALSE))),AX41="",AY41&lt;&gt;""),ROUND((VLOOKUP(AW41,S6:W105,5,FALSE)-BA41)/1000,3),IF(AND(NOT(ISNA(VLOOKUP(AW41,Y6:AC105,5,FALSE))),AX41="",AY41&lt;&gt;""),ROUND((VLOOKUP(AW41,Y6:AC105,5,FALSE)-BA41)/1000,3),IF(AND(NOT(ISNA(VLOOKUP(AW41,AE6:AI105,5,FALSE))),AX41="",AY41&lt;&gt;""),ROUND((VLOOKUP(AW41,AE6:AI105,5,FALSE)-BA41)/1000,3),IF(AND(NOT(ISNA(VLOOKUP(AW41,AK6:AO105,5,FALSE))),AX41="",AY41&lt;&gt;""),ROUND((VLOOKUP(AW41,AK6:AO105,5,FALSE)-BA41)/1000,3),IF(AND(NOT(ISNA(VLOOKUP(AW41,AQ6:AU105,5,FALSE))),AX41="",AY41&lt;&gt;""),ROUND((VLOOKUP(AW41,AQ6:AU105,5,FALSE)-BA41)/1000,3),IF(AND(NOT(ISNA(VLOOKUP(AW41,AW6:BA40,5,FALSE))),AX41="",AY41&lt;&gt;""),ROUND((VLOOKUP(AW41,AW6:BA40,5,FALSE)-BA41)/1000,3),"")))))))))</f>
        <v/>
      </c>
      <c r="BC41" s="74">
        <f>IF(BC40="","",BC40+1)</f>
        <v>935</v>
      </c>
      <c r="BD41" s="86"/>
      <c r="BE41" s="86"/>
      <c r="BF41" s="78" t="str">
        <f>IF(AND(BD41&lt;&gt;"",BE41&lt;&gt;""),ROUND(BD41,3)+ROUND(BF40,3)-ROUND(BE41,3),IF(AND(EXACT(UPPER(BC41),"TBM"),BD41&lt;&gt;""),ROUND(BD41,3),IF(BD41="",BF40,IF(ISNA(VLOOKUP(BC41,A6:E105,5,FALSE)),IF(ISNA(VLOOKUP(BC41,G6:K105,5,FALSE)),IF(ISNA(VLOOKUP(BC41,M6:Q105,5,FALSE)),IF(ISNA(VLOOKUP(BC41,S6:W105,5,FALSE)),IF(ISNA(VLOOKUP(BC41,Y6:AC105,5,FALSE)),IF(ISNA(VLOOKUP(BC41,AE6:AI105,5,FALSE)),IF(ISNA(VLOOKUP(BC41,AK6:AO105,5,FALSE)),IF(ISNA(VLOOKUP(BC41,AQ6:AU105,5,FALSE)),IF(ISNA(VLOOKUP(BC41,AW6:BA105,5,FALSE)),IF(ISNA(VLOOKUP(BC41,BC6:BG40,5,FALSE)),"",ROUND(VLOOKUP(BC41,BC6:BG40,5,FALSE),0)/1000+ROUND(BD41,3)),ROUND(VLOOKUP(BC41,AW6:BA105,5,FALSE),0)/1000+ROUND(BD41,3)),ROUND(VLOOKUP(BC41,AQ6:AU105,5,FALSE),0)/1000+ROUND(BD41,3)),ROUND(VLOOKUP(BC41,AK6:AO105,5,FALSE),0)/1000+ROUND(BD41,3)),ROUND(VLOOKUP(BC41,AE6:AI105,5,FALSE),0)/1000+ROUND(BD41,3)),ROUND(VLOOKUP(BC41,Y6:AC105,5,FALSE),0)/1000+ROUND(BD41,3)),ROUND(VLOOKUP(BC41,S6:W105,5,FALSE),0)/1000+ROUND(BD41,3)),ROUND(VLOOKUP(BC41,M6:Q105,5,FALSE),0)/1000+ROUND(BD41,3)),ROUND(VLOOKUP(BC41,G6:K105,5,FALSE),0)/1000+ROUND(BD41,3)),ROUND(VLOOKUP(BC41,A6:E105,5,FALSE),0)/1000+ROUND(BD41,3)))))</f>
        <v/>
      </c>
      <c r="BG41" s="87" t="str">
        <f>IF(OR(NOT(EXACT(UPPER(BC41),"TBM")),BD41=""),IF(AND(BD41&lt;&gt;"",BE41="",BF41&lt;&gt;""),"",IF(AND(BD41="",BE41&lt;&gt;"",BF41&lt;&gt;""),ROUND(ROUND(BF41,3)-ROUND(BE41,3),3)*1000,IF(AND(BD41&lt;&gt;"",BE41&lt;&gt;"",BF41&lt;&gt;""),ROUND(ROUND(BF40,3)-ROUND(BE41,3),3)*1000,""))),"")</f>
        <v/>
      </c>
      <c r="BH41" s="80" t="str">
        <f>IF(AND(NOT(ISNA(VLOOKUP(BC41,A6:E105,5,FALSE))),BD41="",BE41&lt;&gt;""),ROUND((VLOOKUP(BC41,A6:E105,5,FALSE)-BG41)/1000,3),IF(AND(NOT(ISNA(VLOOKUP(BC41,G6:K105,5,FALSE))),BD41="",BE41&lt;&gt;""),ROUND((VLOOKUP(BC41,G6:K105,5,FALSE)-BG41)/1000,3),IF(AND(NOT(ISNA(VLOOKUP(BC41,M6:Q105,5,FALSE))),BD41="",BE41&lt;&gt;""),ROUND((VLOOKUP(BC41,M6:Q105,5,FALSE)-BG41)/1000,3),IF(AND(NOT(ISNA(VLOOKUP(BC41,S6:W105,5,FALSE))),BD41="",BE41&lt;&gt;""),ROUND((VLOOKUP(BC41,S6:W105,5,FALSE)-BG41)/1000,3),IF(AND(NOT(ISNA(VLOOKUP(BC41,Y6:AC105,5,FALSE))),BD41="",BE41&lt;&gt;""),ROUND((VLOOKUP(BC41,Y6:AC105,5,FALSE)-BG41)/1000,3),IF(AND(NOT(ISNA(VLOOKUP(BC41,AE6:AI105,5,FALSE))),BD41="",BE41&lt;&gt;""),ROUND((VLOOKUP(BC41,AE6:AI105,5,FALSE)-BG41)/1000,3),IF(AND(NOT(ISNA(VLOOKUP(BC41,AK6:AO105,5,FALSE))),BD41="",BE41&lt;&gt;""),ROUND((VLOOKUP(BC41,AK6:AO105,5,FALSE)-BG41)/1000,3),IF(AND(NOT(ISNA(VLOOKUP(BC41,AQ6:AU105,5,FALSE))),BD41="",BE41&lt;&gt;""),ROUND((VLOOKUP(BC41,AQ6:AU105,5,FALSE)-BG41)/1000,3),IF(AND(NOT(ISNA(VLOOKUP(BC41,AW6:BA105,5,FALSE))),BD41="",BE41&lt;&gt;""),ROUND((VLOOKUP(BC41,AW6:BA105,5,FALSE)-BG41)/1000,3),IF(AND(NOT(ISNA(VLOOKUP(BC41,BC6:BG40,5,FALSE))),BD41="",BE41&lt;&gt;""),ROUND((VLOOKUP(BC41,BC6:BG40,5,FALSE)-BG41)/1000,3),""))))))))))</f>
        <v/>
      </c>
    </row>
    <row r="42" spans="1:60" x14ac:dyDescent="0.25">
      <c r="A42" s="19">
        <f t="shared" si="3"/>
        <v>36</v>
      </c>
      <c r="B42" s="41"/>
      <c r="C42" s="39"/>
      <c r="D42" s="15" t="str">
        <f>IF(AND(B42&lt;&gt;"",C42&lt;&gt;""),ROUND(B42,3)+ROUND(D41,3)-ROUND(C42,3),IF(AND(EXACT(UPPER(A42),"TBM"),B42&lt;&gt;""),ROUND(B42,3),IF(B42="",D41,IF(ISNA(VLOOKUP(A42,A6:E41,5,FALSE)),"",ROUND(VLOOKUP(A42,A6:E41,5,FALSE),0)/1000+ROUND(B42,3)))))</f>
        <v/>
      </c>
      <c r="E42" s="21" t="str">
        <f t="shared" si="4"/>
        <v/>
      </c>
      <c r="F42" s="45" t="str">
        <f>IF(AND(NOT(ISNA(VLOOKUP(A42,A6:E41,5,FALSE))),B42="",C42&lt;&gt;""),ROUND((VLOOKUP(A42,A6:E41,5,FALSE)-E42)/1000,3),"")</f>
        <v/>
      </c>
      <c r="G42" s="19">
        <f t="shared" si="1"/>
        <v>136</v>
      </c>
      <c r="H42" s="39"/>
      <c r="I42" s="39"/>
      <c r="J42" s="15" t="str">
        <f>IF(AND(H42&lt;&gt;"",I42&lt;&gt;""),ROUND(H42,3)+ROUND(J41,3)-ROUND(I42,3),IF(AND(EXACT(UPPER(G42),"TBM"),H42&lt;&gt;""),ROUND(H42,3),IF(H42="",J41,IF(ISNA(VLOOKUP(G42,A6:E105,5,FALSE)),IF(ISNA(VLOOKUP(G42,G6:K41,5,FALSE)),"",ROUND(VLOOKUP(G42,G6:K41,5,FALSE),0)/1000+ROUND(H42,3)),ROUND(VLOOKUP(G42,A6:E105,5,FALSE),0)/1000+ROUND(H42,3)))))</f>
        <v/>
      </c>
      <c r="K42" s="18" t="str">
        <f t="shared" si="5"/>
        <v/>
      </c>
      <c r="L42" s="45" t="str">
        <f>IF(AND(NOT(ISNA(VLOOKUP(G42,A6:E105,5,FALSE))),H42="",I42&lt;&gt;""),ROUND((VLOOKUP(G42,A6:E105,5,FALSE)-K42)/1000,3),IF(AND(NOT(ISNA(VLOOKUP(G42,G6:K41,5,FALSE))),H42="",I42&lt;&gt;""),ROUND((VLOOKUP(G42,G6:K41,5,FALSE)-K42)/1000,3),""))</f>
        <v/>
      </c>
      <c r="M42" s="19">
        <f>IF(M41="","",M41+1)</f>
        <v>236</v>
      </c>
      <c r="N42" s="39"/>
      <c r="O42" s="39"/>
      <c r="P42" s="15" t="str">
        <f>IF(AND(N42&lt;&gt;"",O42&lt;&gt;""),ROUND(N42,3)+ROUND(P41,3)-ROUND(O42,3),IF(AND(EXACT(UPPER(M42),"TBM"),N42&lt;&gt;""),ROUND(N42,3),IF(N42="",P41,IF(ISNA(VLOOKUP(M42,A6:E105,5,FALSE)),IF(ISNA(VLOOKUP(M42,G6:K105,5,FALSE)),IF(ISNA(VLOOKUP(M42,M6:Q41,5,FALSE)),"",ROUND(VLOOKUP(M42,M6:Q41,5,FALSE),0)/1000+ROUND(N42,3)),ROUND(VLOOKUP(M42,G6:K105,5,FALSE),0)/1000+ROUND(N42,3)),ROUND(VLOOKUP(M42,A6:E105,5,FALSE),0)/1000+ROUND(N42,3)))))</f>
        <v/>
      </c>
      <c r="Q42" s="18" t="str">
        <f>IF(OR(NOT(EXACT(UPPER(M42),"TBM")),N42=""),IF(AND(N42&lt;&gt;"",O42="",P42&lt;&gt;""),"",IF(AND(N42="",O42&lt;&gt;"",P42&lt;&gt;""),ROUND(ROUND(P42,3)-ROUND(O42,3),3)*1000,IF(AND(N42&lt;&gt;"",O42&lt;&gt;"",P42&lt;&gt;""),ROUND(ROUND(P41,3)-ROUND(O42,3),3)*1000,""))),"")</f>
        <v/>
      </c>
      <c r="R42" s="45" t="str">
        <f>IF(AND(NOT(ISNA(VLOOKUP(M42,A6:E105,5,FALSE))),N42="",O42&lt;&gt;""),ROUND((VLOOKUP(M42,A6:E105,5,FALSE)-Q42)/1000,3),IF(AND(NOT(ISNA(VLOOKUP(M42,G6:K105,5,FALSE))),N42="",O42&lt;&gt;""),ROUND((VLOOKUP(M42,G6:K105,5,FALSE)-Q42)/1000,3),IF(AND(NOT(ISNA(VLOOKUP(M42,M6:Q41,5,FALSE))),N42="",O42&lt;&gt;""),ROUND((VLOOKUP(M42,M6:Q41,5,FALSE)-Q42)/1000,3),"")))</f>
        <v/>
      </c>
      <c r="S42" s="19">
        <f>IF(S41="","",S41+1)</f>
        <v>336</v>
      </c>
      <c r="T42" s="39"/>
      <c r="U42" s="39"/>
      <c r="V42" s="15" t="str">
        <f>IF(AND(T42&lt;&gt;"",U42&lt;&gt;""),ROUND(T42,3)+ROUND(V41,3)-ROUND(U42,3),IF(AND(EXACT(UPPER(S42),"TBM"),T42&lt;&gt;""),ROUND(T42,3),IF(T42="",V41,IF(ISNA(VLOOKUP(S42,A6:E105,5,FALSE)),IF(ISNA(VLOOKUP(S42,G6:K105,5,FALSE)),IF(ISNA(VLOOKUP(S42,M6:Q105,5,FALSE)),IF(ISNA(VLOOKUP(S42,S6:W41,5,FALSE)),"",ROUND(VLOOKUP(S42,S6:W41,5,FALSE),0)/1000+ROUND(T42,3)),ROUND(VLOOKUP(S42,M6:Q105,5,FALSE),0)/1000+ROUND(T42,3)),ROUND(VLOOKUP(S42,G6:K105,5,FALSE),0)/1000+ROUND(T42,3)),ROUND(VLOOKUP(S42,A6:E105,5,FALSE),0)/1000+ROUND(T42,3)))))</f>
        <v/>
      </c>
      <c r="W42" s="18" t="str">
        <f>IF(OR(NOT(EXACT(UPPER(S42),"TBM")),T42=""),IF(AND(T42&lt;&gt;"",U42="",V42&lt;&gt;""),"",IF(AND(T42="",U42&lt;&gt;"",V42&lt;&gt;""),ROUND(ROUND(V42,3)-ROUND(U42,3),3)*1000,IF(AND(T42&lt;&gt;"",U42&lt;&gt;"",V42&lt;&gt;""),ROUND(ROUND(V41,3)-ROUND(U42,3),3)*1000,""))),"")</f>
        <v/>
      </c>
      <c r="X42" s="45" t="str">
        <f>IF(AND(NOT(ISNA(VLOOKUP(S42,A6:E105,5,FALSE))),T42="",U42&lt;&gt;""),ROUND((VLOOKUP(S42,A6:E105,5,FALSE)-W42)/1000,3),IF(AND(NOT(ISNA(VLOOKUP(S42,G6:K105,5,FALSE))),T42="",U42&lt;&gt;""),ROUND((VLOOKUP(S42,G6:K105,5,FALSE)-W42)/1000,3),IF(AND(NOT(ISNA(VLOOKUP(S42,M6:Q105,5,FALSE))),T42="",U42&lt;&gt;""),ROUND((VLOOKUP(S42,M6:Q105,5,FALSE)-W42)/1000,3),IF(AND(NOT(ISNA(VLOOKUP(S42,S6:W41,5,FALSE))),T42="",U42&lt;&gt;""),ROUND((VLOOKUP(S42,S6:W41,5,FALSE)-W42)/1000,3),""))))</f>
        <v/>
      </c>
      <c r="Y42" s="19">
        <f>IF(Y41="","",Y41+1)</f>
        <v>436</v>
      </c>
      <c r="Z42" s="39"/>
      <c r="AA42" s="39"/>
      <c r="AB42" s="15" t="str">
        <f>IF(AND(Z42&lt;&gt;"",AA42&lt;&gt;""),ROUND(Z42,3)+ROUND(AB41,3)-ROUND(AA42,3),IF(AND(EXACT(UPPER(Y42),"TBM"),Z42&lt;&gt;""),ROUND(Z42,3),IF(Z42="",AB41,IF(ISNA(VLOOKUP(Y42,A6:E105,5,FALSE)),IF(ISNA(VLOOKUP(Y42,G6:K105,5,FALSE)),IF(ISNA(VLOOKUP(Y42,M6:Q105,5,FALSE)),IF(ISNA(VLOOKUP(Y42,S6:W105,5,FALSE)),IF(ISNA(VLOOKUP(Y42,Y6:AC41,5,FALSE)),"",ROUND(VLOOKUP(Y42,Y6:AC41,5,FALSE),0)/1000+ROUND(Z42,3)),ROUND(VLOOKUP(Y42,S6:W105,5,FALSE),0)/1000+ROUND(Z42,3)),ROUND(VLOOKUP(Y42,M6:Q105,5,FALSE),0)/1000+ROUND(Z42,3)),ROUND(VLOOKUP(Y42,G6:K105,5,FALSE),0)/1000+ROUND(Z42,3)),ROUND(VLOOKUP(Y42,A6:E105,5,FALSE),0)/1000+ROUND(Z42,3)))))</f>
        <v/>
      </c>
      <c r="AC42" s="18" t="str">
        <f>IF(OR(NOT(EXACT(UPPER(Y42),"TBM")),Z42=""),IF(AND(Z42&lt;&gt;"",AA42="",AB42&lt;&gt;""),"",IF(AND(Z42="",AA42&lt;&gt;"",AB42&lt;&gt;""),ROUND(ROUND(AB42,3)-ROUND(AA42,3),3)*1000,IF(AND(Z42&lt;&gt;"",AA42&lt;&gt;"",AB42&lt;&gt;""),ROUND(ROUND(AB41,3)-ROUND(AA42,3),3)*1000,""))),"")</f>
        <v/>
      </c>
      <c r="AD42" s="45" t="str">
        <f>IF(AND(NOT(ISNA(VLOOKUP(Y42,A6:E105,5,FALSE))),Z42="",AA42&lt;&gt;""),ROUND((VLOOKUP(Y42,A6:E105,5,FALSE)-AC42)/1000,3),IF(AND(NOT(ISNA(VLOOKUP(Y42,G6:K105,5,FALSE))),Z42="",AA42&lt;&gt;""),ROUND((VLOOKUP(Y42,G6:K105,5,FALSE)-AC42)/1000,3),IF(AND(NOT(ISNA(VLOOKUP(Y42,M6:Q105,5,FALSE))),Z42="",AA42&lt;&gt;""),ROUND((VLOOKUP(Y42,M6:Q105,5,FALSE)-AC42)/1000,3),IF(AND(NOT(ISNA(VLOOKUP(Y42,S6:W105,5,FALSE))),Z42="",AA42&lt;&gt;""),ROUND((VLOOKUP(Y42,S6:W105,5,FALSE)-AC42)/1000,3),IF(AND(NOT(ISNA(VLOOKUP(Y42,Y6:AC41,5,FALSE))),Z42="",AA42&lt;&gt;""),ROUND((VLOOKUP(Y42,Y6:AC41,5,FALSE)-AC42)/1000,3),"")))))</f>
        <v/>
      </c>
      <c r="AE42" s="19">
        <f>IF(AE41="","",AE41+1)</f>
        <v>536</v>
      </c>
      <c r="AF42" s="39"/>
      <c r="AG42" s="39"/>
      <c r="AH42" s="15" t="str">
        <f>IF(AND(AF42&lt;&gt;"",AG42&lt;&gt;""),ROUND(AF42,3)+ROUND(AH41,3)-ROUND(AG42,3),IF(AND(EXACT(UPPER(AE42),"TBM"),AF42&lt;&gt;""),ROUND(AF42,3),IF(AF42="",AH41,IF(ISNA(VLOOKUP(AE42,A6:E105,5,FALSE)),IF(ISNA(VLOOKUP(AE42,G6:K105,5,FALSE)),IF(ISNA(VLOOKUP(AE42,M6:Q105,5,FALSE)),IF(ISNA(VLOOKUP(AE42,S6:W105,5,FALSE)),IF(ISNA(VLOOKUP(AE42,Y6:AC105,5,FALSE)),IF(ISNA(VLOOKUP(AE42,AE6:AI41,5,FALSE)),"",ROUND(VLOOKUP(AE42,AE6:AI41,5,FALSE),0)/1000+ROUND(AF42,3)),ROUND(VLOOKUP(AE42,Y6:AC105,5,FALSE),0)/1000+ROUND(AF42,3)),ROUND(VLOOKUP(AE42,S6:W105,5,FALSE),0)/1000+ROUND(AF42,3)),ROUND(VLOOKUP(AE42,M6:Q105,5,FALSE),0)/1000+ROUND(AF42,3)),ROUND(VLOOKUP(AE42,G6:K105,5,FALSE),0)/1000+ROUND(AF42,3)),ROUND(VLOOKUP(AE42,A6:E105,5,FALSE),0)/1000+ROUND(AF42,3)))))</f>
        <v/>
      </c>
      <c r="AI42" s="18" t="str">
        <f>IF(OR(NOT(EXACT(UPPER(AE42),"TBM")),AF42=""),IF(AND(AF42&lt;&gt;"",AG42="",AH42&lt;&gt;""),"",IF(AND(AF42="",AG42&lt;&gt;"",AH42&lt;&gt;""),ROUND(ROUND(AH42,3)-ROUND(AG42,3),3)*1000,IF(AND(AF42&lt;&gt;"",AG42&lt;&gt;"",AH42&lt;&gt;""),ROUND(ROUND(AH41,3)-ROUND(AG42,3),3)*1000,""))),"")</f>
        <v/>
      </c>
      <c r="AJ42" s="45" t="str">
        <f>IF(AND(NOT(ISNA(VLOOKUP(AE42,A6:E105,5,FALSE))),AF42="",AG42&lt;&gt;""),ROUND((VLOOKUP(AE42,A6:E105,5,FALSE)-AI42)/1000,3),IF(AND(NOT(ISNA(VLOOKUP(AE42,G6:K105,5,FALSE))),AF42="",AG42&lt;&gt;""),ROUND((VLOOKUP(AE42,G6:K105,5,FALSE)-AI42)/1000,3),IF(AND(NOT(ISNA(VLOOKUP(AE42,M6:Q105,5,FALSE))),AF42="",AG42&lt;&gt;""),ROUND((VLOOKUP(AE42,M6:Q105,5,FALSE)-AI42)/1000,3),IF(AND(NOT(ISNA(VLOOKUP(AE42,S6:W105,5,FALSE))),AF42="",AG42&lt;&gt;""),ROUND((VLOOKUP(AE42,S6:W105,5,FALSE)-AI42)/1000,3),IF(AND(NOT(ISNA(VLOOKUP(AE42,Y6:AC105,5,FALSE))),AF42="",AG42&lt;&gt;""),ROUND((VLOOKUP(AE42,Y6:AC105,5,FALSE)-AI42)/1000,3),IF(AND(NOT(ISNA(VLOOKUP(AE42,AE6:AI41,5,FALSE))),AF42="",AG42&lt;&gt;""),ROUND((VLOOKUP(AE42,AE6:AI41,5,FALSE)-AI42)/1000,3),""))))))</f>
        <v/>
      </c>
      <c r="AK42" s="19">
        <f>IF(AK41="","",AK41+1)</f>
        <v>636</v>
      </c>
      <c r="AL42" s="39"/>
      <c r="AM42" s="39"/>
      <c r="AN42" s="15" t="str">
        <f>IF(AND(AL42&lt;&gt;"",AM42&lt;&gt;""),ROUND(AL42,3)+ROUND(AN41,3)-ROUND(AM42,3),IF(AND(EXACT(UPPER(AK42),"TBM"),AL42&lt;&gt;""),ROUND(AL42,3),IF(AL42="",AN41,IF(ISNA(VLOOKUP(AK42,A6:E105,5,FALSE)),IF(ISNA(VLOOKUP(AK42,G6:K105,5,FALSE)),IF(ISNA(VLOOKUP(AK42,M6:Q105,5,FALSE)),IF(ISNA(VLOOKUP(AK42,S6:W105,5,FALSE)),IF(ISNA(VLOOKUP(AK42,Y6:AC105,5,FALSE)),IF(ISNA(VLOOKUP(AK42,AE6:AI105,5,FALSE)),IF(ISNA(VLOOKUP(AK42,AK6:AO41,5,FALSE)),"",ROUND(VLOOKUP(AK42,AK6:AO41,5,FALSE),0)/1000+ROUND(AL42,3)),ROUND(VLOOKUP(AK42,AE6:AI105,5,FALSE),0)/1000+ROUND(AL42,3)),ROUND(VLOOKUP(AK42,Y6:AC105,5,FALSE),0)/1000+ROUND(AL42,3)),ROUND(VLOOKUP(AK42,S6:W105,5,FALSE),0)/1000+ROUND(AL42,3)),ROUND(VLOOKUP(AK42,M6:Q105,5,FALSE),0)/1000+ROUND(AL42,3)),ROUND(VLOOKUP(AK42,G6:K105,5,FALSE),0)/1000+ROUND(AL42,3)),ROUND(VLOOKUP(AK42,A6:E105,5,FALSE),0)/1000+ROUND(AL42,3)))))</f>
        <v/>
      </c>
      <c r="AO42" s="18" t="str">
        <f>IF(OR(NOT(EXACT(UPPER(AK42),"TBM")),AL42=""),IF(AND(AL42&lt;&gt;"",AM42="",AN42&lt;&gt;""),"",IF(AND(AL42="",AM42&lt;&gt;"",AN42&lt;&gt;""),ROUND(ROUND(AN42,3)-ROUND(AM42,3),3)*1000,IF(AND(AL42&lt;&gt;"",AM42&lt;&gt;"",AN42&lt;&gt;""),ROUND(ROUND(AN41,3)-ROUND(AM42,3),3)*1000,""))),"")</f>
        <v/>
      </c>
      <c r="AP42" s="45" t="str">
        <f>IF(AND(NOT(ISNA(VLOOKUP(AK42,A6:E105,5,FALSE))),AL42="",AM42&lt;&gt;""),ROUND((VLOOKUP(AK42,A6:E105,5,FALSE)-AO42)/1000,3),IF(AND(NOT(ISNA(VLOOKUP(AK42,G6:K105,5,FALSE))),AL42="",AM42&lt;&gt;""),ROUND((VLOOKUP(AK42,G6:K105,5,FALSE)-AO42)/1000,3),IF(AND(NOT(ISNA(VLOOKUP(AK42,M6:Q105,5,FALSE))),AL42="",AM42&lt;&gt;""),ROUND((VLOOKUP(AK42,M6:Q105,5,FALSE)-AO42)/1000,3),IF(AND(NOT(ISNA(VLOOKUP(AK42,S6:W105,5,FALSE))),AL42="",AM42&lt;&gt;""),ROUND((VLOOKUP(AK42,S6:W105,5,FALSE)-AO42)/1000,3),IF(AND(NOT(ISNA(VLOOKUP(AK42,Y6:AC105,5,FALSE))),AL42="",AM42&lt;&gt;""),ROUND((VLOOKUP(AK42,Y6:AC105,5,FALSE)-AO42)/1000,3),IF(AND(NOT(ISNA(VLOOKUP(AK42,AE6:AI105,5,FALSE))),AL42="",AM42&lt;&gt;""),ROUND((VLOOKUP(AK42,AE6:AI105,5,FALSE)-AO42)/1000,3),IF(AND(NOT(ISNA(VLOOKUP(AK42,AK6:AO41,5,FALSE))),AL42="",AM42&lt;&gt;""),ROUND((VLOOKUP(AK42,AK6:AO41,5,FALSE)-AO42)/1000,3),"")))))))</f>
        <v/>
      </c>
      <c r="AQ42" s="19">
        <f>IF(AQ41="","",AQ41+1)</f>
        <v>736</v>
      </c>
      <c r="AR42" s="39"/>
      <c r="AS42" s="39"/>
      <c r="AT42" s="15" t="str">
        <f>IF(AND(AR42&lt;&gt;"",AS42&lt;&gt;""),ROUND(AR42,3)+ROUND(AT41,3)-ROUND(AS42,3),IF(AND(EXACT(UPPER(AQ42),"TBM"),AR42&lt;&gt;""),ROUND(AR42,3),IF(AR42="",AT41,IF(ISNA(VLOOKUP(AQ42,A6:E105,5,FALSE)),IF(ISNA(VLOOKUP(AQ42,G6:K105,5,FALSE)),IF(ISNA(VLOOKUP(AQ42,M6:Q105,5,FALSE)),IF(ISNA(VLOOKUP(AQ42,S6:W105,5,FALSE)),IF(ISNA(VLOOKUP(AQ42,Y6:AC105,5,FALSE)),IF(ISNA(VLOOKUP(AQ42,AE6:AI105,5,FALSE)),IF(ISNA(VLOOKUP(AQ42,AK6:AO105,5,FALSE)),IF(ISNA(VLOOKUP(AQ42,AQ6:AU41,5,FALSE)),"",ROUND(VLOOKUP(AQ42,AQ6:AU41,5,FALSE),0)/1000+ROUND(AR42,3)),ROUND(VLOOKUP(AQ42,AK6:AO105,5,FALSE),0)/1000+ROUND(AR42,3)),ROUND(VLOOKUP(AQ42,AE6:AI105,5,FALSE),0)/1000+ROUND(AR42,3)),ROUND(VLOOKUP(AQ42,Y6:AC105,5,FALSE),0)/1000+ROUND(AR42,3)),ROUND(VLOOKUP(AQ42,S6:W105,5,FALSE),0)/1000+ROUND(AR42,3)),ROUND(VLOOKUP(AQ42,M6:Q105,5,FALSE),0)/1000+ROUND(AR42,3)),ROUND(VLOOKUP(AQ42,G6:K105,5,FALSE),0)/1000+ROUND(AR42,3)),ROUND(VLOOKUP(AQ42,A6:E105,5,FALSE),0)/1000+ROUND(AR42,3)))))</f>
        <v/>
      </c>
      <c r="AU42" s="18" t="str">
        <f>IF(OR(NOT(EXACT(UPPER(AQ42),"TBM")),AR42=""),IF(AND(AR42&lt;&gt;"",AS42="",AT42&lt;&gt;""),"",IF(AND(AR42="",AS42&lt;&gt;"",AT42&lt;&gt;""),ROUND(ROUND(AT42,3)-ROUND(AS42,3),3)*1000,IF(AND(AR42&lt;&gt;"",AS42&lt;&gt;"",AT42&lt;&gt;""),ROUND(ROUND(AT41,3)-ROUND(AS42,3),3)*1000,""))),"")</f>
        <v/>
      </c>
      <c r="AV42" s="45" t="str">
        <f>IF(AND(NOT(ISNA(VLOOKUP(AQ42,A6:E105,5,FALSE))),AR42="",AS42&lt;&gt;""),ROUND((VLOOKUP(AQ42,A6:E105,5,FALSE)-AU42)/1000,3),IF(AND(NOT(ISNA(VLOOKUP(AQ42,G6:K105,5,FALSE))),AR42="",AS42&lt;&gt;""),ROUND((VLOOKUP(AQ42,G6:K105,5,FALSE)-AU42)/1000,3),IF(AND(NOT(ISNA(VLOOKUP(AQ42,M6:Q105,5,FALSE))),AR42="",AS42&lt;&gt;""),ROUND((VLOOKUP(AQ42,M6:Q105,5,FALSE)-AU42)/1000,3),IF(AND(NOT(ISNA(VLOOKUP(AQ42,S6:W105,5,FALSE))),AR42="",AS42&lt;&gt;""),ROUND((VLOOKUP(AQ42,S6:W105,5,FALSE)-AU42)/1000,3),IF(AND(NOT(ISNA(VLOOKUP(AQ42,Y6:AC105,5,FALSE))),AR42="",AS42&lt;&gt;""),ROUND((VLOOKUP(AQ42,Y6:AC105,5,FALSE)-AU42)/1000,3),IF(AND(NOT(ISNA(VLOOKUP(AQ42,AE6:AI105,5,FALSE))),AR42="",AS42&lt;&gt;""),ROUND((VLOOKUP(AQ42,AE6:AI105,5,FALSE)-AU42)/1000,3),IF(AND(NOT(ISNA(VLOOKUP(AQ42,AK6:AO105,5,FALSE))),AR42="",AS42&lt;&gt;""),ROUND((VLOOKUP(AQ42,AK6:AO105,5,FALSE)-AU42)/1000,3),IF(AND(NOT(ISNA(VLOOKUP(AQ42,AQ6:AU41,5,FALSE))),AR42="",AS42&lt;&gt;""),ROUND((VLOOKUP(AQ42,AQ6:AU41,5,FALSE)-AU42)/1000,3),""))))))))</f>
        <v/>
      </c>
      <c r="AW42" s="19">
        <f>IF(AW41="","",AW41+1)</f>
        <v>836</v>
      </c>
      <c r="AX42" s="39"/>
      <c r="AY42" s="39"/>
      <c r="AZ42" s="15" t="str">
        <f>IF(AND(AX42&lt;&gt;"",AY42&lt;&gt;""),ROUND(AX42,3)+ROUND(AZ41,3)-ROUND(AY42,3),IF(AND(EXACT(UPPER(AW42),"TBM"),AX42&lt;&gt;""),ROUND(AX42,3),IF(AX42="",AZ41,IF(ISNA(VLOOKUP(AW42,A6:E105,5,FALSE)),IF(ISNA(VLOOKUP(AW42,G6:K105,5,FALSE)),IF(ISNA(VLOOKUP(AW42,M6:Q105,5,FALSE)),IF(ISNA(VLOOKUP(AW42,S6:W105,5,FALSE)),IF(ISNA(VLOOKUP(AW42,Y6:AC105,5,FALSE)),IF(ISNA(VLOOKUP(AW42,AE6:AI105,5,FALSE)),IF(ISNA(VLOOKUP(AW42,AK6:AO105,5,FALSE)),IF(ISNA(VLOOKUP(AW42,AQ6:AU105,5,FALSE)),IF(ISNA(VLOOKUP(AW42,AW6:BA41,5,FALSE)),"",ROUND(VLOOKUP(AW42,AW6:BA41,5,FALSE),0)/1000+ROUND(AX42,3)),ROUND(VLOOKUP(AW42,AQ6:AU105,5,FALSE),0)/1000+ROUND(AX42,3)),ROUND(VLOOKUP(AW42,AK6:AO105,5,FALSE),0)/1000+ROUND(AX42,3)),ROUND(VLOOKUP(AW42,AE6:AI105,5,FALSE),0)/1000+ROUND(AX42,3)),ROUND(VLOOKUP(AW42,Y6:AC105,5,FALSE),0)/1000+ROUND(AX42,3)),ROUND(VLOOKUP(AW42,S6:W105,5,FALSE),0)/1000+ROUND(AX42,3)),ROUND(VLOOKUP(AW42,M6:Q105,5,FALSE),0)/1000+ROUND(AX42,3)),ROUND(VLOOKUP(AW42,G6:K105,5,FALSE),0)/1000+ROUND(AX42,3)),ROUND(VLOOKUP(AW42,A6:E105,5,FALSE),0)/1000+ROUND(AX42,3)))))</f>
        <v/>
      </c>
      <c r="BA42" s="18" t="str">
        <f>IF(OR(NOT(EXACT(UPPER(AW42),"TBM")),AX42=""),IF(AND(AX42&lt;&gt;"",AY42="",AZ42&lt;&gt;""),"",IF(AND(AX42="",AY42&lt;&gt;"",AZ42&lt;&gt;""),ROUND(ROUND(AZ42,3)-ROUND(AY42,3),3)*1000,IF(AND(AX42&lt;&gt;"",AY42&lt;&gt;"",AZ42&lt;&gt;""),ROUND(ROUND(AZ41,3)-ROUND(AY42,3),3)*1000,""))),"")</f>
        <v/>
      </c>
      <c r="BB42" s="45" t="str">
        <f>IF(AND(NOT(ISNA(VLOOKUP(AW42,A6:E105,5,FALSE))),AX42="",AY42&lt;&gt;""),ROUND((VLOOKUP(AW42,A6:E105,5,FALSE)-BA42)/1000,3),IF(AND(NOT(ISNA(VLOOKUP(AW42,G6:K105,5,FALSE))),AX42="",AY42&lt;&gt;""),ROUND((VLOOKUP(AW42,G6:K105,5,FALSE)-BA42)/1000,3),IF(AND(NOT(ISNA(VLOOKUP(AW42,M6:Q105,5,FALSE))),AX42="",AY42&lt;&gt;""),ROUND((VLOOKUP(AW42,M6:Q105,5,FALSE)-BA42)/1000,3),IF(AND(NOT(ISNA(VLOOKUP(AW42,S6:W105,5,FALSE))),AX42="",AY42&lt;&gt;""),ROUND((VLOOKUP(AW42,S6:W105,5,FALSE)-BA42)/1000,3),IF(AND(NOT(ISNA(VLOOKUP(AW42,Y6:AC105,5,FALSE))),AX42="",AY42&lt;&gt;""),ROUND((VLOOKUP(AW42,Y6:AC105,5,FALSE)-BA42)/1000,3),IF(AND(NOT(ISNA(VLOOKUP(AW42,AE6:AI105,5,FALSE))),AX42="",AY42&lt;&gt;""),ROUND((VLOOKUP(AW42,AE6:AI105,5,FALSE)-BA42)/1000,3),IF(AND(NOT(ISNA(VLOOKUP(AW42,AK6:AO105,5,FALSE))),AX42="",AY42&lt;&gt;""),ROUND((VLOOKUP(AW42,AK6:AO105,5,FALSE)-BA42)/1000,3),IF(AND(NOT(ISNA(VLOOKUP(AW42,AQ6:AU105,5,FALSE))),AX42="",AY42&lt;&gt;""),ROUND((VLOOKUP(AW42,AQ6:AU105,5,FALSE)-BA42)/1000,3),IF(AND(NOT(ISNA(VLOOKUP(AW42,AW6:BA41,5,FALSE))),AX42="",AY42&lt;&gt;""),ROUND((VLOOKUP(AW42,AW6:BA41,5,FALSE)-BA42)/1000,3),"")))))))))</f>
        <v/>
      </c>
      <c r="BC42" s="19">
        <f>IF(BC41="","",BC41+1)</f>
        <v>936</v>
      </c>
      <c r="BD42" s="39"/>
      <c r="BE42" s="39"/>
      <c r="BF42" s="15" t="str">
        <f>IF(AND(BD42&lt;&gt;"",BE42&lt;&gt;""),ROUND(BD42,3)+ROUND(BF41,3)-ROUND(BE42,3),IF(AND(EXACT(UPPER(BC42),"TBM"),BD42&lt;&gt;""),ROUND(BD42,3),IF(BD42="",BF41,IF(ISNA(VLOOKUP(BC42,A6:E105,5,FALSE)),IF(ISNA(VLOOKUP(BC42,G6:K105,5,FALSE)),IF(ISNA(VLOOKUP(BC42,M6:Q105,5,FALSE)),IF(ISNA(VLOOKUP(BC42,S6:W105,5,FALSE)),IF(ISNA(VLOOKUP(BC42,Y6:AC105,5,FALSE)),IF(ISNA(VLOOKUP(BC42,AE6:AI105,5,FALSE)),IF(ISNA(VLOOKUP(BC42,AK6:AO105,5,FALSE)),IF(ISNA(VLOOKUP(BC42,AQ6:AU105,5,FALSE)),IF(ISNA(VLOOKUP(BC42,AW6:BA105,5,FALSE)),IF(ISNA(VLOOKUP(BC42,BC6:BG41,5,FALSE)),"",ROUND(VLOOKUP(BC42,BC6:BG41,5,FALSE),0)/1000+ROUND(BD42,3)),ROUND(VLOOKUP(BC42,AW6:BA105,5,FALSE),0)/1000+ROUND(BD42,3)),ROUND(VLOOKUP(BC42,AQ6:AU105,5,FALSE),0)/1000+ROUND(BD42,3)),ROUND(VLOOKUP(BC42,AK6:AO105,5,FALSE),0)/1000+ROUND(BD42,3)),ROUND(VLOOKUP(BC42,AE6:AI105,5,FALSE),0)/1000+ROUND(BD42,3)),ROUND(VLOOKUP(BC42,Y6:AC105,5,FALSE),0)/1000+ROUND(BD42,3)),ROUND(VLOOKUP(BC42,S6:W105,5,FALSE),0)/1000+ROUND(BD42,3)),ROUND(VLOOKUP(BC42,M6:Q105,5,FALSE),0)/1000+ROUND(BD42,3)),ROUND(VLOOKUP(BC42,G6:K105,5,FALSE),0)/1000+ROUND(BD42,3)),ROUND(VLOOKUP(BC42,A6:E105,5,FALSE),0)/1000+ROUND(BD42,3)))))</f>
        <v/>
      </c>
      <c r="BG42" s="18" t="str">
        <f>IF(OR(NOT(EXACT(UPPER(BC42),"TBM")),BD42=""),IF(AND(BD42&lt;&gt;"",BE42="",BF42&lt;&gt;""),"",IF(AND(BD42="",BE42&lt;&gt;"",BF42&lt;&gt;""),ROUND(ROUND(BF42,3)-ROUND(BE42,3),3)*1000,IF(AND(BD42&lt;&gt;"",BE42&lt;&gt;"",BF42&lt;&gt;""),ROUND(ROUND(BF41,3)-ROUND(BE42,3),3)*1000,""))),"")</f>
        <v/>
      </c>
      <c r="BH42" s="45" t="str">
        <f>IF(AND(NOT(ISNA(VLOOKUP(BC42,A6:E105,5,FALSE))),BD42="",BE42&lt;&gt;""),ROUND((VLOOKUP(BC42,A6:E105,5,FALSE)-BG42)/1000,3),IF(AND(NOT(ISNA(VLOOKUP(BC42,G6:K105,5,FALSE))),BD42="",BE42&lt;&gt;""),ROUND((VLOOKUP(BC42,G6:K105,5,FALSE)-BG42)/1000,3),IF(AND(NOT(ISNA(VLOOKUP(BC42,M6:Q105,5,FALSE))),BD42="",BE42&lt;&gt;""),ROUND((VLOOKUP(BC42,M6:Q105,5,FALSE)-BG42)/1000,3),IF(AND(NOT(ISNA(VLOOKUP(BC42,S6:W105,5,FALSE))),BD42="",BE42&lt;&gt;""),ROUND((VLOOKUP(BC42,S6:W105,5,FALSE)-BG42)/1000,3),IF(AND(NOT(ISNA(VLOOKUP(BC42,Y6:AC105,5,FALSE))),BD42="",BE42&lt;&gt;""),ROUND((VLOOKUP(BC42,Y6:AC105,5,FALSE)-BG42)/1000,3),IF(AND(NOT(ISNA(VLOOKUP(BC42,AE6:AI105,5,FALSE))),BD42="",BE42&lt;&gt;""),ROUND((VLOOKUP(BC42,AE6:AI105,5,FALSE)-BG42)/1000,3),IF(AND(NOT(ISNA(VLOOKUP(BC42,AK6:AO105,5,FALSE))),BD42="",BE42&lt;&gt;""),ROUND((VLOOKUP(BC42,AK6:AO105,5,FALSE)-BG42)/1000,3),IF(AND(NOT(ISNA(VLOOKUP(BC42,AQ6:AU105,5,FALSE))),BD42="",BE42&lt;&gt;""),ROUND((VLOOKUP(BC42,AQ6:AU105,5,FALSE)-BG42)/1000,3),IF(AND(NOT(ISNA(VLOOKUP(BC42,AW6:BA105,5,FALSE))),BD42="",BE42&lt;&gt;""),ROUND((VLOOKUP(BC42,AW6:BA105,5,FALSE)-BG42)/1000,3),IF(AND(NOT(ISNA(VLOOKUP(BC42,BC6:BG41,5,FALSE))),BD42="",BE42&lt;&gt;""),ROUND((VLOOKUP(BC42,BC6:BG41,5,FALSE)-BG42)/1000,3),""))))))))))</f>
        <v/>
      </c>
    </row>
    <row r="43" spans="1:60" x14ac:dyDescent="0.25">
      <c r="A43" s="19">
        <f t="shared" si="3"/>
        <v>37</v>
      </c>
      <c r="B43" s="42"/>
      <c r="C43" s="43"/>
      <c r="D43" s="15" t="str">
        <f>IF(AND(B43&lt;&gt;"",C43&lt;&gt;""),ROUND(B43,3)+ROUND(D42,3)-ROUND(C43,3),IF(AND(EXACT(UPPER(A43),"TBM"),B43&lt;&gt;""),ROUND(B43,3),IF(B43="",D42,IF(ISNA(VLOOKUP(A43,A6:E42,5,FALSE)),"",ROUND(VLOOKUP(A43,A6:E42,5,FALSE),0)/1000+ROUND(B43,3)))))</f>
        <v/>
      </c>
      <c r="E43" s="22" t="str">
        <f t="shared" si="4"/>
        <v/>
      </c>
      <c r="F43" s="44" t="str">
        <f>IF(AND(NOT(ISNA(VLOOKUP(A43,A6:E42,5,FALSE))),B43="",C43&lt;&gt;""),ROUND((VLOOKUP(A43,A6:E42,5,FALSE)-E43)/1000,3),"")</f>
        <v/>
      </c>
      <c r="G43" s="19">
        <f t="shared" si="1"/>
        <v>137</v>
      </c>
      <c r="H43" s="43"/>
      <c r="I43" s="43"/>
      <c r="J43" s="15" t="str">
        <f>IF(AND(H43&lt;&gt;"",I43&lt;&gt;""),ROUND(H43,3)+ROUND(J42,3)-ROUND(I43,3),IF(AND(EXACT(UPPER(G43),"TBM"),H43&lt;&gt;""),ROUND(H43,3),IF(H43="",J42,IF(ISNA(VLOOKUP(G43,A6:E105,5,FALSE)),IF(ISNA(VLOOKUP(G43,G6:K42,5,FALSE)),"",ROUND(VLOOKUP(G43,G6:K42,5,FALSE),0)/1000+ROUND(H43,3)),ROUND(VLOOKUP(G43,A6:E105,5,FALSE),0)/1000+ROUND(H43,3)))))</f>
        <v/>
      </c>
      <c r="K43" s="18" t="str">
        <f t="shared" si="5"/>
        <v/>
      </c>
      <c r="L43" s="44" t="str">
        <f>IF(AND(NOT(ISNA(VLOOKUP(G43,A6:E105,5,FALSE))),H43="",I43&lt;&gt;""),ROUND((VLOOKUP(G43,A6:E105,5,FALSE)-K43)/1000,3),IF(AND(NOT(ISNA(VLOOKUP(G43,G6:K42,5,FALSE))),H43="",I43&lt;&gt;""),ROUND((VLOOKUP(G43,G6:K42,5,FALSE)-K43)/1000,3),""))</f>
        <v/>
      </c>
      <c r="M43" s="19">
        <f>IF(M42="","",M42+1)</f>
        <v>237</v>
      </c>
      <c r="N43" s="43"/>
      <c r="O43" s="43"/>
      <c r="P43" s="15" t="str">
        <f>IF(AND(N43&lt;&gt;"",O43&lt;&gt;""),ROUND(N43,3)+ROUND(P42,3)-ROUND(O43,3),IF(AND(EXACT(UPPER(M43),"TBM"),N43&lt;&gt;""),ROUND(N43,3),IF(N43="",P42,IF(ISNA(VLOOKUP(M43,A6:E105,5,FALSE)),IF(ISNA(VLOOKUP(M43,G6:K105,5,FALSE)),IF(ISNA(VLOOKUP(M43,M6:Q42,5,FALSE)),"",ROUND(VLOOKUP(M43,M6:Q42,5,FALSE),0)/1000+ROUND(N43,3)),ROUND(VLOOKUP(M43,G6:K105,5,FALSE),0)/1000+ROUND(N43,3)),ROUND(VLOOKUP(M43,A6:E105,5,FALSE),0)/1000+ROUND(N43,3)))))</f>
        <v/>
      </c>
      <c r="Q43" s="18" t="str">
        <f>IF(OR(NOT(EXACT(UPPER(M43),"TBM")),N43=""),IF(AND(N43&lt;&gt;"",O43="",P43&lt;&gt;""),"",IF(AND(N43="",O43&lt;&gt;"",P43&lt;&gt;""),ROUND(ROUND(P43,3)-ROUND(O43,3),3)*1000,IF(AND(N43&lt;&gt;"",O43&lt;&gt;"",P43&lt;&gt;""),ROUND(ROUND(P42,3)-ROUND(O43,3),3)*1000,""))),"")</f>
        <v/>
      </c>
      <c r="R43" s="44" t="str">
        <f>IF(AND(NOT(ISNA(VLOOKUP(M43,A6:E105,5,FALSE))),N43="",O43&lt;&gt;""),ROUND((VLOOKUP(M43,A6:E105,5,FALSE)-Q43)/1000,3),IF(AND(NOT(ISNA(VLOOKUP(M43,G6:K105,5,FALSE))),N43="",O43&lt;&gt;""),ROUND((VLOOKUP(M43,G6:K105,5,FALSE)-Q43)/1000,3),IF(AND(NOT(ISNA(VLOOKUP(M43,M6:Q42,5,FALSE))),N43="",O43&lt;&gt;""),ROUND((VLOOKUP(M43,M6:Q42,5,FALSE)-Q43)/1000,3),"")))</f>
        <v/>
      </c>
      <c r="S43" s="19">
        <f>IF(S42="","",S42+1)</f>
        <v>337</v>
      </c>
      <c r="T43" s="43"/>
      <c r="U43" s="43"/>
      <c r="V43" s="15" t="str">
        <f>IF(AND(T43&lt;&gt;"",U43&lt;&gt;""),ROUND(T43,3)+ROUND(V42,3)-ROUND(U43,3),IF(AND(EXACT(UPPER(S43),"TBM"),T43&lt;&gt;""),ROUND(T43,3),IF(T43="",V42,IF(ISNA(VLOOKUP(S43,A6:E105,5,FALSE)),IF(ISNA(VLOOKUP(S43,G6:K105,5,FALSE)),IF(ISNA(VLOOKUP(S43,M6:Q105,5,FALSE)),IF(ISNA(VLOOKUP(S43,S6:W42,5,FALSE)),"",ROUND(VLOOKUP(S43,S6:W42,5,FALSE),0)/1000+ROUND(T43,3)),ROUND(VLOOKUP(S43,M6:Q105,5,FALSE),0)/1000+ROUND(T43,3)),ROUND(VLOOKUP(S43,G6:K105,5,FALSE),0)/1000+ROUND(T43,3)),ROUND(VLOOKUP(S43,A6:E105,5,FALSE),0)/1000+ROUND(T43,3)))))</f>
        <v/>
      </c>
      <c r="W43" s="18" t="str">
        <f>IF(OR(NOT(EXACT(UPPER(S43),"TBM")),T43=""),IF(AND(T43&lt;&gt;"",U43="",V43&lt;&gt;""),"",IF(AND(T43="",U43&lt;&gt;"",V43&lt;&gt;""),ROUND(ROUND(V43,3)-ROUND(U43,3),3)*1000,IF(AND(T43&lt;&gt;"",U43&lt;&gt;"",V43&lt;&gt;""),ROUND(ROUND(V42,3)-ROUND(U43,3),3)*1000,""))),"")</f>
        <v/>
      </c>
      <c r="X43" s="44" t="str">
        <f>IF(AND(NOT(ISNA(VLOOKUP(S43,A6:E105,5,FALSE))),T43="",U43&lt;&gt;""),ROUND((VLOOKUP(S43,A6:E105,5,FALSE)-W43)/1000,3),IF(AND(NOT(ISNA(VLOOKUP(S43,G6:K105,5,FALSE))),T43="",U43&lt;&gt;""),ROUND((VLOOKUP(S43,G6:K105,5,FALSE)-W43)/1000,3),IF(AND(NOT(ISNA(VLOOKUP(S43,M6:Q105,5,FALSE))),T43="",U43&lt;&gt;""),ROUND((VLOOKUP(S43,M6:Q105,5,FALSE)-W43)/1000,3),IF(AND(NOT(ISNA(VLOOKUP(S43,S6:W42,5,FALSE))),T43="",U43&lt;&gt;""),ROUND((VLOOKUP(S43,S6:W42,5,FALSE)-W43)/1000,3),""))))</f>
        <v/>
      </c>
      <c r="Y43" s="19">
        <f>IF(Y42="","",Y42+1)</f>
        <v>437</v>
      </c>
      <c r="Z43" s="43"/>
      <c r="AA43" s="43"/>
      <c r="AB43" s="15" t="str">
        <f>IF(AND(Z43&lt;&gt;"",AA43&lt;&gt;""),ROUND(Z43,3)+ROUND(AB42,3)-ROUND(AA43,3),IF(AND(EXACT(UPPER(Y43),"TBM"),Z43&lt;&gt;""),ROUND(Z43,3),IF(Z43="",AB42,IF(ISNA(VLOOKUP(Y43,A6:E105,5,FALSE)),IF(ISNA(VLOOKUP(Y43,G6:K105,5,FALSE)),IF(ISNA(VLOOKUP(Y43,M6:Q105,5,FALSE)),IF(ISNA(VLOOKUP(Y43,S6:W105,5,FALSE)),IF(ISNA(VLOOKUP(Y43,Y6:AC42,5,FALSE)),"",ROUND(VLOOKUP(Y43,Y6:AC42,5,FALSE),0)/1000+ROUND(Z43,3)),ROUND(VLOOKUP(Y43,S6:W105,5,FALSE),0)/1000+ROUND(Z43,3)),ROUND(VLOOKUP(Y43,M6:Q105,5,FALSE),0)/1000+ROUND(Z43,3)),ROUND(VLOOKUP(Y43,G6:K105,5,FALSE),0)/1000+ROUND(Z43,3)),ROUND(VLOOKUP(Y43,A6:E105,5,FALSE),0)/1000+ROUND(Z43,3)))))</f>
        <v/>
      </c>
      <c r="AC43" s="18" t="str">
        <f>IF(OR(NOT(EXACT(UPPER(Y43),"TBM")),Z43=""),IF(AND(Z43&lt;&gt;"",AA43="",AB43&lt;&gt;""),"",IF(AND(Z43="",AA43&lt;&gt;"",AB43&lt;&gt;""),ROUND(ROUND(AB43,3)-ROUND(AA43,3),3)*1000,IF(AND(Z43&lt;&gt;"",AA43&lt;&gt;"",AB43&lt;&gt;""),ROUND(ROUND(AB42,3)-ROUND(AA43,3),3)*1000,""))),"")</f>
        <v/>
      </c>
      <c r="AD43" s="44" t="str">
        <f>IF(AND(NOT(ISNA(VLOOKUP(Y43,A6:E105,5,FALSE))),Z43="",AA43&lt;&gt;""),ROUND((VLOOKUP(Y43,A6:E105,5,FALSE)-AC43)/1000,3),IF(AND(NOT(ISNA(VLOOKUP(Y43,G6:K105,5,FALSE))),Z43="",AA43&lt;&gt;""),ROUND((VLOOKUP(Y43,G6:K105,5,FALSE)-AC43)/1000,3),IF(AND(NOT(ISNA(VLOOKUP(Y43,M6:Q105,5,FALSE))),Z43="",AA43&lt;&gt;""),ROUND((VLOOKUP(Y43,M6:Q105,5,FALSE)-AC43)/1000,3),IF(AND(NOT(ISNA(VLOOKUP(Y43,S6:W105,5,FALSE))),Z43="",AA43&lt;&gt;""),ROUND((VLOOKUP(Y43,S6:W105,5,FALSE)-AC43)/1000,3),IF(AND(NOT(ISNA(VLOOKUP(Y43,Y6:AC42,5,FALSE))),Z43="",AA43&lt;&gt;""),ROUND((VLOOKUP(Y43,Y6:AC42,5,FALSE)-AC43)/1000,3),"")))))</f>
        <v/>
      </c>
      <c r="AE43" s="19">
        <f>IF(AE42="","",AE42+1)</f>
        <v>537</v>
      </c>
      <c r="AF43" s="43"/>
      <c r="AG43" s="43"/>
      <c r="AH43" s="15" t="str">
        <f>IF(AND(AF43&lt;&gt;"",AG43&lt;&gt;""),ROUND(AF43,3)+ROUND(AH42,3)-ROUND(AG43,3),IF(AND(EXACT(UPPER(AE43),"TBM"),AF43&lt;&gt;""),ROUND(AF43,3),IF(AF43="",AH42,IF(ISNA(VLOOKUP(AE43,A6:E105,5,FALSE)),IF(ISNA(VLOOKUP(AE43,G6:K105,5,FALSE)),IF(ISNA(VLOOKUP(AE43,M6:Q105,5,FALSE)),IF(ISNA(VLOOKUP(AE43,S6:W105,5,FALSE)),IF(ISNA(VLOOKUP(AE43,Y6:AC105,5,FALSE)),IF(ISNA(VLOOKUP(AE43,AE6:AI42,5,FALSE)),"",ROUND(VLOOKUP(AE43,AE6:AI42,5,FALSE),0)/1000+ROUND(AF43,3)),ROUND(VLOOKUP(AE43,Y6:AC105,5,FALSE),0)/1000+ROUND(AF43,3)),ROUND(VLOOKUP(AE43,S6:W105,5,FALSE),0)/1000+ROUND(AF43,3)),ROUND(VLOOKUP(AE43,M6:Q105,5,FALSE),0)/1000+ROUND(AF43,3)),ROUND(VLOOKUP(AE43,G6:K105,5,FALSE),0)/1000+ROUND(AF43,3)),ROUND(VLOOKUP(AE43,A6:E105,5,FALSE),0)/1000+ROUND(AF43,3)))))</f>
        <v/>
      </c>
      <c r="AI43" s="18" t="str">
        <f>IF(OR(NOT(EXACT(UPPER(AE43),"TBM")),AF43=""),IF(AND(AF43&lt;&gt;"",AG43="",AH43&lt;&gt;""),"",IF(AND(AF43="",AG43&lt;&gt;"",AH43&lt;&gt;""),ROUND(ROUND(AH43,3)-ROUND(AG43,3),3)*1000,IF(AND(AF43&lt;&gt;"",AG43&lt;&gt;"",AH43&lt;&gt;""),ROUND(ROUND(AH42,3)-ROUND(AG43,3),3)*1000,""))),"")</f>
        <v/>
      </c>
      <c r="AJ43" s="44" t="str">
        <f>IF(AND(NOT(ISNA(VLOOKUP(AE43,A6:E105,5,FALSE))),AF43="",AG43&lt;&gt;""),ROUND((VLOOKUP(AE43,A6:E105,5,FALSE)-AI43)/1000,3),IF(AND(NOT(ISNA(VLOOKUP(AE43,G6:K105,5,FALSE))),AF43="",AG43&lt;&gt;""),ROUND((VLOOKUP(AE43,G6:K105,5,FALSE)-AI43)/1000,3),IF(AND(NOT(ISNA(VLOOKUP(AE43,M6:Q105,5,FALSE))),AF43="",AG43&lt;&gt;""),ROUND((VLOOKUP(AE43,M6:Q105,5,FALSE)-AI43)/1000,3),IF(AND(NOT(ISNA(VLOOKUP(AE43,S6:W105,5,FALSE))),AF43="",AG43&lt;&gt;""),ROUND((VLOOKUP(AE43,S6:W105,5,FALSE)-AI43)/1000,3),IF(AND(NOT(ISNA(VLOOKUP(AE43,Y6:AC105,5,FALSE))),AF43="",AG43&lt;&gt;""),ROUND((VLOOKUP(AE43,Y6:AC105,5,FALSE)-AI43)/1000,3),IF(AND(NOT(ISNA(VLOOKUP(AE43,AE6:AI42,5,FALSE))),AF43="",AG43&lt;&gt;""),ROUND((VLOOKUP(AE43,AE6:AI42,5,FALSE)-AI43)/1000,3),""))))))</f>
        <v/>
      </c>
      <c r="AK43" s="19">
        <f>IF(AK42="","",AK42+1)</f>
        <v>637</v>
      </c>
      <c r="AL43" s="43"/>
      <c r="AM43" s="43"/>
      <c r="AN43" s="15" t="str">
        <f>IF(AND(AL43&lt;&gt;"",AM43&lt;&gt;""),ROUND(AL43,3)+ROUND(AN42,3)-ROUND(AM43,3),IF(AND(EXACT(UPPER(AK43),"TBM"),AL43&lt;&gt;""),ROUND(AL43,3),IF(AL43="",AN42,IF(ISNA(VLOOKUP(AK43,A6:E105,5,FALSE)),IF(ISNA(VLOOKUP(AK43,G6:K105,5,FALSE)),IF(ISNA(VLOOKUP(AK43,M6:Q105,5,FALSE)),IF(ISNA(VLOOKUP(AK43,S6:W105,5,FALSE)),IF(ISNA(VLOOKUP(AK43,Y6:AC105,5,FALSE)),IF(ISNA(VLOOKUP(AK43,AE6:AI105,5,FALSE)),IF(ISNA(VLOOKUP(AK43,AK6:AO42,5,FALSE)),"",ROUND(VLOOKUP(AK43,AK6:AO42,5,FALSE),0)/1000+ROUND(AL43,3)),ROUND(VLOOKUP(AK43,AE6:AI105,5,FALSE),0)/1000+ROUND(AL43,3)),ROUND(VLOOKUP(AK43,Y6:AC105,5,FALSE),0)/1000+ROUND(AL43,3)),ROUND(VLOOKUP(AK43,S6:W105,5,FALSE),0)/1000+ROUND(AL43,3)),ROUND(VLOOKUP(AK43,M6:Q105,5,FALSE),0)/1000+ROUND(AL43,3)),ROUND(VLOOKUP(AK43,G6:K105,5,FALSE),0)/1000+ROUND(AL43,3)),ROUND(VLOOKUP(AK43,A6:E105,5,FALSE),0)/1000+ROUND(AL43,3)))))</f>
        <v/>
      </c>
      <c r="AO43" s="18" t="str">
        <f>IF(OR(NOT(EXACT(UPPER(AK43),"TBM")),AL43=""),IF(AND(AL43&lt;&gt;"",AM43="",AN43&lt;&gt;""),"",IF(AND(AL43="",AM43&lt;&gt;"",AN43&lt;&gt;""),ROUND(ROUND(AN43,3)-ROUND(AM43,3),3)*1000,IF(AND(AL43&lt;&gt;"",AM43&lt;&gt;"",AN43&lt;&gt;""),ROUND(ROUND(AN42,3)-ROUND(AM43,3),3)*1000,""))),"")</f>
        <v/>
      </c>
      <c r="AP43" s="44" t="str">
        <f>IF(AND(NOT(ISNA(VLOOKUP(AK43,A6:E105,5,FALSE))),AL43="",AM43&lt;&gt;""),ROUND((VLOOKUP(AK43,A6:E105,5,FALSE)-AO43)/1000,3),IF(AND(NOT(ISNA(VLOOKUP(AK43,G6:K105,5,FALSE))),AL43="",AM43&lt;&gt;""),ROUND((VLOOKUP(AK43,G6:K105,5,FALSE)-AO43)/1000,3),IF(AND(NOT(ISNA(VLOOKUP(AK43,M6:Q105,5,FALSE))),AL43="",AM43&lt;&gt;""),ROUND((VLOOKUP(AK43,M6:Q105,5,FALSE)-AO43)/1000,3),IF(AND(NOT(ISNA(VLOOKUP(AK43,S6:W105,5,FALSE))),AL43="",AM43&lt;&gt;""),ROUND((VLOOKUP(AK43,S6:W105,5,FALSE)-AO43)/1000,3),IF(AND(NOT(ISNA(VLOOKUP(AK43,Y6:AC105,5,FALSE))),AL43="",AM43&lt;&gt;""),ROUND((VLOOKUP(AK43,Y6:AC105,5,FALSE)-AO43)/1000,3),IF(AND(NOT(ISNA(VLOOKUP(AK43,AE6:AI105,5,FALSE))),AL43="",AM43&lt;&gt;""),ROUND((VLOOKUP(AK43,AE6:AI105,5,FALSE)-AO43)/1000,3),IF(AND(NOT(ISNA(VLOOKUP(AK43,AK6:AO42,5,FALSE))),AL43="",AM43&lt;&gt;""),ROUND((VLOOKUP(AK43,AK6:AO42,5,FALSE)-AO43)/1000,3),"")))))))</f>
        <v/>
      </c>
      <c r="AQ43" s="19">
        <f>IF(AQ42="","",AQ42+1)</f>
        <v>737</v>
      </c>
      <c r="AR43" s="43"/>
      <c r="AS43" s="43"/>
      <c r="AT43" s="15" t="str">
        <f>IF(AND(AR43&lt;&gt;"",AS43&lt;&gt;""),ROUND(AR43,3)+ROUND(AT42,3)-ROUND(AS43,3),IF(AND(EXACT(UPPER(AQ43),"TBM"),AR43&lt;&gt;""),ROUND(AR43,3),IF(AR43="",AT42,IF(ISNA(VLOOKUP(AQ43,A6:E105,5,FALSE)),IF(ISNA(VLOOKUP(AQ43,G6:K105,5,FALSE)),IF(ISNA(VLOOKUP(AQ43,M6:Q105,5,FALSE)),IF(ISNA(VLOOKUP(AQ43,S6:W105,5,FALSE)),IF(ISNA(VLOOKUP(AQ43,Y6:AC105,5,FALSE)),IF(ISNA(VLOOKUP(AQ43,AE6:AI105,5,FALSE)),IF(ISNA(VLOOKUP(AQ43,AK6:AO105,5,FALSE)),IF(ISNA(VLOOKUP(AQ43,AQ6:AU42,5,FALSE)),"",ROUND(VLOOKUP(AQ43,AQ6:AU42,5,FALSE),0)/1000+ROUND(AR43,3)),ROUND(VLOOKUP(AQ43,AK6:AO105,5,FALSE),0)/1000+ROUND(AR43,3)),ROUND(VLOOKUP(AQ43,AE6:AI105,5,FALSE),0)/1000+ROUND(AR43,3)),ROUND(VLOOKUP(AQ43,Y6:AC105,5,FALSE),0)/1000+ROUND(AR43,3)),ROUND(VLOOKUP(AQ43,S6:W105,5,FALSE),0)/1000+ROUND(AR43,3)),ROUND(VLOOKUP(AQ43,M6:Q105,5,FALSE),0)/1000+ROUND(AR43,3)),ROUND(VLOOKUP(AQ43,G6:K105,5,FALSE),0)/1000+ROUND(AR43,3)),ROUND(VLOOKUP(AQ43,A6:E105,5,FALSE),0)/1000+ROUND(AR43,3)))))</f>
        <v/>
      </c>
      <c r="AU43" s="18" t="str">
        <f>IF(OR(NOT(EXACT(UPPER(AQ43),"TBM")),AR43=""),IF(AND(AR43&lt;&gt;"",AS43="",AT43&lt;&gt;""),"",IF(AND(AR43="",AS43&lt;&gt;"",AT43&lt;&gt;""),ROUND(ROUND(AT43,3)-ROUND(AS43,3),3)*1000,IF(AND(AR43&lt;&gt;"",AS43&lt;&gt;"",AT43&lt;&gt;""),ROUND(ROUND(AT42,3)-ROUND(AS43,3),3)*1000,""))),"")</f>
        <v/>
      </c>
      <c r="AV43" s="44" t="str">
        <f>IF(AND(NOT(ISNA(VLOOKUP(AQ43,A6:E105,5,FALSE))),AR43="",AS43&lt;&gt;""),ROUND((VLOOKUP(AQ43,A6:E105,5,FALSE)-AU43)/1000,3),IF(AND(NOT(ISNA(VLOOKUP(AQ43,G6:K105,5,FALSE))),AR43="",AS43&lt;&gt;""),ROUND((VLOOKUP(AQ43,G6:K105,5,FALSE)-AU43)/1000,3),IF(AND(NOT(ISNA(VLOOKUP(AQ43,M6:Q105,5,FALSE))),AR43="",AS43&lt;&gt;""),ROUND((VLOOKUP(AQ43,M6:Q105,5,FALSE)-AU43)/1000,3),IF(AND(NOT(ISNA(VLOOKUP(AQ43,S6:W105,5,FALSE))),AR43="",AS43&lt;&gt;""),ROUND((VLOOKUP(AQ43,S6:W105,5,FALSE)-AU43)/1000,3),IF(AND(NOT(ISNA(VLOOKUP(AQ43,Y6:AC105,5,FALSE))),AR43="",AS43&lt;&gt;""),ROUND((VLOOKUP(AQ43,Y6:AC105,5,FALSE)-AU43)/1000,3),IF(AND(NOT(ISNA(VLOOKUP(AQ43,AE6:AI105,5,FALSE))),AR43="",AS43&lt;&gt;""),ROUND((VLOOKUP(AQ43,AE6:AI105,5,FALSE)-AU43)/1000,3),IF(AND(NOT(ISNA(VLOOKUP(AQ43,AK6:AO105,5,FALSE))),AR43="",AS43&lt;&gt;""),ROUND((VLOOKUP(AQ43,AK6:AO105,5,FALSE)-AU43)/1000,3),IF(AND(NOT(ISNA(VLOOKUP(AQ43,AQ6:AU42,5,FALSE))),AR43="",AS43&lt;&gt;""),ROUND((VLOOKUP(AQ43,AQ6:AU42,5,FALSE)-AU43)/1000,3),""))))))))</f>
        <v/>
      </c>
      <c r="AW43" s="19">
        <f>IF(AW42="","",AW42+1)</f>
        <v>837</v>
      </c>
      <c r="AX43" s="43"/>
      <c r="AY43" s="43"/>
      <c r="AZ43" s="15" t="str">
        <f>IF(AND(AX43&lt;&gt;"",AY43&lt;&gt;""),ROUND(AX43,3)+ROUND(AZ42,3)-ROUND(AY43,3),IF(AND(EXACT(UPPER(AW43),"TBM"),AX43&lt;&gt;""),ROUND(AX43,3),IF(AX43="",AZ42,IF(ISNA(VLOOKUP(AW43,A6:E105,5,FALSE)),IF(ISNA(VLOOKUP(AW43,G6:K105,5,FALSE)),IF(ISNA(VLOOKUP(AW43,M6:Q105,5,FALSE)),IF(ISNA(VLOOKUP(AW43,S6:W105,5,FALSE)),IF(ISNA(VLOOKUP(AW43,Y6:AC105,5,FALSE)),IF(ISNA(VLOOKUP(AW43,AE6:AI105,5,FALSE)),IF(ISNA(VLOOKUP(AW43,AK6:AO105,5,FALSE)),IF(ISNA(VLOOKUP(AW43,AQ6:AU105,5,FALSE)),IF(ISNA(VLOOKUP(AW43,AW6:BA42,5,FALSE)),"",ROUND(VLOOKUP(AW43,AW6:BA42,5,FALSE),0)/1000+ROUND(AX43,3)),ROUND(VLOOKUP(AW43,AQ6:AU105,5,FALSE),0)/1000+ROUND(AX43,3)),ROUND(VLOOKUP(AW43,AK6:AO105,5,FALSE),0)/1000+ROUND(AX43,3)),ROUND(VLOOKUP(AW43,AE6:AI105,5,FALSE),0)/1000+ROUND(AX43,3)),ROUND(VLOOKUP(AW43,Y6:AC105,5,FALSE),0)/1000+ROUND(AX43,3)),ROUND(VLOOKUP(AW43,S6:W105,5,FALSE),0)/1000+ROUND(AX43,3)),ROUND(VLOOKUP(AW43,M6:Q105,5,FALSE),0)/1000+ROUND(AX43,3)),ROUND(VLOOKUP(AW43,G6:K105,5,FALSE),0)/1000+ROUND(AX43,3)),ROUND(VLOOKUP(AW43,A6:E105,5,FALSE),0)/1000+ROUND(AX43,3)))))</f>
        <v/>
      </c>
      <c r="BA43" s="18" t="str">
        <f>IF(OR(NOT(EXACT(UPPER(AW43),"TBM")),AX43=""),IF(AND(AX43&lt;&gt;"",AY43="",AZ43&lt;&gt;""),"",IF(AND(AX43="",AY43&lt;&gt;"",AZ43&lt;&gt;""),ROUND(ROUND(AZ43,3)-ROUND(AY43,3),3)*1000,IF(AND(AX43&lt;&gt;"",AY43&lt;&gt;"",AZ43&lt;&gt;""),ROUND(ROUND(AZ42,3)-ROUND(AY43,3),3)*1000,""))),"")</f>
        <v/>
      </c>
      <c r="BB43" s="44" t="str">
        <f>IF(AND(NOT(ISNA(VLOOKUP(AW43,A6:E105,5,FALSE))),AX43="",AY43&lt;&gt;""),ROUND((VLOOKUP(AW43,A6:E105,5,FALSE)-BA43)/1000,3),IF(AND(NOT(ISNA(VLOOKUP(AW43,G6:K105,5,FALSE))),AX43="",AY43&lt;&gt;""),ROUND((VLOOKUP(AW43,G6:K105,5,FALSE)-BA43)/1000,3),IF(AND(NOT(ISNA(VLOOKUP(AW43,M6:Q105,5,FALSE))),AX43="",AY43&lt;&gt;""),ROUND((VLOOKUP(AW43,M6:Q105,5,FALSE)-BA43)/1000,3),IF(AND(NOT(ISNA(VLOOKUP(AW43,S6:W105,5,FALSE))),AX43="",AY43&lt;&gt;""),ROUND((VLOOKUP(AW43,S6:W105,5,FALSE)-BA43)/1000,3),IF(AND(NOT(ISNA(VLOOKUP(AW43,Y6:AC105,5,FALSE))),AX43="",AY43&lt;&gt;""),ROUND((VLOOKUP(AW43,Y6:AC105,5,FALSE)-BA43)/1000,3),IF(AND(NOT(ISNA(VLOOKUP(AW43,AE6:AI105,5,FALSE))),AX43="",AY43&lt;&gt;""),ROUND((VLOOKUP(AW43,AE6:AI105,5,FALSE)-BA43)/1000,3),IF(AND(NOT(ISNA(VLOOKUP(AW43,AK6:AO105,5,FALSE))),AX43="",AY43&lt;&gt;""),ROUND((VLOOKUP(AW43,AK6:AO105,5,FALSE)-BA43)/1000,3),IF(AND(NOT(ISNA(VLOOKUP(AW43,AQ6:AU105,5,FALSE))),AX43="",AY43&lt;&gt;""),ROUND((VLOOKUP(AW43,AQ6:AU105,5,FALSE)-BA43)/1000,3),IF(AND(NOT(ISNA(VLOOKUP(AW43,AW6:BA42,5,FALSE))),AX43="",AY43&lt;&gt;""),ROUND((VLOOKUP(AW43,AW6:BA42,5,FALSE)-BA43)/1000,3),"")))))))))</f>
        <v/>
      </c>
      <c r="BC43" s="19">
        <f>IF(BC42="","",BC42+1)</f>
        <v>937</v>
      </c>
      <c r="BD43" s="43"/>
      <c r="BE43" s="43"/>
      <c r="BF43" s="15" t="str">
        <f>IF(AND(BD43&lt;&gt;"",BE43&lt;&gt;""),ROUND(BD43,3)+ROUND(BF42,3)-ROUND(BE43,3),IF(AND(EXACT(UPPER(BC43),"TBM"),BD43&lt;&gt;""),ROUND(BD43,3),IF(BD43="",BF42,IF(ISNA(VLOOKUP(BC43,A6:E105,5,FALSE)),IF(ISNA(VLOOKUP(BC43,G6:K105,5,FALSE)),IF(ISNA(VLOOKUP(BC43,M6:Q105,5,FALSE)),IF(ISNA(VLOOKUP(BC43,S6:W105,5,FALSE)),IF(ISNA(VLOOKUP(BC43,Y6:AC105,5,FALSE)),IF(ISNA(VLOOKUP(BC43,AE6:AI105,5,FALSE)),IF(ISNA(VLOOKUP(BC43,AK6:AO105,5,FALSE)),IF(ISNA(VLOOKUP(BC43,AQ6:AU105,5,FALSE)),IF(ISNA(VLOOKUP(BC43,AW6:BA105,5,FALSE)),IF(ISNA(VLOOKUP(BC43,BC6:BG42,5,FALSE)),"",ROUND(VLOOKUP(BC43,BC6:BG42,5,FALSE),0)/1000+ROUND(BD43,3)),ROUND(VLOOKUP(BC43,AW6:BA105,5,FALSE),0)/1000+ROUND(BD43,3)),ROUND(VLOOKUP(BC43,AQ6:AU105,5,FALSE),0)/1000+ROUND(BD43,3)),ROUND(VLOOKUP(BC43,AK6:AO105,5,FALSE),0)/1000+ROUND(BD43,3)),ROUND(VLOOKUP(BC43,AE6:AI105,5,FALSE),0)/1000+ROUND(BD43,3)),ROUND(VLOOKUP(BC43,Y6:AC105,5,FALSE),0)/1000+ROUND(BD43,3)),ROUND(VLOOKUP(BC43,S6:W105,5,FALSE),0)/1000+ROUND(BD43,3)),ROUND(VLOOKUP(BC43,M6:Q105,5,FALSE),0)/1000+ROUND(BD43,3)),ROUND(VLOOKUP(BC43,G6:K105,5,FALSE),0)/1000+ROUND(BD43,3)),ROUND(VLOOKUP(BC43,A6:E105,5,FALSE),0)/1000+ROUND(BD43,3)))))</f>
        <v/>
      </c>
      <c r="BG43" s="18" t="str">
        <f>IF(OR(NOT(EXACT(UPPER(BC43),"TBM")),BD43=""),IF(AND(BD43&lt;&gt;"",BE43="",BF43&lt;&gt;""),"",IF(AND(BD43="",BE43&lt;&gt;"",BF43&lt;&gt;""),ROUND(ROUND(BF43,3)-ROUND(BE43,3),3)*1000,IF(AND(BD43&lt;&gt;"",BE43&lt;&gt;"",BF43&lt;&gt;""),ROUND(ROUND(BF42,3)-ROUND(BE43,3),3)*1000,""))),"")</f>
        <v/>
      </c>
      <c r="BH43" s="44" t="str">
        <f>IF(AND(NOT(ISNA(VLOOKUP(BC43,A6:E105,5,FALSE))),BD43="",BE43&lt;&gt;""),ROUND((VLOOKUP(BC43,A6:E105,5,FALSE)-BG43)/1000,3),IF(AND(NOT(ISNA(VLOOKUP(BC43,G6:K105,5,FALSE))),BD43="",BE43&lt;&gt;""),ROUND((VLOOKUP(BC43,G6:K105,5,FALSE)-BG43)/1000,3),IF(AND(NOT(ISNA(VLOOKUP(BC43,M6:Q105,5,FALSE))),BD43="",BE43&lt;&gt;""),ROUND((VLOOKUP(BC43,M6:Q105,5,FALSE)-BG43)/1000,3),IF(AND(NOT(ISNA(VLOOKUP(BC43,S6:W105,5,FALSE))),BD43="",BE43&lt;&gt;""),ROUND((VLOOKUP(BC43,S6:W105,5,FALSE)-BG43)/1000,3),IF(AND(NOT(ISNA(VLOOKUP(BC43,Y6:AC105,5,FALSE))),BD43="",BE43&lt;&gt;""),ROUND((VLOOKUP(BC43,Y6:AC105,5,FALSE)-BG43)/1000,3),IF(AND(NOT(ISNA(VLOOKUP(BC43,AE6:AI105,5,FALSE))),BD43="",BE43&lt;&gt;""),ROUND((VLOOKUP(BC43,AE6:AI105,5,FALSE)-BG43)/1000,3),IF(AND(NOT(ISNA(VLOOKUP(BC43,AK6:AO105,5,FALSE))),BD43="",BE43&lt;&gt;""),ROUND((VLOOKUP(BC43,AK6:AO105,5,FALSE)-BG43)/1000,3),IF(AND(NOT(ISNA(VLOOKUP(BC43,AQ6:AU105,5,FALSE))),BD43="",BE43&lt;&gt;""),ROUND((VLOOKUP(BC43,AQ6:AU105,5,FALSE)-BG43)/1000,3),IF(AND(NOT(ISNA(VLOOKUP(BC43,AW6:BA105,5,FALSE))),BD43="",BE43&lt;&gt;""),ROUND((VLOOKUP(BC43,AW6:BA105,5,FALSE)-BG43)/1000,3),IF(AND(NOT(ISNA(VLOOKUP(BC43,BC6:BG42,5,FALSE))),BD43="",BE43&lt;&gt;""),ROUND((VLOOKUP(BC43,BC6:BG42,5,FALSE)-BG43)/1000,3),""))))))))))</f>
        <v/>
      </c>
    </row>
    <row r="44" spans="1:60" x14ac:dyDescent="0.25">
      <c r="A44" s="19">
        <f t="shared" si="3"/>
        <v>38</v>
      </c>
      <c r="B44" s="41"/>
      <c r="C44" s="39"/>
      <c r="D44" s="15" t="str">
        <f>IF(AND(B44&lt;&gt;"",C44&lt;&gt;""),ROUND(B44,3)+ROUND(D43,3)-ROUND(C44,3),IF(AND(EXACT(UPPER(A44),"TBM"),B44&lt;&gt;""),ROUND(B44,3),IF(B44="",D43,IF(ISNA(VLOOKUP(A44,A6:E43,5,FALSE)),"",ROUND(VLOOKUP(A44,A6:E43,5,FALSE),0)/1000+ROUND(B44,3)))))</f>
        <v/>
      </c>
      <c r="E44" s="21" t="str">
        <f t="shared" si="4"/>
        <v/>
      </c>
      <c r="F44" s="45" t="str">
        <f>IF(AND(NOT(ISNA(VLOOKUP(A44,A6:E43,5,FALSE))),B44="",C44&lt;&gt;""),ROUND((VLOOKUP(A44,A6:E43,5,FALSE)-E44)/1000,3),"")</f>
        <v/>
      </c>
      <c r="G44" s="19">
        <f t="shared" si="1"/>
        <v>138</v>
      </c>
      <c r="H44" s="39"/>
      <c r="I44" s="39"/>
      <c r="J44" s="15" t="str">
        <f>IF(AND(H44&lt;&gt;"",I44&lt;&gt;""),ROUND(H44,3)+ROUND(J43,3)-ROUND(I44,3),IF(AND(EXACT(UPPER(G44),"TBM"),H44&lt;&gt;""),ROUND(H44,3),IF(H44="",J43,IF(ISNA(VLOOKUP(G44,A6:E105,5,FALSE)),IF(ISNA(VLOOKUP(G44,G6:K43,5,FALSE)),"",ROUND(VLOOKUP(G44,G6:K43,5,FALSE),0)/1000+ROUND(H44,3)),ROUND(VLOOKUP(G44,A6:E105,5,FALSE),0)/1000+ROUND(H44,3)))))</f>
        <v/>
      </c>
      <c r="K44" s="18" t="str">
        <f t="shared" si="5"/>
        <v/>
      </c>
      <c r="L44" s="45" t="str">
        <f>IF(AND(NOT(ISNA(VLOOKUP(G44,A6:E105,5,FALSE))),H44="",I44&lt;&gt;""),ROUND((VLOOKUP(G44,A6:E105,5,FALSE)-K44)/1000,3),IF(AND(NOT(ISNA(VLOOKUP(G44,G6:K43,5,FALSE))),H44="",I44&lt;&gt;""),ROUND((VLOOKUP(G44,G6:K43,5,FALSE)-K44)/1000,3),""))</f>
        <v/>
      </c>
      <c r="M44" s="19">
        <f>IF(M43="","",M43+1)</f>
        <v>238</v>
      </c>
      <c r="N44" s="39"/>
      <c r="O44" s="39"/>
      <c r="P44" s="15" t="str">
        <f>IF(AND(N44&lt;&gt;"",O44&lt;&gt;""),ROUND(N44,3)+ROUND(P43,3)-ROUND(O44,3),IF(AND(EXACT(UPPER(M44),"TBM"),N44&lt;&gt;""),ROUND(N44,3),IF(N44="",P43,IF(ISNA(VLOOKUP(M44,A6:E105,5,FALSE)),IF(ISNA(VLOOKUP(M44,G6:K105,5,FALSE)),IF(ISNA(VLOOKUP(M44,M6:Q43,5,FALSE)),"",ROUND(VLOOKUP(M44,M6:Q43,5,FALSE),0)/1000+ROUND(N44,3)),ROUND(VLOOKUP(M44,G6:K105,5,FALSE),0)/1000+ROUND(N44,3)),ROUND(VLOOKUP(M44,A6:E105,5,FALSE),0)/1000+ROUND(N44,3)))))</f>
        <v/>
      </c>
      <c r="Q44" s="18" t="str">
        <f>IF(OR(NOT(EXACT(UPPER(M44),"TBM")),N44=""),IF(AND(N44&lt;&gt;"",O44="",P44&lt;&gt;""),"",IF(AND(N44="",O44&lt;&gt;"",P44&lt;&gt;""),ROUND(ROUND(P44,3)-ROUND(O44,3),3)*1000,IF(AND(N44&lt;&gt;"",O44&lt;&gt;"",P44&lt;&gt;""),ROUND(ROUND(P43,3)-ROUND(O44,3),3)*1000,""))),"")</f>
        <v/>
      </c>
      <c r="R44" s="45" t="str">
        <f>IF(AND(NOT(ISNA(VLOOKUP(M44,A6:E105,5,FALSE))),N44="",O44&lt;&gt;""),ROUND((VLOOKUP(M44,A6:E105,5,FALSE)-Q44)/1000,3),IF(AND(NOT(ISNA(VLOOKUP(M44,G6:K105,5,FALSE))),N44="",O44&lt;&gt;""),ROUND((VLOOKUP(M44,G6:K105,5,FALSE)-Q44)/1000,3),IF(AND(NOT(ISNA(VLOOKUP(M44,M6:Q43,5,FALSE))),N44="",O44&lt;&gt;""),ROUND((VLOOKUP(M44,M6:Q43,5,FALSE)-Q44)/1000,3),"")))</f>
        <v/>
      </c>
      <c r="S44" s="19">
        <f>IF(S43="","",S43+1)</f>
        <v>338</v>
      </c>
      <c r="T44" s="39"/>
      <c r="U44" s="39"/>
      <c r="V44" s="15" t="str">
        <f>IF(AND(T44&lt;&gt;"",U44&lt;&gt;""),ROUND(T44,3)+ROUND(V43,3)-ROUND(U44,3),IF(AND(EXACT(UPPER(S44),"TBM"),T44&lt;&gt;""),ROUND(T44,3),IF(T44="",V43,IF(ISNA(VLOOKUP(S44,A6:E105,5,FALSE)),IF(ISNA(VLOOKUP(S44,G6:K105,5,FALSE)),IF(ISNA(VLOOKUP(S44,M6:Q105,5,FALSE)),IF(ISNA(VLOOKUP(S44,S6:W43,5,FALSE)),"",ROUND(VLOOKUP(S44,S6:W43,5,FALSE),0)/1000+ROUND(T44,3)),ROUND(VLOOKUP(S44,M6:Q105,5,FALSE),0)/1000+ROUND(T44,3)),ROUND(VLOOKUP(S44,G6:K105,5,FALSE),0)/1000+ROUND(T44,3)),ROUND(VLOOKUP(S44,A6:E105,5,FALSE),0)/1000+ROUND(T44,3)))))</f>
        <v/>
      </c>
      <c r="W44" s="18" t="str">
        <f>IF(OR(NOT(EXACT(UPPER(S44),"TBM")),T44=""),IF(AND(T44&lt;&gt;"",U44="",V44&lt;&gt;""),"",IF(AND(T44="",U44&lt;&gt;"",V44&lt;&gt;""),ROUND(ROUND(V44,3)-ROUND(U44,3),3)*1000,IF(AND(T44&lt;&gt;"",U44&lt;&gt;"",V44&lt;&gt;""),ROUND(ROUND(V43,3)-ROUND(U44,3),3)*1000,""))),"")</f>
        <v/>
      </c>
      <c r="X44" s="45" t="str">
        <f>IF(AND(NOT(ISNA(VLOOKUP(S44,A6:E105,5,FALSE))),T44="",U44&lt;&gt;""),ROUND((VLOOKUP(S44,A6:E105,5,FALSE)-W44)/1000,3),IF(AND(NOT(ISNA(VLOOKUP(S44,G6:K105,5,FALSE))),T44="",U44&lt;&gt;""),ROUND((VLOOKUP(S44,G6:K105,5,FALSE)-W44)/1000,3),IF(AND(NOT(ISNA(VLOOKUP(S44,M6:Q105,5,FALSE))),T44="",U44&lt;&gt;""),ROUND((VLOOKUP(S44,M6:Q105,5,FALSE)-W44)/1000,3),IF(AND(NOT(ISNA(VLOOKUP(S44,S6:W43,5,FALSE))),T44="",U44&lt;&gt;""),ROUND((VLOOKUP(S44,S6:W43,5,FALSE)-W44)/1000,3),""))))</f>
        <v/>
      </c>
      <c r="Y44" s="19">
        <f>IF(Y43="","",Y43+1)</f>
        <v>438</v>
      </c>
      <c r="Z44" s="39"/>
      <c r="AA44" s="39"/>
      <c r="AB44" s="15" t="str">
        <f>IF(AND(Z44&lt;&gt;"",AA44&lt;&gt;""),ROUND(Z44,3)+ROUND(AB43,3)-ROUND(AA44,3),IF(AND(EXACT(UPPER(Y44),"TBM"),Z44&lt;&gt;""),ROUND(Z44,3),IF(Z44="",AB43,IF(ISNA(VLOOKUP(Y44,A6:E105,5,FALSE)),IF(ISNA(VLOOKUP(Y44,G6:K105,5,FALSE)),IF(ISNA(VLOOKUP(Y44,M6:Q105,5,FALSE)),IF(ISNA(VLOOKUP(Y44,S6:W105,5,FALSE)),IF(ISNA(VLOOKUP(Y44,Y6:AC43,5,FALSE)),"",ROUND(VLOOKUP(Y44,Y6:AC43,5,FALSE),0)/1000+ROUND(Z44,3)),ROUND(VLOOKUP(Y44,S6:W105,5,FALSE),0)/1000+ROUND(Z44,3)),ROUND(VLOOKUP(Y44,M6:Q105,5,FALSE),0)/1000+ROUND(Z44,3)),ROUND(VLOOKUP(Y44,G6:K105,5,FALSE),0)/1000+ROUND(Z44,3)),ROUND(VLOOKUP(Y44,A6:E105,5,FALSE),0)/1000+ROUND(Z44,3)))))</f>
        <v/>
      </c>
      <c r="AC44" s="18" t="str">
        <f>IF(OR(NOT(EXACT(UPPER(Y44),"TBM")),Z44=""),IF(AND(Z44&lt;&gt;"",AA44="",AB44&lt;&gt;""),"",IF(AND(Z44="",AA44&lt;&gt;"",AB44&lt;&gt;""),ROUND(ROUND(AB44,3)-ROUND(AA44,3),3)*1000,IF(AND(Z44&lt;&gt;"",AA44&lt;&gt;"",AB44&lt;&gt;""),ROUND(ROUND(AB43,3)-ROUND(AA44,3),3)*1000,""))),"")</f>
        <v/>
      </c>
      <c r="AD44" s="45" t="str">
        <f>IF(AND(NOT(ISNA(VLOOKUP(Y44,A6:E105,5,FALSE))),Z44="",AA44&lt;&gt;""),ROUND((VLOOKUP(Y44,A6:E105,5,FALSE)-AC44)/1000,3),IF(AND(NOT(ISNA(VLOOKUP(Y44,G6:K105,5,FALSE))),Z44="",AA44&lt;&gt;""),ROUND((VLOOKUP(Y44,G6:K105,5,FALSE)-AC44)/1000,3),IF(AND(NOT(ISNA(VLOOKUP(Y44,M6:Q105,5,FALSE))),Z44="",AA44&lt;&gt;""),ROUND((VLOOKUP(Y44,M6:Q105,5,FALSE)-AC44)/1000,3),IF(AND(NOT(ISNA(VLOOKUP(Y44,S6:W105,5,FALSE))),Z44="",AA44&lt;&gt;""),ROUND((VLOOKUP(Y44,S6:W105,5,FALSE)-AC44)/1000,3),IF(AND(NOT(ISNA(VLOOKUP(Y44,Y6:AC43,5,FALSE))),Z44="",AA44&lt;&gt;""),ROUND((VLOOKUP(Y44,Y6:AC43,5,FALSE)-AC44)/1000,3),"")))))</f>
        <v/>
      </c>
      <c r="AE44" s="19">
        <f>IF(AE43="","",AE43+1)</f>
        <v>538</v>
      </c>
      <c r="AF44" s="39"/>
      <c r="AG44" s="39"/>
      <c r="AH44" s="15" t="str">
        <f>IF(AND(AF44&lt;&gt;"",AG44&lt;&gt;""),ROUND(AF44,3)+ROUND(AH43,3)-ROUND(AG44,3),IF(AND(EXACT(UPPER(AE44),"TBM"),AF44&lt;&gt;""),ROUND(AF44,3),IF(AF44="",AH43,IF(ISNA(VLOOKUP(AE44,A6:E105,5,FALSE)),IF(ISNA(VLOOKUP(AE44,G6:K105,5,FALSE)),IF(ISNA(VLOOKUP(AE44,M6:Q105,5,FALSE)),IF(ISNA(VLOOKUP(AE44,S6:W105,5,FALSE)),IF(ISNA(VLOOKUP(AE44,Y6:AC105,5,FALSE)),IF(ISNA(VLOOKUP(AE44,AE6:AI43,5,FALSE)),"",ROUND(VLOOKUP(AE44,AE6:AI43,5,FALSE),0)/1000+ROUND(AF44,3)),ROUND(VLOOKUP(AE44,Y6:AC105,5,FALSE),0)/1000+ROUND(AF44,3)),ROUND(VLOOKUP(AE44,S6:W105,5,FALSE),0)/1000+ROUND(AF44,3)),ROUND(VLOOKUP(AE44,M6:Q105,5,FALSE),0)/1000+ROUND(AF44,3)),ROUND(VLOOKUP(AE44,G6:K105,5,FALSE),0)/1000+ROUND(AF44,3)),ROUND(VLOOKUP(AE44,A6:E105,5,FALSE),0)/1000+ROUND(AF44,3)))))</f>
        <v/>
      </c>
      <c r="AI44" s="18" t="str">
        <f>IF(OR(NOT(EXACT(UPPER(AE44),"TBM")),AF44=""),IF(AND(AF44&lt;&gt;"",AG44="",AH44&lt;&gt;""),"",IF(AND(AF44="",AG44&lt;&gt;"",AH44&lt;&gt;""),ROUND(ROUND(AH44,3)-ROUND(AG44,3),3)*1000,IF(AND(AF44&lt;&gt;"",AG44&lt;&gt;"",AH44&lt;&gt;""),ROUND(ROUND(AH43,3)-ROUND(AG44,3),3)*1000,""))),"")</f>
        <v/>
      </c>
      <c r="AJ44" s="45" t="str">
        <f>IF(AND(NOT(ISNA(VLOOKUP(AE44,A6:E105,5,FALSE))),AF44="",AG44&lt;&gt;""),ROUND((VLOOKUP(AE44,A6:E105,5,FALSE)-AI44)/1000,3),IF(AND(NOT(ISNA(VLOOKUP(AE44,G6:K105,5,FALSE))),AF44="",AG44&lt;&gt;""),ROUND((VLOOKUP(AE44,G6:K105,5,FALSE)-AI44)/1000,3),IF(AND(NOT(ISNA(VLOOKUP(AE44,M6:Q105,5,FALSE))),AF44="",AG44&lt;&gt;""),ROUND((VLOOKUP(AE44,M6:Q105,5,FALSE)-AI44)/1000,3),IF(AND(NOT(ISNA(VLOOKUP(AE44,S6:W105,5,FALSE))),AF44="",AG44&lt;&gt;""),ROUND((VLOOKUP(AE44,S6:W105,5,FALSE)-AI44)/1000,3),IF(AND(NOT(ISNA(VLOOKUP(AE44,Y6:AC105,5,FALSE))),AF44="",AG44&lt;&gt;""),ROUND((VLOOKUP(AE44,Y6:AC105,5,FALSE)-AI44)/1000,3),IF(AND(NOT(ISNA(VLOOKUP(AE44,AE6:AI43,5,FALSE))),AF44="",AG44&lt;&gt;""),ROUND((VLOOKUP(AE44,AE6:AI43,5,FALSE)-AI44)/1000,3),""))))))</f>
        <v/>
      </c>
      <c r="AK44" s="19">
        <f>IF(AK43="","",AK43+1)</f>
        <v>638</v>
      </c>
      <c r="AL44" s="39"/>
      <c r="AM44" s="39"/>
      <c r="AN44" s="15" t="str">
        <f>IF(AND(AL44&lt;&gt;"",AM44&lt;&gt;""),ROUND(AL44,3)+ROUND(AN43,3)-ROUND(AM44,3),IF(AND(EXACT(UPPER(AK44),"TBM"),AL44&lt;&gt;""),ROUND(AL44,3),IF(AL44="",AN43,IF(ISNA(VLOOKUP(AK44,A6:E105,5,FALSE)),IF(ISNA(VLOOKUP(AK44,G6:K105,5,FALSE)),IF(ISNA(VLOOKUP(AK44,M6:Q105,5,FALSE)),IF(ISNA(VLOOKUP(AK44,S6:W105,5,FALSE)),IF(ISNA(VLOOKUP(AK44,Y6:AC105,5,FALSE)),IF(ISNA(VLOOKUP(AK44,AE6:AI105,5,FALSE)),IF(ISNA(VLOOKUP(AK44,AK6:AO43,5,FALSE)),"",ROUND(VLOOKUP(AK44,AK6:AO43,5,FALSE),0)/1000+ROUND(AL44,3)),ROUND(VLOOKUP(AK44,AE6:AI105,5,FALSE),0)/1000+ROUND(AL44,3)),ROUND(VLOOKUP(AK44,Y6:AC105,5,FALSE),0)/1000+ROUND(AL44,3)),ROUND(VLOOKUP(AK44,S6:W105,5,FALSE),0)/1000+ROUND(AL44,3)),ROUND(VLOOKUP(AK44,M6:Q105,5,FALSE),0)/1000+ROUND(AL44,3)),ROUND(VLOOKUP(AK44,G6:K105,5,FALSE),0)/1000+ROUND(AL44,3)),ROUND(VLOOKUP(AK44,A6:E105,5,FALSE),0)/1000+ROUND(AL44,3)))))</f>
        <v/>
      </c>
      <c r="AO44" s="18" t="str">
        <f>IF(OR(NOT(EXACT(UPPER(AK44),"TBM")),AL44=""),IF(AND(AL44&lt;&gt;"",AM44="",AN44&lt;&gt;""),"",IF(AND(AL44="",AM44&lt;&gt;"",AN44&lt;&gt;""),ROUND(ROUND(AN44,3)-ROUND(AM44,3),3)*1000,IF(AND(AL44&lt;&gt;"",AM44&lt;&gt;"",AN44&lt;&gt;""),ROUND(ROUND(AN43,3)-ROUND(AM44,3),3)*1000,""))),"")</f>
        <v/>
      </c>
      <c r="AP44" s="45" t="str">
        <f>IF(AND(NOT(ISNA(VLOOKUP(AK44,A6:E105,5,FALSE))),AL44="",AM44&lt;&gt;""),ROUND((VLOOKUP(AK44,A6:E105,5,FALSE)-AO44)/1000,3),IF(AND(NOT(ISNA(VLOOKUP(AK44,G6:K105,5,FALSE))),AL44="",AM44&lt;&gt;""),ROUND((VLOOKUP(AK44,G6:K105,5,FALSE)-AO44)/1000,3),IF(AND(NOT(ISNA(VLOOKUP(AK44,M6:Q105,5,FALSE))),AL44="",AM44&lt;&gt;""),ROUND((VLOOKUP(AK44,M6:Q105,5,FALSE)-AO44)/1000,3),IF(AND(NOT(ISNA(VLOOKUP(AK44,S6:W105,5,FALSE))),AL44="",AM44&lt;&gt;""),ROUND((VLOOKUP(AK44,S6:W105,5,FALSE)-AO44)/1000,3),IF(AND(NOT(ISNA(VLOOKUP(AK44,Y6:AC105,5,FALSE))),AL44="",AM44&lt;&gt;""),ROUND((VLOOKUP(AK44,Y6:AC105,5,FALSE)-AO44)/1000,3),IF(AND(NOT(ISNA(VLOOKUP(AK44,AE6:AI105,5,FALSE))),AL44="",AM44&lt;&gt;""),ROUND((VLOOKUP(AK44,AE6:AI105,5,FALSE)-AO44)/1000,3),IF(AND(NOT(ISNA(VLOOKUP(AK44,AK6:AO43,5,FALSE))),AL44="",AM44&lt;&gt;""),ROUND((VLOOKUP(AK44,AK6:AO43,5,FALSE)-AO44)/1000,3),"")))))))</f>
        <v/>
      </c>
      <c r="AQ44" s="19">
        <f>IF(AQ43="","",AQ43+1)</f>
        <v>738</v>
      </c>
      <c r="AR44" s="39"/>
      <c r="AS44" s="39"/>
      <c r="AT44" s="15" t="str">
        <f>IF(AND(AR44&lt;&gt;"",AS44&lt;&gt;""),ROUND(AR44,3)+ROUND(AT43,3)-ROUND(AS44,3),IF(AND(EXACT(UPPER(AQ44),"TBM"),AR44&lt;&gt;""),ROUND(AR44,3),IF(AR44="",AT43,IF(ISNA(VLOOKUP(AQ44,A6:E105,5,FALSE)),IF(ISNA(VLOOKUP(AQ44,G6:K105,5,FALSE)),IF(ISNA(VLOOKUP(AQ44,M6:Q105,5,FALSE)),IF(ISNA(VLOOKUP(AQ44,S6:W105,5,FALSE)),IF(ISNA(VLOOKUP(AQ44,Y6:AC105,5,FALSE)),IF(ISNA(VLOOKUP(AQ44,AE6:AI105,5,FALSE)),IF(ISNA(VLOOKUP(AQ44,AK6:AO105,5,FALSE)),IF(ISNA(VLOOKUP(AQ44,AQ6:AU43,5,FALSE)),"",ROUND(VLOOKUP(AQ44,AQ6:AU43,5,FALSE),0)/1000+ROUND(AR44,3)),ROUND(VLOOKUP(AQ44,AK6:AO105,5,FALSE),0)/1000+ROUND(AR44,3)),ROUND(VLOOKUP(AQ44,AE6:AI105,5,FALSE),0)/1000+ROUND(AR44,3)),ROUND(VLOOKUP(AQ44,Y6:AC105,5,FALSE),0)/1000+ROUND(AR44,3)),ROUND(VLOOKUP(AQ44,S6:W105,5,FALSE),0)/1000+ROUND(AR44,3)),ROUND(VLOOKUP(AQ44,M6:Q105,5,FALSE),0)/1000+ROUND(AR44,3)),ROUND(VLOOKUP(AQ44,G6:K105,5,FALSE),0)/1000+ROUND(AR44,3)),ROUND(VLOOKUP(AQ44,A6:E105,5,FALSE),0)/1000+ROUND(AR44,3)))))</f>
        <v/>
      </c>
      <c r="AU44" s="18" t="str">
        <f>IF(OR(NOT(EXACT(UPPER(AQ44),"TBM")),AR44=""),IF(AND(AR44&lt;&gt;"",AS44="",AT44&lt;&gt;""),"",IF(AND(AR44="",AS44&lt;&gt;"",AT44&lt;&gt;""),ROUND(ROUND(AT44,3)-ROUND(AS44,3),3)*1000,IF(AND(AR44&lt;&gt;"",AS44&lt;&gt;"",AT44&lt;&gt;""),ROUND(ROUND(AT43,3)-ROUND(AS44,3),3)*1000,""))),"")</f>
        <v/>
      </c>
      <c r="AV44" s="45" t="str">
        <f>IF(AND(NOT(ISNA(VLOOKUP(AQ44,A6:E105,5,FALSE))),AR44="",AS44&lt;&gt;""),ROUND((VLOOKUP(AQ44,A6:E105,5,FALSE)-AU44)/1000,3),IF(AND(NOT(ISNA(VLOOKUP(AQ44,G6:K105,5,FALSE))),AR44="",AS44&lt;&gt;""),ROUND((VLOOKUP(AQ44,G6:K105,5,FALSE)-AU44)/1000,3),IF(AND(NOT(ISNA(VLOOKUP(AQ44,M6:Q105,5,FALSE))),AR44="",AS44&lt;&gt;""),ROUND((VLOOKUP(AQ44,M6:Q105,5,FALSE)-AU44)/1000,3),IF(AND(NOT(ISNA(VLOOKUP(AQ44,S6:W105,5,FALSE))),AR44="",AS44&lt;&gt;""),ROUND((VLOOKUP(AQ44,S6:W105,5,FALSE)-AU44)/1000,3),IF(AND(NOT(ISNA(VLOOKUP(AQ44,Y6:AC105,5,FALSE))),AR44="",AS44&lt;&gt;""),ROUND((VLOOKUP(AQ44,Y6:AC105,5,FALSE)-AU44)/1000,3),IF(AND(NOT(ISNA(VLOOKUP(AQ44,AE6:AI105,5,FALSE))),AR44="",AS44&lt;&gt;""),ROUND((VLOOKUP(AQ44,AE6:AI105,5,FALSE)-AU44)/1000,3),IF(AND(NOT(ISNA(VLOOKUP(AQ44,AK6:AO105,5,FALSE))),AR44="",AS44&lt;&gt;""),ROUND((VLOOKUP(AQ44,AK6:AO105,5,FALSE)-AU44)/1000,3),IF(AND(NOT(ISNA(VLOOKUP(AQ44,AQ6:AU43,5,FALSE))),AR44="",AS44&lt;&gt;""),ROUND((VLOOKUP(AQ44,AQ6:AU43,5,FALSE)-AU44)/1000,3),""))))))))</f>
        <v/>
      </c>
      <c r="AW44" s="19">
        <f>IF(AW43="","",AW43+1)</f>
        <v>838</v>
      </c>
      <c r="AX44" s="39"/>
      <c r="AY44" s="39"/>
      <c r="AZ44" s="15" t="str">
        <f>IF(AND(AX44&lt;&gt;"",AY44&lt;&gt;""),ROUND(AX44,3)+ROUND(AZ43,3)-ROUND(AY44,3),IF(AND(EXACT(UPPER(AW44),"TBM"),AX44&lt;&gt;""),ROUND(AX44,3),IF(AX44="",AZ43,IF(ISNA(VLOOKUP(AW44,A6:E105,5,FALSE)),IF(ISNA(VLOOKUP(AW44,G6:K105,5,FALSE)),IF(ISNA(VLOOKUP(AW44,M6:Q105,5,FALSE)),IF(ISNA(VLOOKUP(AW44,S6:W105,5,FALSE)),IF(ISNA(VLOOKUP(AW44,Y6:AC105,5,FALSE)),IF(ISNA(VLOOKUP(AW44,AE6:AI105,5,FALSE)),IF(ISNA(VLOOKUP(AW44,AK6:AO105,5,FALSE)),IF(ISNA(VLOOKUP(AW44,AQ6:AU105,5,FALSE)),IF(ISNA(VLOOKUP(AW44,AW6:BA43,5,FALSE)),"",ROUND(VLOOKUP(AW44,AW6:BA43,5,FALSE),0)/1000+ROUND(AX44,3)),ROUND(VLOOKUP(AW44,AQ6:AU105,5,FALSE),0)/1000+ROUND(AX44,3)),ROUND(VLOOKUP(AW44,AK6:AO105,5,FALSE),0)/1000+ROUND(AX44,3)),ROUND(VLOOKUP(AW44,AE6:AI105,5,FALSE),0)/1000+ROUND(AX44,3)),ROUND(VLOOKUP(AW44,Y6:AC105,5,FALSE),0)/1000+ROUND(AX44,3)),ROUND(VLOOKUP(AW44,S6:W105,5,FALSE),0)/1000+ROUND(AX44,3)),ROUND(VLOOKUP(AW44,M6:Q105,5,FALSE),0)/1000+ROUND(AX44,3)),ROUND(VLOOKUP(AW44,G6:K105,5,FALSE),0)/1000+ROUND(AX44,3)),ROUND(VLOOKUP(AW44,A6:E105,5,FALSE),0)/1000+ROUND(AX44,3)))))</f>
        <v/>
      </c>
      <c r="BA44" s="18" t="str">
        <f>IF(OR(NOT(EXACT(UPPER(AW44),"TBM")),AX44=""),IF(AND(AX44&lt;&gt;"",AY44="",AZ44&lt;&gt;""),"",IF(AND(AX44="",AY44&lt;&gt;"",AZ44&lt;&gt;""),ROUND(ROUND(AZ44,3)-ROUND(AY44,3),3)*1000,IF(AND(AX44&lt;&gt;"",AY44&lt;&gt;"",AZ44&lt;&gt;""),ROUND(ROUND(AZ43,3)-ROUND(AY44,3),3)*1000,""))),"")</f>
        <v/>
      </c>
      <c r="BB44" s="45" t="str">
        <f>IF(AND(NOT(ISNA(VLOOKUP(AW44,A6:E105,5,FALSE))),AX44="",AY44&lt;&gt;""),ROUND((VLOOKUP(AW44,A6:E105,5,FALSE)-BA44)/1000,3),IF(AND(NOT(ISNA(VLOOKUP(AW44,G6:K105,5,FALSE))),AX44="",AY44&lt;&gt;""),ROUND((VLOOKUP(AW44,G6:K105,5,FALSE)-BA44)/1000,3),IF(AND(NOT(ISNA(VLOOKUP(AW44,M6:Q105,5,FALSE))),AX44="",AY44&lt;&gt;""),ROUND((VLOOKUP(AW44,M6:Q105,5,FALSE)-BA44)/1000,3),IF(AND(NOT(ISNA(VLOOKUP(AW44,S6:W105,5,FALSE))),AX44="",AY44&lt;&gt;""),ROUND((VLOOKUP(AW44,S6:W105,5,FALSE)-BA44)/1000,3),IF(AND(NOT(ISNA(VLOOKUP(AW44,Y6:AC105,5,FALSE))),AX44="",AY44&lt;&gt;""),ROUND((VLOOKUP(AW44,Y6:AC105,5,FALSE)-BA44)/1000,3),IF(AND(NOT(ISNA(VLOOKUP(AW44,AE6:AI105,5,FALSE))),AX44="",AY44&lt;&gt;""),ROUND((VLOOKUP(AW44,AE6:AI105,5,FALSE)-BA44)/1000,3),IF(AND(NOT(ISNA(VLOOKUP(AW44,AK6:AO105,5,FALSE))),AX44="",AY44&lt;&gt;""),ROUND((VLOOKUP(AW44,AK6:AO105,5,FALSE)-BA44)/1000,3),IF(AND(NOT(ISNA(VLOOKUP(AW44,AQ6:AU105,5,FALSE))),AX44="",AY44&lt;&gt;""),ROUND((VLOOKUP(AW44,AQ6:AU105,5,FALSE)-BA44)/1000,3),IF(AND(NOT(ISNA(VLOOKUP(AW44,AW6:BA43,5,FALSE))),AX44="",AY44&lt;&gt;""),ROUND((VLOOKUP(AW44,AW6:BA43,5,FALSE)-BA44)/1000,3),"")))))))))</f>
        <v/>
      </c>
      <c r="BC44" s="19">
        <f>IF(BC43="","",BC43+1)</f>
        <v>938</v>
      </c>
      <c r="BD44" s="39"/>
      <c r="BE44" s="39"/>
      <c r="BF44" s="15" t="str">
        <f>IF(AND(BD44&lt;&gt;"",BE44&lt;&gt;""),ROUND(BD44,3)+ROUND(BF43,3)-ROUND(BE44,3),IF(AND(EXACT(UPPER(BC44),"TBM"),BD44&lt;&gt;""),ROUND(BD44,3),IF(BD44="",BF43,IF(ISNA(VLOOKUP(BC44,A6:E105,5,FALSE)),IF(ISNA(VLOOKUP(BC44,G6:K105,5,FALSE)),IF(ISNA(VLOOKUP(BC44,M6:Q105,5,FALSE)),IF(ISNA(VLOOKUP(BC44,S6:W105,5,FALSE)),IF(ISNA(VLOOKUP(BC44,Y6:AC105,5,FALSE)),IF(ISNA(VLOOKUP(BC44,AE6:AI105,5,FALSE)),IF(ISNA(VLOOKUP(BC44,AK6:AO105,5,FALSE)),IF(ISNA(VLOOKUP(BC44,AQ6:AU105,5,FALSE)),IF(ISNA(VLOOKUP(BC44,AW6:BA105,5,FALSE)),IF(ISNA(VLOOKUP(BC44,BC6:BG43,5,FALSE)),"",ROUND(VLOOKUP(BC44,BC6:BG43,5,FALSE),0)/1000+ROUND(BD44,3)),ROUND(VLOOKUP(BC44,AW6:BA105,5,FALSE),0)/1000+ROUND(BD44,3)),ROUND(VLOOKUP(BC44,AQ6:AU105,5,FALSE),0)/1000+ROUND(BD44,3)),ROUND(VLOOKUP(BC44,AK6:AO105,5,FALSE),0)/1000+ROUND(BD44,3)),ROUND(VLOOKUP(BC44,AE6:AI105,5,FALSE),0)/1000+ROUND(BD44,3)),ROUND(VLOOKUP(BC44,Y6:AC105,5,FALSE),0)/1000+ROUND(BD44,3)),ROUND(VLOOKUP(BC44,S6:W105,5,FALSE),0)/1000+ROUND(BD44,3)),ROUND(VLOOKUP(BC44,M6:Q105,5,FALSE),0)/1000+ROUND(BD44,3)),ROUND(VLOOKUP(BC44,G6:K105,5,FALSE),0)/1000+ROUND(BD44,3)),ROUND(VLOOKUP(BC44,A6:E105,5,FALSE),0)/1000+ROUND(BD44,3)))))</f>
        <v/>
      </c>
      <c r="BG44" s="18" t="str">
        <f>IF(OR(NOT(EXACT(UPPER(BC44),"TBM")),BD44=""),IF(AND(BD44&lt;&gt;"",BE44="",BF44&lt;&gt;""),"",IF(AND(BD44="",BE44&lt;&gt;"",BF44&lt;&gt;""),ROUND(ROUND(BF44,3)-ROUND(BE44,3),3)*1000,IF(AND(BD44&lt;&gt;"",BE44&lt;&gt;"",BF44&lt;&gt;""),ROUND(ROUND(BF43,3)-ROUND(BE44,3),3)*1000,""))),"")</f>
        <v/>
      </c>
      <c r="BH44" s="45" t="str">
        <f>IF(AND(NOT(ISNA(VLOOKUP(BC44,A6:E105,5,FALSE))),BD44="",BE44&lt;&gt;""),ROUND((VLOOKUP(BC44,A6:E105,5,FALSE)-BG44)/1000,3),IF(AND(NOT(ISNA(VLOOKUP(BC44,G6:K105,5,FALSE))),BD44="",BE44&lt;&gt;""),ROUND((VLOOKUP(BC44,G6:K105,5,FALSE)-BG44)/1000,3),IF(AND(NOT(ISNA(VLOOKUP(BC44,M6:Q105,5,FALSE))),BD44="",BE44&lt;&gt;""),ROUND((VLOOKUP(BC44,M6:Q105,5,FALSE)-BG44)/1000,3),IF(AND(NOT(ISNA(VLOOKUP(BC44,S6:W105,5,FALSE))),BD44="",BE44&lt;&gt;""),ROUND((VLOOKUP(BC44,S6:W105,5,FALSE)-BG44)/1000,3),IF(AND(NOT(ISNA(VLOOKUP(BC44,Y6:AC105,5,FALSE))),BD44="",BE44&lt;&gt;""),ROUND((VLOOKUP(BC44,Y6:AC105,5,FALSE)-BG44)/1000,3),IF(AND(NOT(ISNA(VLOOKUP(BC44,AE6:AI105,5,FALSE))),BD44="",BE44&lt;&gt;""),ROUND((VLOOKUP(BC44,AE6:AI105,5,FALSE)-BG44)/1000,3),IF(AND(NOT(ISNA(VLOOKUP(BC44,AK6:AO105,5,FALSE))),BD44="",BE44&lt;&gt;""),ROUND((VLOOKUP(BC44,AK6:AO105,5,FALSE)-BG44)/1000,3),IF(AND(NOT(ISNA(VLOOKUP(BC44,AQ6:AU105,5,FALSE))),BD44="",BE44&lt;&gt;""),ROUND((VLOOKUP(BC44,AQ6:AU105,5,FALSE)-BG44)/1000,3),IF(AND(NOT(ISNA(VLOOKUP(BC44,AW6:BA105,5,FALSE))),BD44="",BE44&lt;&gt;""),ROUND((VLOOKUP(BC44,AW6:BA105,5,FALSE)-BG44)/1000,3),IF(AND(NOT(ISNA(VLOOKUP(BC44,BC6:BG43,5,FALSE))),BD44="",BE44&lt;&gt;""),ROUND((VLOOKUP(BC44,BC6:BG43,5,FALSE)-BG44)/1000,3),""))))))))))</f>
        <v/>
      </c>
    </row>
    <row r="45" spans="1:60" x14ac:dyDescent="0.25">
      <c r="A45" s="81">
        <f t="shared" si="3"/>
        <v>39</v>
      </c>
      <c r="B45" s="92"/>
      <c r="C45" s="93"/>
      <c r="D45" s="83" t="str">
        <f>IF(AND(B45&lt;&gt;"",C45&lt;&gt;""),ROUND(B45,3)+ROUND(D44,3)-ROUND(C45,3),IF(AND(EXACT(UPPER(A45),"TBM"),B45&lt;&gt;""),ROUND(B45,3),IF(B45="",D44,IF(ISNA(VLOOKUP(A45,A6:E44,5,FALSE)),"",ROUND(VLOOKUP(A45,A6:E44,5,FALSE),0)/1000+ROUND(B45,3)))))</f>
        <v/>
      </c>
      <c r="E45" s="84" t="str">
        <f t="shared" si="4"/>
        <v/>
      </c>
      <c r="F45" s="85" t="str">
        <f>IF(AND(NOT(ISNA(VLOOKUP(A45,A6:E44,5,FALSE))),B45="",C45&lt;&gt;""),ROUND((VLOOKUP(A45,A6:E44,5,FALSE)-E45)/1000,3),"")</f>
        <v/>
      </c>
      <c r="G45" s="81">
        <f t="shared" si="1"/>
        <v>139</v>
      </c>
      <c r="H45" s="82"/>
      <c r="I45" s="82"/>
      <c r="J45" s="83" t="str">
        <f>IF(AND(H45&lt;&gt;"",I45&lt;&gt;""),ROUND(H45,3)+ROUND(J44,3)-ROUND(I45,3),IF(AND(EXACT(UPPER(G45),"TBM"),H45&lt;&gt;""),ROUND(H45,3),IF(H45="",J44,IF(ISNA(VLOOKUP(G45,A6:E105,5,FALSE)),IF(ISNA(VLOOKUP(G45,G6:K44,5,FALSE)),"",ROUND(VLOOKUP(G45,G6:K44,5,FALSE),0)/1000+ROUND(H45,3)),ROUND(VLOOKUP(G45,A6:E105,5,FALSE),0)/1000+ROUND(H45,3)))))</f>
        <v/>
      </c>
      <c r="K45" s="88" t="str">
        <f t="shared" si="5"/>
        <v/>
      </c>
      <c r="L45" s="85" t="str">
        <f>IF(AND(NOT(ISNA(VLOOKUP(G45,A6:E105,5,FALSE))),H45="",I45&lt;&gt;""),ROUND((VLOOKUP(G45,A6:E105,5,FALSE)-K45)/1000,3),IF(AND(NOT(ISNA(VLOOKUP(G45,G6:K44,5,FALSE))),H45="",I45&lt;&gt;""),ROUND((VLOOKUP(G45,G6:K44,5,FALSE)-K45)/1000,3),""))</f>
        <v/>
      </c>
      <c r="M45" s="81">
        <f>IF(M44="","",M44+1)</f>
        <v>239</v>
      </c>
      <c r="N45" s="82"/>
      <c r="O45" s="82"/>
      <c r="P45" s="83" t="str">
        <f>IF(AND(N45&lt;&gt;"",O45&lt;&gt;""),ROUND(N45,3)+ROUND(P44,3)-ROUND(O45,3),IF(AND(EXACT(UPPER(M45),"TBM"),N45&lt;&gt;""),ROUND(N45,3),IF(N45="",P44,IF(ISNA(VLOOKUP(M45,A6:E105,5,FALSE)),IF(ISNA(VLOOKUP(M45,G6:K105,5,FALSE)),IF(ISNA(VLOOKUP(M45,M6:Q44,5,FALSE)),"",ROUND(VLOOKUP(M45,M6:Q44,5,FALSE),0)/1000+ROUND(N45,3)),ROUND(VLOOKUP(M45,G6:K105,5,FALSE),0)/1000+ROUND(N45,3)),ROUND(VLOOKUP(M45,A6:E105,5,FALSE),0)/1000+ROUND(N45,3)))))</f>
        <v/>
      </c>
      <c r="Q45" s="88" t="str">
        <f>IF(OR(NOT(EXACT(UPPER(M45),"TBM")),N45=""),IF(AND(N45&lt;&gt;"",O45="",P45&lt;&gt;""),"",IF(AND(N45="",O45&lt;&gt;"",P45&lt;&gt;""),ROUND(ROUND(P45,3)-ROUND(O45,3),3)*1000,IF(AND(N45&lt;&gt;"",O45&lt;&gt;"",P45&lt;&gt;""),ROUND(ROUND(P44,3)-ROUND(O45,3),3)*1000,""))),"")</f>
        <v/>
      </c>
      <c r="R45" s="85" t="str">
        <f>IF(AND(NOT(ISNA(VLOOKUP(M45,A6:E105,5,FALSE))),N45="",O45&lt;&gt;""),ROUND((VLOOKUP(M45,A6:E105,5,FALSE)-Q45)/1000,3),IF(AND(NOT(ISNA(VLOOKUP(M45,G6:K105,5,FALSE))),N45="",O45&lt;&gt;""),ROUND((VLOOKUP(M45,G6:K105,5,FALSE)-Q45)/1000,3),IF(AND(NOT(ISNA(VLOOKUP(M45,M6:Q44,5,FALSE))),N45="",O45&lt;&gt;""),ROUND((VLOOKUP(M45,M6:Q44,5,FALSE)-Q45)/1000,3),"")))</f>
        <v/>
      </c>
      <c r="S45" s="81">
        <f>IF(S44="","",S44+1)</f>
        <v>339</v>
      </c>
      <c r="T45" s="82"/>
      <c r="U45" s="82"/>
      <c r="V45" s="83" t="str">
        <f>IF(AND(T45&lt;&gt;"",U45&lt;&gt;""),ROUND(T45,3)+ROUND(V44,3)-ROUND(U45,3),IF(AND(EXACT(UPPER(S45),"TBM"),T45&lt;&gt;""),ROUND(T45,3),IF(T45="",V44,IF(ISNA(VLOOKUP(S45,A6:E105,5,FALSE)),IF(ISNA(VLOOKUP(S45,G6:K105,5,FALSE)),IF(ISNA(VLOOKUP(S45,M6:Q105,5,FALSE)),IF(ISNA(VLOOKUP(S45,S6:W44,5,FALSE)),"",ROUND(VLOOKUP(S45,S6:W44,5,FALSE),0)/1000+ROUND(T45,3)),ROUND(VLOOKUP(S45,M6:Q105,5,FALSE),0)/1000+ROUND(T45,3)),ROUND(VLOOKUP(S45,G6:K105,5,FALSE),0)/1000+ROUND(T45,3)),ROUND(VLOOKUP(S45,A6:E105,5,FALSE),0)/1000+ROUND(T45,3)))))</f>
        <v/>
      </c>
      <c r="W45" s="88" t="str">
        <f>IF(OR(NOT(EXACT(UPPER(S45),"TBM")),T45=""),IF(AND(T45&lt;&gt;"",U45="",V45&lt;&gt;""),"",IF(AND(T45="",U45&lt;&gt;"",V45&lt;&gt;""),ROUND(ROUND(V45,3)-ROUND(U45,3),3)*1000,IF(AND(T45&lt;&gt;"",U45&lt;&gt;"",V45&lt;&gt;""),ROUND(ROUND(V44,3)-ROUND(U45,3),3)*1000,""))),"")</f>
        <v/>
      </c>
      <c r="X45" s="85" t="str">
        <f>IF(AND(NOT(ISNA(VLOOKUP(S45,A6:E105,5,FALSE))),T45="",U45&lt;&gt;""),ROUND((VLOOKUP(S45,A6:E105,5,FALSE)-W45)/1000,3),IF(AND(NOT(ISNA(VLOOKUP(S45,G6:K105,5,FALSE))),T45="",U45&lt;&gt;""),ROUND((VLOOKUP(S45,G6:K105,5,FALSE)-W45)/1000,3),IF(AND(NOT(ISNA(VLOOKUP(S45,M6:Q105,5,FALSE))),T45="",U45&lt;&gt;""),ROUND((VLOOKUP(S45,M6:Q105,5,FALSE)-W45)/1000,3),IF(AND(NOT(ISNA(VLOOKUP(S45,S6:W44,5,FALSE))),T45="",U45&lt;&gt;""),ROUND((VLOOKUP(S45,S6:W44,5,FALSE)-W45)/1000,3),""))))</f>
        <v/>
      </c>
      <c r="Y45" s="81">
        <f>IF(Y44="","",Y44+1)</f>
        <v>439</v>
      </c>
      <c r="Z45" s="82"/>
      <c r="AA45" s="82"/>
      <c r="AB45" s="83" t="str">
        <f>IF(AND(Z45&lt;&gt;"",AA45&lt;&gt;""),ROUND(Z45,3)+ROUND(AB44,3)-ROUND(AA45,3),IF(AND(EXACT(UPPER(Y45),"TBM"),Z45&lt;&gt;""),ROUND(Z45,3),IF(Z45="",AB44,IF(ISNA(VLOOKUP(Y45,A6:E105,5,FALSE)),IF(ISNA(VLOOKUP(Y45,G6:K105,5,FALSE)),IF(ISNA(VLOOKUP(Y45,M6:Q105,5,FALSE)),IF(ISNA(VLOOKUP(Y45,S6:W105,5,FALSE)),IF(ISNA(VLOOKUP(Y45,Y6:AC44,5,FALSE)),"",ROUND(VLOOKUP(Y45,Y6:AC44,5,FALSE),0)/1000+ROUND(Z45,3)),ROUND(VLOOKUP(Y45,S6:W105,5,FALSE),0)/1000+ROUND(Z45,3)),ROUND(VLOOKUP(Y45,M6:Q105,5,FALSE),0)/1000+ROUND(Z45,3)),ROUND(VLOOKUP(Y45,G6:K105,5,FALSE),0)/1000+ROUND(Z45,3)),ROUND(VLOOKUP(Y45,A6:E105,5,FALSE),0)/1000+ROUND(Z45,3)))))</f>
        <v/>
      </c>
      <c r="AC45" s="88" t="str">
        <f>IF(OR(NOT(EXACT(UPPER(Y45),"TBM")),Z45=""),IF(AND(Z45&lt;&gt;"",AA45="",AB45&lt;&gt;""),"",IF(AND(Z45="",AA45&lt;&gt;"",AB45&lt;&gt;""),ROUND(ROUND(AB45,3)-ROUND(AA45,3),3)*1000,IF(AND(Z45&lt;&gt;"",AA45&lt;&gt;"",AB45&lt;&gt;""),ROUND(ROUND(AB44,3)-ROUND(AA45,3),3)*1000,""))),"")</f>
        <v/>
      </c>
      <c r="AD45" s="85" t="str">
        <f>IF(AND(NOT(ISNA(VLOOKUP(Y45,A6:E105,5,FALSE))),Z45="",AA45&lt;&gt;""),ROUND((VLOOKUP(Y45,A6:E105,5,FALSE)-AC45)/1000,3),IF(AND(NOT(ISNA(VLOOKUP(Y45,G6:K105,5,FALSE))),Z45="",AA45&lt;&gt;""),ROUND((VLOOKUP(Y45,G6:K105,5,FALSE)-AC45)/1000,3),IF(AND(NOT(ISNA(VLOOKUP(Y45,M6:Q105,5,FALSE))),Z45="",AA45&lt;&gt;""),ROUND((VLOOKUP(Y45,M6:Q105,5,FALSE)-AC45)/1000,3),IF(AND(NOT(ISNA(VLOOKUP(Y45,S6:W105,5,FALSE))),Z45="",AA45&lt;&gt;""),ROUND((VLOOKUP(Y45,S6:W105,5,FALSE)-AC45)/1000,3),IF(AND(NOT(ISNA(VLOOKUP(Y45,Y6:AC44,5,FALSE))),Z45="",AA45&lt;&gt;""),ROUND((VLOOKUP(Y45,Y6:AC44,5,FALSE)-AC45)/1000,3),"")))))</f>
        <v/>
      </c>
      <c r="AE45" s="81">
        <f>IF(AE44="","",AE44+1)</f>
        <v>539</v>
      </c>
      <c r="AF45" s="82"/>
      <c r="AG45" s="82"/>
      <c r="AH45" s="83" t="str">
        <f>IF(AND(AF45&lt;&gt;"",AG45&lt;&gt;""),ROUND(AF45,3)+ROUND(AH44,3)-ROUND(AG45,3),IF(AND(EXACT(UPPER(AE45),"TBM"),AF45&lt;&gt;""),ROUND(AF45,3),IF(AF45="",AH44,IF(ISNA(VLOOKUP(AE45,A6:E105,5,FALSE)),IF(ISNA(VLOOKUP(AE45,G6:K105,5,FALSE)),IF(ISNA(VLOOKUP(AE45,M6:Q105,5,FALSE)),IF(ISNA(VLOOKUP(AE45,S6:W105,5,FALSE)),IF(ISNA(VLOOKUP(AE45,Y6:AC105,5,FALSE)),IF(ISNA(VLOOKUP(AE45,AE6:AI44,5,FALSE)),"",ROUND(VLOOKUP(AE45,AE6:AI44,5,FALSE),0)/1000+ROUND(AF45,3)),ROUND(VLOOKUP(AE45,Y6:AC105,5,FALSE),0)/1000+ROUND(AF45,3)),ROUND(VLOOKUP(AE45,S6:W105,5,FALSE),0)/1000+ROUND(AF45,3)),ROUND(VLOOKUP(AE45,M6:Q105,5,FALSE),0)/1000+ROUND(AF45,3)),ROUND(VLOOKUP(AE45,G6:K105,5,FALSE),0)/1000+ROUND(AF45,3)),ROUND(VLOOKUP(AE45,A6:E105,5,FALSE),0)/1000+ROUND(AF45,3)))))</f>
        <v/>
      </c>
      <c r="AI45" s="88" t="str">
        <f>IF(OR(NOT(EXACT(UPPER(AE45),"TBM")),AF45=""),IF(AND(AF45&lt;&gt;"",AG45="",AH45&lt;&gt;""),"",IF(AND(AF45="",AG45&lt;&gt;"",AH45&lt;&gt;""),ROUND(ROUND(AH45,3)-ROUND(AG45,3),3)*1000,IF(AND(AF45&lt;&gt;"",AG45&lt;&gt;"",AH45&lt;&gt;""),ROUND(ROUND(AH44,3)-ROUND(AG45,3),3)*1000,""))),"")</f>
        <v/>
      </c>
      <c r="AJ45" s="85" t="str">
        <f>IF(AND(NOT(ISNA(VLOOKUP(AE45,A6:E105,5,FALSE))),AF45="",AG45&lt;&gt;""),ROUND((VLOOKUP(AE45,A6:E105,5,FALSE)-AI45)/1000,3),IF(AND(NOT(ISNA(VLOOKUP(AE45,G6:K105,5,FALSE))),AF45="",AG45&lt;&gt;""),ROUND((VLOOKUP(AE45,G6:K105,5,FALSE)-AI45)/1000,3),IF(AND(NOT(ISNA(VLOOKUP(AE45,M6:Q105,5,FALSE))),AF45="",AG45&lt;&gt;""),ROUND((VLOOKUP(AE45,M6:Q105,5,FALSE)-AI45)/1000,3),IF(AND(NOT(ISNA(VLOOKUP(AE45,S6:W105,5,FALSE))),AF45="",AG45&lt;&gt;""),ROUND((VLOOKUP(AE45,S6:W105,5,FALSE)-AI45)/1000,3),IF(AND(NOT(ISNA(VLOOKUP(AE45,Y6:AC105,5,FALSE))),AF45="",AG45&lt;&gt;""),ROUND((VLOOKUP(AE45,Y6:AC105,5,FALSE)-AI45)/1000,3),IF(AND(NOT(ISNA(VLOOKUP(AE45,AE6:AI44,5,FALSE))),AF45="",AG45&lt;&gt;""),ROUND((VLOOKUP(AE45,AE6:AI44,5,FALSE)-AI45)/1000,3),""))))))</f>
        <v/>
      </c>
      <c r="AK45" s="81">
        <f>IF(AK44="","",AK44+1)</f>
        <v>639</v>
      </c>
      <c r="AL45" s="82"/>
      <c r="AM45" s="82"/>
      <c r="AN45" s="83" t="str">
        <f>IF(AND(AL45&lt;&gt;"",AM45&lt;&gt;""),ROUND(AL45,3)+ROUND(AN44,3)-ROUND(AM45,3),IF(AND(EXACT(UPPER(AK45),"TBM"),AL45&lt;&gt;""),ROUND(AL45,3),IF(AL45="",AN44,IF(ISNA(VLOOKUP(AK45,A6:E105,5,FALSE)),IF(ISNA(VLOOKUP(AK45,G6:K105,5,FALSE)),IF(ISNA(VLOOKUP(AK45,M6:Q105,5,FALSE)),IF(ISNA(VLOOKUP(AK45,S6:W105,5,FALSE)),IF(ISNA(VLOOKUP(AK45,Y6:AC105,5,FALSE)),IF(ISNA(VLOOKUP(AK45,AE6:AI105,5,FALSE)),IF(ISNA(VLOOKUP(AK45,AK6:AO44,5,FALSE)),"",ROUND(VLOOKUP(AK45,AK6:AO44,5,FALSE),0)/1000+ROUND(AL45,3)),ROUND(VLOOKUP(AK45,AE6:AI105,5,FALSE),0)/1000+ROUND(AL45,3)),ROUND(VLOOKUP(AK45,Y6:AC105,5,FALSE),0)/1000+ROUND(AL45,3)),ROUND(VLOOKUP(AK45,S6:W105,5,FALSE),0)/1000+ROUND(AL45,3)),ROUND(VLOOKUP(AK45,M6:Q105,5,FALSE),0)/1000+ROUND(AL45,3)),ROUND(VLOOKUP(AK45,G6:K105,5,FALSE),0)/1000+ROUND(AL45,3)),ROUND(VLOOKUP(AK45,A6:E105,5,FALSE),0)/1000+ROUND(AL45,3)))))</f>
        <v/>
      </c>
      <c r="AO45" s="88" t="str">
        <f>IF(OR(NOT(EXACT(UPPER(AK45),"TBM")),AL45=""),IF(AND(AL45&lt;&gt;"",AM45="",AN45&lt;&gt;""),"",IF(AND(AL45="",AM45&lt;&gt;"",AN45&lt;&gt;""),ROUND(ROUND(AN45,3)-ROUND(AM45,3),3)*1000,IF(AND(AL45&lt;&gt;"",AM45&lt;&gt;"",AN45&lt;&gt;""),ROUND(ROUND(AN44,3)-ROUND(AM45,3),3)*1000,""))),"")</f>
        <v/>
      </c>
      <c r="AP45" s="85" t="str">
        <f>IF(AND(NOT(ISNA(VLOOKUP(AK45,A6:E105,5,FALSE))),AL45="",AM45&lt;&gt;""),ROUND((VLOOKUP(AK45,A6:E105,5,FALSE)-AO45)/1000,3),IF(AND(NOT(ISNA(VLOOKUP(AK45,G6:K105,5,FALSE))),AL45="",AM45&lt;&gt;""),ROUND((VLOOKUP(AK45,G6:K105,5,FALSE)-AO45)/1000,3),IF(AND(NOT(ISNA(VLOOKUP(AK45,M6:Q105,5,FALSE))),AL45="",AM45&lt;&gt;""),ROUND((VLOOKUP(AK45,M6:Q105,5,FALSE)-AO45)/1000,3),IF(AND(NOT(ISNA(VLOOKUP(AK45,S6:W105,5,FALSE))),AL45="",AM45&lt;&gt;""),ROUND((VLOOKUP(AK45,S6:W105,5,FALSE)-AO45)/1000,3),IF(AND(NOT(ISNA(VLOOKUP(AK45,Y6:AC105,5,FALSE))),AL45="",AM45&lt;&gt;""),ROUND((VLOOKUP(AK45,Y6:AC105,5,FALSE)-AO45)/1000,3),IF(AND(NOT(ISNA(VLOOKUP(AK45,AE6:AI105,5,FALSE))),AL45="",AM45&lt;&gt;""),ROUND((VLOOKUP(AK45,AE6:AI105,5,FALSE)-AO45)/1000,3),IF(AND(NOT(ISNA(VLOOKUP(AK45,AK6:AO44,5,FALSE))),AL45="",AM45&lt;&gt;""),ROUND((VLOOKUP(AK45,AK6:AO44,5,FALSE)-AO45)/1000,3),"")))))))</f>
        <v/>
      </c>
      <c r="AQ45" s="81">
        <f>IF(AQ44="","",AQ44+1)</f>
        <v>739</v>
      </c>
      <c r="AR45" s="82"/>
      <c r="AS45" s="82"/>
      <c r="AT45" s="83" t="str">
        <f>IF(AND(AR45&lt;&gt;"",AS45&lt;&gt;""),ROUND(AR45,3)+ROUND(AT44,3)-ROUND(AS45,3),IF(AND(EXACT(UPPER(AQ45),"TBM"),AR45&lt;&gt;""),ROUND(AR45,3),IF(AR45="",AT44,IF(ISNA(VLOOKUP(AQ45,A6:E105,5,FALSE)),IF(ISNA(VLOOKUP(AQ45,G6:K105,5,FALSE)),IF(ISNA(VLOOKUP(AQ45,M6:Q105,5,FALSE)),IF(ISNA(VLOOKUP(AQ45,S6:W105,5,FALSE)),IF(ISNA(VLOOKUP(AQ45,Y6:AC105,5,FALSE)),IF(ISNA(VLOOKUP(AQ45,AE6:AI105,5,FALSE)),IF(ISNA(VLOOKUP(AQ45,AK6:AO105,5,FALSE)),IF(ISNA(VLOOKUP(AQ45,AQ6:AU44,5,FALSE)),"",ROUND(VLOOKUP(AQ45,AQ6:AU44,5,FALSE),0)/1000+ROUND(AR45,3)),ROUND(VLOOKUP(AQ45,AK6:AO105,5,FALSE),0)/1000+ROUND(AR45,3)),ROUND(VLOOKUP(AQ45,AE6:AI105,5,FALSE),0)/1000+ROUND(AR45,3)),ROUND(VLOOKUP(AQ45,Y6:AC105,5,FALSE),0)/1000+ROUND(AR45,3)),ROUND(VLOOKUP(AQ45,S6:W105,5,FALSE),0)/1000+ROUND(AR45,3)),ROUND(VLOOKUP(AQ45,M6:Q105,5,FALSE),0)/1000+ROUND(AR45,3)),ROUND(VLOOKUP(AQ45,G6:K105,5,FALSE),0)/1000+ROUND(AR45,3)),ROUND(VLOOKUP(AQ45,A6:E105,5,FALSE),0)/1000+ROUND(AR45,3)))))</f>
        <v/>
      </c>
      <c r="AU45" s="88" t="str">
        <f>IF(OR(NOT(EXACT(UPPER(AQ45),"TBM")),AR45=""),IF(AND(AR45&lt;&gt;"",AS45="",AT45&lt;&gt;""),"",IF(AND(AR45="",AS45&lt;&gt;"",AT45&lt;&gt;""),ROUND(ROUND(AT45,3)-ROUND(AS45,3),3)*1000,IF(AND(AR45&lt;&gt;"",AS45&lt;&gt;"",AT45&lt;&gt;""),ROUND(ROUND(AT44,3)-ROUND(AS45,3),3)*1000,""))),"")</f>
        <v/>
      </c>
      <c r="AV45" s="85" t="str">
        <f>IF(AND(NOT(ISNA(VLOOKUP(AQ45,A6:E105,5,FALSE))),AR45="",AS45&lt;&gt;""),ROUND((VLOOKUP(AQ45,A6:E105,5,FALSE)-AU45)/1000,3),IF(AND(NOT(ISNA(VLOOKUP(AQ45,G6:K105,5,FALSE))),AR45="",AS45&lt;&gt;""),ROUND((VLOOKUP(AQ45,G6:K105,5,FALSE)-AU45)/1000,3),IF(AND(NOT(ISNA(VLOOKUP(AQ45,M6:Q105,5,FALSE))),AR45="",AS45&lt;&gt;""),ROUND((VLOOKUP(AQ45,M6:Q105,5,FALSE)-AU45)/1000,3),IF(AND(NOT(ISNA(VLOOKUP(AQ45,S6:W105,5,FALSE))),AR45="",AS45&lt;&gt;""),ROUND((VLOOKUP(AQ45,S6:W105,5,FALSE)-AU45)/1000,3),IF(AND(NOT(ISNA(VLOOKUP(AQ45,Y6:AC105,5,FALSE))),AR45="",AS45&lt;&gt;""),ROUND((VLOOKUP(AQ45,Y6:AC105,5,FALSE)-AU45)/1000,3),IF(AND(NOT(ISNA(VLOOKUP(AQ45,AE6:AI105,5,FALSE))),AR45="",AS45&lt;&gt;""),ROUND((VLOOKUP(AQ45,AE6:AI105,5,FALSE)-AU45)/1000,3),IF(AND(NOT(ISNA(VLOOKUP(AQ45,AK6:AO105,5,FALSE))),AR45="",AS45&lt;&gt;""),ROUND((VLOOKUP(AQ45,AK6:AO105,5,FALSE)-AU45)/1000,3),IF(AND(NOT(ISNA(VLOOKUP(AQ45,AQ6:AU44,5,FALSE))),AR45="",AS45&lt;&gt;""),ROUND((VLOOKUP(AQ45,AQ6:AU44,5,FALSE)-AU45)/1000,3),""))))))))</f>
        <v/>
      </c>
      <c r="AW45" s="81">
        <f>IF(AW44="","",AW44+1)</f>
        <v>839</v>
      </c>
      <c r="AX45" s="82"/>
      <c r="AY45" s="82"/>
      <c r="AZ45" s="83" t="str">
        <f>IF(AND(AX45&lt;&gt;"",AY45&lt;&gt;""),ROUND(AX45,3)+ROUND(AZ44,3)-ROUND(AY45,3),IF(AND(EXACT(UPPER(AW45),"TBM"),AX45&lt;&gt;""),ROUND(AX45,3),IF(AX45="",AZ44,IF(ISNA(VLOOKUP(AW45,A6:E105,5,FALSE)),IF(ISNA(VLOOKUP(AW45,G6:K105,5,FALSE)),IF(ISNA(VLOOKUP(AW45,M6:Q105,5,FALSE)),IF(ISNA(VLOOKUP(AW45,S6:W105,5,FALSE)),IF(ISNA(VLOOKUP(AW45,Y6:AC105,5,FALSE)),IF(ISNA(VLOOKUP(AW45,AE6:AI105,5,FALSE)),IF(ISNA(VLOOKUP(AW45,AK6:AO105,5,FALSE)),IF(ISNA(VLOOKUP(AW45,AQ6:AU105,5,FALSE)),IF(ISNA(VLOOKUP(AW45,AW6:BA44,5,FALSE)),"",ROUND(VLOOKUP(AW45,AW6:BA44,5,FALSE),0)/1000+ROUND(AX45,3)),ROUND(VLOOKUP(AW45,AQ6:AU105,5,FALSE),0)/1000+ROUND(AX45,3)),ROUND(VLOOKUP(AW45,AK6:AO105,5,FALSE),0)/1000+ROUND(AX45,3)),ROUND(VLOOKUP(AW45,AE6:AI105,5,FALSE),0)/1000+ROUND(AX45,3)),ROUND(VLOOKUP(AW45,Y6:AC105,5,FALSE),0)/1000+ROUND(AX45,3)),ROUND(VLOOKUP(AW45,S6:W105,5,FALSE),0)/1000+ROUND(AX45,3)),ROUND(VLOOKUP(AW45,M6:Q105,5,FALSE),0)/1000+ROUND(AX45,3)),ROUND(VLOOKUP(AW45,G6:K105,5,FALSE),0)/1000+ROUND(AX45,3)),ROUND(VLOOKUP(AW45,A6:E105,5,FALSE),0)/1000+ROUND(AX45,3)))))</f>
        <v/>
      </c>
      <c r="BA45" s="88" t="str">
        <f>IF(OR(NOT(EXACT(UPPER(AW45),"TBM")),AX45=""),IF(AND(AX45&lt;&gt;"",AY45="",AZ45&lt;&gt;""),"",IF(AND(AX45="",AY45&lt;&gt;"",AZ45&lt;&gt;""),ROUND(ROUND(AZ45,3)-ROUND(AY45,3),3)*1000,IF(AND(AX45&lt;&gt;"",AY45&lt;&gt;"",AZ45&lt;&gt;""),ROUND(ROUND(AZ44,3)-ROUND(AY45,3),3)*1000,""))),"")</f>
        <v/>
      </c>
      <c r="BB45" s="85" t="str">
        <f>IF(AND(NOT(ISNA(VLOOKUP(AW45,A6:E105,5,FALSE))),AX45="",AY45&lt;&gt;""),ROUND((VLOOKUP(AW45,A6:E105,5,FALSE)-BA45)/1000,3),IF(AND(NOT(ISNA(VLOOKUP(AW45,G6:K105,5,FALSE))),AX45="",AY45&lt;&gt;""),ROUND((VLOOKUP(AW45,G6:K105,5,FALSE)-BA45)/1000,3),IF(AND(NOT(ISNA(VLOOKUP(AW45,M6:Q105,5,FALSE))),AX45="",AY45&lt;&gt;""),ROUND((VLOOKUP(AW45,M6:Q105,5,FALSE)-BA45)/1000,3),IF(AND(NOT(ISNA(VLOOKUP(AW45,S6:W105,5,FALSE))),AX45="",AY45&lt;&gt;""),ROUND((VLOOKUP(AW45,S6:W105,5,FALSE)-BA45)/1000,3),IF(AND(NOT(ISNA(VLOOKUP(AW45,Y6:AC105,5,FALSE))),AX45="",AY45&lt;&gt;""),ROUND((VLOOKUP(AW45,Y6:AC105,5,FALSE)-BA45)/1000,3),IF(AND(NOT(ISNA(VLOOKUP(AW45,AE6:AI105,5,FALSE))),AX45="",AY45&lt;&gt;""),ROUND((VLOOKUP(AW45,AE6:AI105,5,FALSE)-BA45)/1000,3),IF(AND(NOT(ISNA(VLOOKUP(AW45,AK6:AO105,5,FALSE))),AX45="",AY45&lt;&gt;""),ROUND((VLOOKUP(AW45,AK6:AO105,5,FALSE)-BA45)/1000,3),IF(AND(NOT(ISNA(VLOOKUP(AW45,AQ6:AU105,5,FALSE))),AX45="",AY45&lt;&gt;""),ROUND((VLOOKUP(AW45,AQ6:AU105,5,FALSE)-BA45)/1000,3),IF(AND(NOT(ISNA(VLOOKUP(AW45,AW6:BA44,5,FALSE))),AX45="",AY45&lt;&gt;""),ROUND((VLOOKUP(AW45,AW6:BA44,5,FALSE)-BA45)/1000,3),"")))))))))</f>
        <v/>
      </c>
      <c r="BC45" s="81">
        <f>IF(BC44="","",BC44+1)</f>
        <v>939</v>
      </c>
      <c r="BD45" s="82"/>
      <c r="BE45" s="82"/>
      <c r="BF45" s="83" t="str">
        <f>IF(AND(BD45&lt;&gt;"",BE45&lt;&gt;""),ROUND(BD45,3)+ROUND(BF44,3)-ROUND(BE45,3),IF(AND(EXACT(UPPER(BC45),"TBM"),BD45&lt;&gt;""),ROUND(BD45,3),IF(BD45="",BF44,IF(ISNA(VLOOKUP(BC45,A6:E105,5,FALSE)),IF(ISNA(VLOOKUP(BC45,G6:K105,5,FALSE)),IF(ISNA(VLOOKUP(BC45,M6:Q105,5,FALSE)),IF(ISNA(VLOOKUP(BC45,S6:W105,5,FALSE)),IF(ISNA(VLOOKUP(BC45,Y6:AC105,5,FALSE)),IF(ISNA(VLOOKUP(BC45,AE6:AI105,5,FALSE)),IF(ISNA(VLOOKUP(BC45,AK6:AO105,5,FALSE)),IF(ISNA(VLOOKUP(BC45,AQ6:AU105,5,FALSE)),IF(ISNA(VLOOKUP(BC45,AW6:BA105,5,FALSE)),IF(ISNA(VLOOKUP(BC45,BC6:BG44,5,FALSE)),"",ROUND(VLOOKUP(BC45,BC6:BG44,5,FALSE),0)/1000+ROUND(BD45,3)),ROUND(VLOOKUP(BC45,AW6:BA105,5,FALSE),0)/1000+ROUND(BD45,3)),ROUND(VLOOKUP(BC45,AQ6:AU105,5,FALSE),0)/1000+ROUND(BD45,3)),ROUND(VLOOKUP(BC45,AK6:AO105,5,FALSE),0)/1000+ROUND(BD45,3)),ROUND(VLOOKUP(BC45,AE6:AI105,5,FALSE),0)/1000+ROUND(BD45,3)),ROUND(VLOOKUP(BC45,Y6:AC105,5,FALSE),0)/1000+ROUND(BD45,3)),ROUND(VLOOKUP(BC45,S6:W105,5,FALSE),0)/1000+ROUND(BD45,3)),ROUND(VLOOKUP(BC45,M6:Q105,5,FALSE),0)/1000+ROUND(BD45,3)),ROUND(VLOOKUP(BC45,G6:K105,5,FALSE),0)/1000+ROUND(BD45,3)),ROUND(VLOOKUP(BC45,A6:E105,5,FALSE),0)/1000+ROUND(BD45,3)))))</f>
        <v/>
      </c>
      <c r="BG45" s="88" t="str">
        <f>IF(OR(NOT(EXACT(UPPER(BC45),"TBM")),BD45=""),IF(AND(BD45&lt;&gt;"",BE45="",BF45&lt;&gt;""),"",IF(AND(BD45="",BE45&lt;&gt;"",BF45&lt;&gt;""),ROUND(ROUND(BF45,3)-ROUND(BE45,3),3)*1000,IF(AND(BD45&lt;&gt;"",BE45&lt;&gt;"",BF45&lt;&gt;""),ROUND(ROUND(BF44,3)-ROUND(BE45,3),3)*1000,""))),"")</f>
        <v/>
      </c>
      <c r="BH45" s="85" t="str">
        <f>IF(AND(NOT(ISNA(VLOOKUP(BC45,A6:E105,5,FALSE))),BD45="",BE45&lt;&gt;""),ROUND((VLOOKUP(BC45,A6:E105,5,FALSE)-BG45)/1000,3),IF(AND(NOT(ISNA(VLOOKUP(BC45,G6:K105,5,FALSE))),BD45="",BE45&lt;&gt;""),ROUND((VLOOKUP(BC45,G6:K105,5,FALSE)-BG45)/1000,3),IF(AND(NOT(ISNA(VLOOKUP(BC45,M6:Q105,5,FALSE))),BD45="",BE45&lt;&gt;""),ROUND((VLOOKUP(BC45,M6:Q105,5,FALSE)-BG45)/1000,3),IF(AND(NOT(ISNA(VLOOKUP(BC45,S6:W105,5,FALSE))),BD45="",BE45&lt;&gt;""),ROUND((VLOOKUP(BC45,S6:W105,5,FALSE)-BG45)/1000,3),IF(AND(NOT(ISNA(VLOOKUP(BC45,Y6:AC105,5,FALSE))),BD45="",BE45&lt;&gt;""),ROUND((VLOOKUP(BC45,Y6:AC105,5,FALSE)-BG45)/1000,3),IF(AND(NOT(ISNA(VLOOKUP(BC45,AE6:AI105,5,FALSE))),BD45="",BE45&lt;&gt;""),ROUND((VLOOKUP(BC45,AE6:AI105,5,FALSE)-BG45)/1000,3),IF(AND(NOT(ISNA(VLOOKUP(BC45,AK6:AO105,5,FALSE))),BD45="",BE45&lt;&gt;""),ROUND((VLOOKUP(BC45,AK6:AO105,5,FALSE)-BG45)/1000,3),IF(AND(NOT(ISNA(VLOOKUP(BC45,AQ6:AU105,5,FALSE))),BD45="",BE45&lt;&gt;""),ROUND((VLOOKUP(BC45,AQ6:AU105,5,FALSE)-BG45)/1000,3),IF(AND(NOT(ISNA(VLOOKUP(BC45,AW6:BA105,5,FALSE))),BD45="",BE45&lt;&gt;""),ROUND((VLOOKUP(BC45,AW6:BA105,5,FALSE)-BG45)/1000,3),IF(AND(NOT(ISNA(VLOOKUP(BC45,BC6:BG44,5,FALSE))),BD45="",BE45&lt;&gt;""),ROUND((VLOOKUP(BC45,BC6:BG44,5,FALSE)-BG45)/1000,3),""))))))))))</f>
        <v/>
      </c>
    </row>
    <row r="46" spans="1:60" x14ac:dyDescent="0.25">
      <c r="A46" s="64">
        <f t="shared" si="3"/>
        <v>40</v>
      </c>
      <c r="B46" s="42"/>
      <c r="C46" s="43"/>
      <c r="D46" s="17" t="str">
        <f>IF(AND(B46&lt;&gt;"",C46&lt;&gt;""),ROUND(B46,3)+ROUND(D45,3)-ROUND(C46,3),IF(AND(EXACT(UPPER(A46),"TBM"),B46&lt;&gt;""),ROUND(B46,3),IF(B46="",D45,IF(ISNA(VLOOKUP(A46,A6:E45,5,FALSE)),"",ROUND(VLOOKUP(A46,A6:E45,5,FALSE),0)/1000+ROUND(B46,3)))))</f>
        <v/>
      </c>
      <c r="E46" s="22" t="str">
        <f t="shared" si="4"/>
        <v/>
      </c>
      <c r="F46" s="44" t="str">
        <f>IF(AND(NOT(ISNA(VLOOKUP(A46,A6:E45,5,FALSE))),B46="",C46&lt;&gt;""),ROUND((VLOOKUP(A46,A6:E45,5,FALSE)-E46)/1000,3),"")</f>
        <v/>
      </c>
      <c r="G46" s="64">
        <f t="shared" si="1"/>
        <v>140</v>
      </c>
      <c r="H46" s="43"/>
      <c r="I46" s="43"/>
      <c r="J46" s="17" t="str">
        <f>IF(AND(H46&lt;&gt;"",I46&lt;&gt;""),ROUND(H46,3)+ROUND(J45,3)-ROUND(I46,3),IF(AND(EXACT(UPPER(G46),"TBM"),H46&lt;&gt;""),ROUND(H46,3),IF(H46="",J45,IF(ISNA(VLOOKUP(G46,A6:E105,5,FALSE)),IF(ISNA(VLOOKUP(G46,G6:K45,5,FALSE)),"",ROUND(VLOOKUP(G46,G6:K45,5,FALSE),0)/1000+ROUND(H46,3)),ROUND(VLOOKUP(G46,A6:E105,5,FALSE),0)/1000+ROUND(H46,3)))))</f>
        <v/>
      </c>
      <c r="K46" s="18" t="str">
        <f t="shared" si="5"/>
        <v/>
      </c>
      <c r="L46" s="44" t="str">
        <f>IF(AND(NOT(ISNA(VLOOKUP(G46,A6:E105,5,FALSE))),H46="",I46&lt;&gt;""),ROUND((VLOOKUP(G46,A6:E105,5,FALSE)-K46)/1000,3),IF(AND(NOT(ISNA(VLOOKUP(G46,G6:K45,5,FALSE))),H46="",I46&lt;&gt;""),ROUND((VLOOKUP(G46,G6:K45,5,FALSE)-K46)/1000,3),""))</f>
        <v/>
      </c>
      <c r="M46" s="64">
        <f>IF(M45="","",M45+1)</f>
        <v>240</v>
      </c>
      <c r="N46" s="43"/>
      <c r="O46" s="43"/>
      <c r="P46" s="17" t="str">
        <f>IF(AND(N46&lt;&gt;"",O46&lt;&gt;""),ROUND(N46,3)+ROUND(P45,3)-ROUND(O46,3),IF(AND(EXACT(UPPER(M46),"TBM"),N46&lt;&gt;""),ROUND(N46,3),IF(N46="",P45,IF(ISNA(VLOOKUP(M46,A6:E105,5,FALSE)),IF(ISNA(VLOOKUP(M46,G6:K105,5,FALSE)),IF(ISNA(VLOOKUP(M46,M6:Q45,5,FALSE)),"",ROUND(VLOOKUP(M46,M6:Q45,5,FALSE),0)/1000+ROUND(N46,3)),ROUND(VLOOKUP(M46,G6:K105,5,FALSE),0)/1000+ROUND(N46,3)),ROUND(VLOOKUP(M46,A6:E105,5,FALSE),0)/1000+ROUND(N46,3)))))</f>
        <v/>
      </c>
      <c r="Q46" s="18" t="str">
        <f>IF(OR(NOT(EXACT(UPPER(M46),"TBM")),N46=""),IF(AND(N46&lt;&gt;"",O46="",P46&lt;&gt;""),"",IF(AND(N46="",O46&lt;&gt;"",P46&lt;&gt;""),ROUND(ROUND(P46,3)-ROUND(O46,3),3)*1000,IF(AND(N46&lt;&gt;"",O46&lt;&gt;"",P46&lt;&gt;""),ROUND(ROUND(P45,3)-ROUND(O46,3),3)*1000,""))),"")</f>
        <v/>
      </c>
      <c r="R46" s="44" t="str">
        <f>IF(AND(NOT(ISNA(VLOOKUP(M46,A6:E105,5,FALSE))),N46="",O46&lt;&gt;""),ROUND((VLOOKUP(M46,A6:E105,5,FALSE)-Q46)/1000,3),IF(AND(NOT(ISNA(VLOOKUP(M46,G6:K105,5,FALSE))),N46="",O46&lt;&gt;""),ROUND((VLOOKUP(M46,G6:K105,5,FALSE)-Q46)/1000,3),IF(AND(NOT(ISNA(VLOOKUP(M46,M6:Q45,5,FALSE))),N46="",O46&lt;&gt;""),ROUND((VLOOKUP(M46,M6:Q45,5,FALSE)-Q46)/1000,3),"")))</f>
        <v/>
      </c>
      <c r="S46" s="64">
        <f>IF(S45="","",S45+1)</f>
        <v>340</v>
      </c>
      <c r="T46" s="43"/>
      <c r="U46" s="43"/>
      <c r="V46" s="17" t="str">
        <f>IF(AND(T46&lt;&gt;"",U46&lt;&gt;""),ROUND(T46,3)+ROUND(V45,3)-ROUND(U46,3),IF(AND(EXACT(UPPER(S46),"TBM"),T46&lt;&gt;""),ROUND(T46,3),IF(T46="",V45,IF(ISNA(VLOOKUP(S46,A6:E105,5,FALSE)),IF(ISNA(VLOOKUP(S46,G6:K105,5,FALSE)),IF(ISNA(VLOOKUP(S46,M6:Q105,5,FALSE)),IF(ISNA(VLOOKUP(S46,S6:W45,5,FALSE)),"",ROUND(VLOOKUP(S46,S6:W45,5,FALSE),0)/1000+ROUND(T46,3)),ROUND(VLOOKUP(S46,M6:Q105,5,FALSE),0)/1000+ROUND(T46,3)),ROUND(VLOOKUP(S46,G6:K105,5,FALSE),0)/1000+ROUND(T46,3)),ROUND(VLOOKUP(S46,A6:E105,5,FALSE),0)/1000+ROUND(T46,3)))))</f>
        <v/>
      </c>
      <c r="W46" s="18" t="str">
        <f>IF(OR(NOT(EXACT(UPPER(S46),"TBM")),T46=""),IF(AND(T46&lt;&gt;"",U46="",V46&lt;&gt;""),"",IF(AND(T46="",U46&lt;&gt;"",V46&lt;&gt;""),ROUND(ROUND(V46,3)-ROUND(U46,3),3)*1000,IF(AND(T46&lt;&gt;"",U46&lt;&gt;"",V46&lt;&gt;""),ROUND(ROUND(V45,3)-ROUND(U46,3),3)*1000,""))),"")</f>
        <v/>
      </c>
      <c r="X46" s="44" t="str">
        <f>IF(AND(NOT(ISNA(VLOOKUP(S46,A6:E105,5,FALSE))),T46="",U46&lt;&gt;""),ROUND((VLOOKUP(S46,A6:E105,5,FALSE)-W46)/1000,3),IF(AND(NOT(ISNA(VLOOKUP(S46,G6:K105,5,FALSE))),T46="",U46&lt;&gt;""),ROUND((VLOOKUP(S46,G6:K105,5,FALSE)-W46)/1000,3),IF(AND(NOT(ISNA(VLOOKUP(S46,M6:Q105,5,FALSE))),T46="",U46&lt;&gt;""),ROUND((VLOOKUP(S46,M6:Q105,5,FALSE)-W46)/1000,3),IF(AND(NOT(ISNA(VLOOKUP(S46,S6:W45,5,FALSE))),T46="",U46&lt;&gt;""),ROUND((VLOOKUP(S46,S6:W45,5,FALSE)-W46)/1000,3),""))))</f>
        <v/>
      </c>
      <c r="Y46" s="64">
        <f>IF(Y45="","",Y45+1)</f>
        <v>440</v>
      </c>
      <c r="Z46" s="43"/>
      <c r="AA46" s="43"/>
      <c r="AB46" s="17" t="str">
        <f>IF(AND(Z46&lt;&gt;"",AA46&lt;&gt;""),ROUND(Z46,3)+ROUND(AB45,3)-ROUND(AA46,3),IF(AND(EXACT(UPPER(Y46),"TBM"),Z46&lt;&gt;""),ROUND(Z46,3),IF(Z46="",AB45,IF(ISNA(VLOOKUP(Y46,A6:E105,5,FALSE)),IF(ISNA(VLOOKUP(Y46,G6:K105,5,FALSE)),IF(ISNA(VLOOKUP(Y46,M6:Q105,5,FALSE)),IF(ISNA(VLOOKUP(Y46,S6:W105,5,FALSE)),IF(ISNA(VLOOKUP(Y46,Y6:AC45,5,FALSE)),"",ROUND(VLOOKUP(Y46,Y6:AC45,5,FALSE),0)/1000+ROUND(Z46,3)),ROUND(VLOOKUP(Y46,S6:W105,5,FALSE),0)/1000+ROUND(Z46,3)),ROUND(VLOOKUP(Y46,M6:Q105,5,FALSE),0)/1000+ROUND(Z46,3)),ROUND(VLOOKUP(Y46,G6:K105,5,FALSE),0)/1000+ROUND(Z46,3)),ROUND(VLOOKUP(Y46,A6:E105,5,FALSE),0)/1000+ROUND(Z46,3)))))</f>
        <v/>
      </c>
      <c r="AC46" s="18" t="str">
        <f>IF(OR(NOT(EXACT(UPPER(Y46),"TBM")),Z46=""),IF(AND(Z46&lt;&gt;"",AA46="",AB46&lt;&gt;""),"",IF(AND(Z46="",AA46&lt;&gt;"",AB46&lt;&gt;""),ROUND(ROUND(AB46,3)-ROUND(AA46,3),3)*1000,IF(AND(Z46&lt;&gt;"",AA46&lt;&gt;"",AB46&lt;&gt;""),ROUND(ROUND(AB45,3)-ROUND(AA46,3),3)*1000,""))),"")</f>
        <v/>
      </c>
      <c r="AD46" s="44" t="str">
        <f>IF(AND(NOT(ISNA(VLOOKUP(Y46,A6:E105,5,FALSE))),Z46="",AA46&lt;&gt;""),ROUND((VLOOKUP(Y46,A6:E105,5,FALSE)-AC46)/1000,3),IF(AND(NOT(ISNA(VLOOKUP(Y46,G6:K105,5,FALSE))),Z46="",AA46&lt;&gt;""),ROUND((VLOOKUP(Y46,G6:K105,5,FALSE)-AC46)/1000,3),IF(AND(NOT(ISNA(VLOOKUP(Y46,M6:Q105,5,FALSE))),Z46="",AA46&lt;&gt;""),ROUND((VLOOKUP(Y46,M6:Q105,5,FALSE)-AC46)/1000,3),IF(AND(NOT(ISNA(VLOOKUP(Y46,S6:W105,5,FALSE))),Z46="",AA46&lt;&gt;""),ROUND((VLOOKUP(Y46,S6:W105,5,FALSE)-AC46)/1000,3),IF(AND(NOT(ISNA(VLOOKUP(Y46,Y6:AC45,5,FALSE))),Z46="",AA46&lt;&gt;""),ROUND((VLOOKUP(Y46,Y6:AC45,5,FALSE)-AC46)/1000,3),"")))))</f>
        <v/>
      </c>
      <c r="AE46" s="64">
        <f>IF(AE45="","",AE45+1)</f>
        <v>540</v>
      </c>
      <c r="AF46" s="43"/>
      <c r="AG46" s="43"/>
      <c r="AH46" s="17" t="str">
        <f>IF(AND(AF46&lt;&gt;"",AG46&lt;&gt;""),ROUND(AF46,3)+ROUND(AH45,3)-ROUND(AG46,3),IF(AND(EXACT(UPPER(AE46),"TBM"),AF46&lt;&gt;""),ROUND(AF46,3),IF(AF46="",AH45,IF(ISNA(VLOOKUP(AE46,A6:E105,5,FALSE)),IF(ISNA(VLOOKUP(AE46,G6:K105,5,FALSE)),IF(ISNA(VLOOKUP(AE46,M6:Q105,5,FALSE)),IF(ISNA(VLOOKUP(AE46,S6:W105,5,FALSE)),IF(ISNA(VLOOKUP(AE46,Y6:AC105,5,FALSE)),IF(ISNA(VLOOKUP(AE46,AE6:AI45,5,FALSE)),"",ROUND(VLOOKUP(AE46,AE6:AI45,5,FALSE),0)/1000+ROUND(AF46,3)),ROUND(VLOOKUP(AE46,Y6:AC105,5,FALSE),0)/1000+ROUND(AF46,3)),ROUND(VLOOKUP(AE46,S6:W105,5,FALSE),0)/1000+ROUND(AF46,3)),ROUND(VLOOKUP(AE46,M6:Q105,5,FALSE),0)/1000+ROUND(AF46,3)),ROUND(VLOOKUP(AE46,G6:K105,5,FALSE),0)/1000+ROUND(AF46,3)),ROUND(VLOOKUP(AE46,A6:E105,5,FALSE),0)/1000+ROUND(AF46,3)))))</f>
        <v/>
      </c>
      <c r="AI46" s="18" t="str">
        <f>IF(OR(NOT(EXACT(UPPER(AE46),"TBM")),AF46=""),IF(AND(AF46&lt;&gt;"",AG46="",AH46&lt;&gt;""),"",IF(AND(AF46="",AG46&lt;&gt;"",AH46&lt;&gt;""),ROUND(ROUND(AH46,3)-ROUND(AG46,3),3)*1000,IF(AND(AF46&lt;&gt;"",AG46&lt;&gt;"",AH46&lt;&gt;""),ROUND(ROUND(AH45,3)-ROUND(AG46,3),3)*1000,""))),"")</f>
        <v/>
      </c>
      <c r="AJ46" s="44" t="str">
        <f>IF(AND(NOT(ISNA(VLOOKUP(AE46,A6:E105,5,FALSE))),AF46="",AG46&lt;&gt;""),ROUND((VLOOKUP(AE46,A6:E105,5,FALSE)-AI46)/1000,3),IF(AND(NOT(ISNA(VLOOKUP(AE46,G6:K105,5,FALSE))),AF46="",AG46&lt;&gt;""),ROUND((VLOOKUP(AE46,G6:K105,5,FALSE)-AI46)/1000,3),IF(AND(NOT(ISNA(VLOOKUP(AE46,M6:Q105,5,FALSE))),AF46="",AG46&lt;&gt;""),ROUND((VLOOKUP(AE46,M6:Q105,5,FALSE)-AI46)/1000,3),IF(AND(NOT(ISNA(VLOOKUP(AE46,S6:W105,5,FALSE))),AF46="",AG46&lt;&gt;""),ROUND((VLOOKUP(AE46,S6:W105,5,FALSE)-AI46)/1000,3),IF(AND(NOT(ISNA(VLOOKUP(AE46,Y6:AC105,5,FALSE))),AF46="",AG46&lt;&gt;""),ROUND((VLOOKUP(AE46,Y6:AC105,5,FALSE)-AI46)/1000,3),IF(AND(NOT(ISNA(VLOOKUP(AE46,AE6:AI45,5,FALSE))),AF46="",AG46&lt;&gt;""),ROUND((VLOOKUP(AE46,AE6:AI45,5,FALSE)-AI46)/1000,3),""))))))</f>
        <v/>
      </c>
      <c r="AK46" s="64">
        <f>IF(AK45="","",AK45+1)</f>
        <v>640</v>
      </c>
      <c r="AL46" s="43"/>
      <c r="AM46" s="43"/>
      <c r="AN46" s="17" t="str">
        <f>IF(AND(AL46&lt;&gt;"",AM46&lt;&gt;""),ROUND(AL46,3)+ROUND(AN45,3)-ROUND(AM46,3),IF(AND(EXACT(UPPER(AK46),"TBM"),AL46&lt;&gt;""),ROUND(AL46,3),IF(AL46="",AN45,IF(ISNA(VLOOKUP(AK46,A6:E105,5,FALSE)),IF(ISNA(VLOOKUP(AK46,G6:K105,5,FALSE)),IF(ISNA(VLOOKUP(AK46,M6:Q105,5,FALSE)),IF(ISNA(VLOOKUP(AK46,S6:W105,5,FALSE)),IF(ISNA(VLOOKUP(AK46,Y6:AC105,5,FALSE)),IF(ISNA(VLOOKUP(AK46,AE6:AI105,5,FALSE)),IF(ISNA(VLOOKUP(AK46,AK6:AO45,5,FALSE)),"",ROUND(VLOOKUP(AK46,AK6:AO45,5,FALSE),0)/1000+ROUND(AL46,3)),ROUND(VLOOKUP(AK46,AE6:AI105,5,FALSE),0)/1000+ROUND(AL46,3)),ROUND(VLOOKUP(AK46,Y6:AC105,5,FALSE),0)/1000+ROUND(AL46,3)),ROUND(VLOOKUP(AK46,S6:W105,5,FALSE),0)/1000+ROUND(AL46,3)),ROUND(VLOOKUP(AK46,M6:Q105,5,FALSE),0)/1000+ROUND(AL46,3)),ROUND(VLOOKUP(AK46,G6:K105,5,FALSE),0)/1000+ROUND(AL46,3)),ROUND(VLOOKUP(AK46,A6:E105,5,FALSE),0)/1000+ROUND(AL46,3)))))</f>
        <v/>
      </c>
      <c r="AO46" s="18" t="str">
        <f>IF(OR(NOT(EXACT(UPPER(AK46),"TBM")),AL46=""),IF(AND(AL46&lt;&gt;"",AM46="",AN46&lt;&gt;""),"",IF(AND(AL46="",AM46&lt;&gt;"",AN46&lt;&gt;""),ROUND(ROUND(AN46,3)-ROUND(AM46,3),3)*1000,IF(AND(AL46&lt;&gt;"",AM46&lt;&gt;"",AN46&lt;&gt;""),ROUND(ROUND(AN45,3)-ROUND(AM46,3),3)*1000,""))),"")</f>
        <v/>
      </c>
      <c r="AP46" s="44" t="str">
        <f>IF(AND(NOT(ISNA(VLOOKUP(AK46,A6:E105,5,FALSE))),AL46="",AM46&lt;&gt;""),ROUND((VLOOKUP(AK46,A6:E105,5,FALSE)-AO46)/1000,3),IF(AND(NOT(ISNA(VLOOKUP(AK46,G6:K105,5,FALSE))),AL46="",AM46&lt;&gt;""),ROUND((VLOOKUP(AK46,G6:K105,5,FALSE)-AO46)/1000,3),IF(AND(NOT(ISNA(VLOOKUP(AK46,M6:Q105,5,FALSE))),AL46="",AM46&lt;&gt;""),ROUND((VLOOKUP(AK46,M6:Q105,5,FALSE)-AO46)/1000,3),IF(AND(NOT(ISNA(VLOOKUP(AK46,S6:W105,5,FALSE))),AL46="",AM46&lt;&gt;""),ROUND((VLOOKUP(AK46,S6:W105,5,FALSE)-AO46)/1000,3),IF(AND(NOT(ISNA(VLOOKUP(AK46,Y6:AC105,5,FALSE))),AL46="",AM46&lt;&gt;""),ROUND((VLOOKUP(AK46,Y6:AC105,5,FALSE)-AO46)/1000,3),IF(AND(NOT(ISNA(VLOOKUP(AK46,AE6:AI105,5,FALSE))),AL46="",AM46&lt;&gt;""),ROUND((VLOOKUP(AK46,AE6:AI105,5,FALSE)-AO46)/1000,3),IF(AND(NOT(ISNA(VLOOKUP(AK46,AK6:AO45,5,FALSE))),AL46="",AM46&lt;&gt;""),ROUND((VLOOKUP(AK46,AK6:AO45,5,FALSE)-AO46)/1000,3),"")))))))</f>
        <v/>
      </c>
      <c r="AQ46" s="64">
        <f>IF(AQ45="","",AQ45+1)</f>
        <v>740</v>
      </c>
      <c r="AR46" s="43"/>
      <c r="AS46" s="43"/>
      <c r="AT46" s="17" t="str">
        <f>IF(AND(AR46&lt;&gt;"",AS46&lt;&gt;""),ROUND(AR46,3)+ROUND(AT45,3)-ROUND(AS46,3),IF(AND(EXACT(UPPER(AQ46),"TBM"),AR46&lt;&gt;""),ROUND(AR46,3),IF(AR46="",AT45,IF(ISNA(VLOOKUP(AQ46,A6:E105,5,FALSE)),IF(ISNA(VLOOKUP(AQ46,G6:K105,5,FALSE)),IF(ISNA(VLOOKUP(AQ46,M6:Q105,5,FALSE)),IF(ISNA(VLOOKUP(AQ46,S6:W105,5,FALSE)),IF(ISNA(VLOOKUP(AQ46,Y6:AC105,5,FALSE)),IF(ISNA(VLOOKUP(AQ46,AE6:AI105,5,FALSE)),IF(ISNA(VLOOKUP(AQ46,AK6:AO105,5,FALSE)),IF(ISNA(VLOOKUP(AQ46,AQ6:AU45,5,FALSE)),"",ROUND(VLOOKUP(AQ46,AQ6:AU45,5,FALSE),0)/1000+ROUND(AR46,3)),ROUND(VLOOKUP(AQ46,AK6:AO105,5,FALSE),0)/1000+ROUND(AR46,3)),ROUND(VLOOKUP(AQ46,AE6:AI105,5,FALSE),0)/1000+ROUND(AR46,3)),ROUND(VLOOKUP(AQ46,Y6:AC105,5,FALSE),0)/1000+ROUND(AR46,3)),ROUND(VLOOKUP(AQ46,S6:W105,5,FALSE),0)/1000+ROUND(AR46,3)),ROUND(VLOOKUP(AQ46,M6:Q105,5,FALSE),0)/1000+ROUND(AR46,3)),ROUND(VLOOKUP(AQ46,G6:K105,5,FALSE),0)/1000+ROUND(AR46,3)),ROUND(VLOOKUP(AQ46,A6:E105,5,FALSE),0)/1000+ROUND(AR46,3)))))</f>
        <v/>
      </c>
      <c r="AU46" s="18" t="str">
        <f>IF(OR(NOT(EXACT(UPPER(AQ46),"TBM")),AR46=""),IF(AND(AR46&lt;&gt;"",AS46="",AT46&lt;&gt;""),"",IF(AND(AR46="",AS46&lt;&gt;"",AT46&lt;&gt;""),ROUND(ROUND(AT46,3)-ROUND(AS46,3),3)*1000,IF(AND(AR46&lt;&gt;"",AS46&lt;&gt;"",AT46&lt;&gt;""),ROUND(ROUND(AT45,3)-ROUND(AS46,3),3)*1000,""))),"")</f>
        <v/>
      </c>
      <c r="AV46" s="44" t="str">
        <f>IF(AND(NOT(ISNA(VLOOKUP(AQ46,A6:E105,5,FALSE))),AR46="",AS46&lt;&gt;""),ROUND((VLOOKUP(AQ46,A6:E105,5,FALSE)-AU46)/1000,3),IF(AND(NOT(ISNA(VLOOKUP(AQ46,G6:K105,5,FALSE))),AR46="",AS46&lt;&gt;""),ROUND((VLOOKUP(AQ46,G6:K105,5,FALSE)-AU46)/1000,3),IF(AND(NOT(ISNA(VLOOKUP(AQ46,M6:Q105,5,FALSE))),AR46="",AS46&lt;&gt;""),ROUND((VLOOKUP(AQ46,M6:Q105,5,FALSE)-AU46)/1000,3),IF(AND(NOT(ISNA(VLOOKUP(AQ46,S6:W105,5,FALSE))),AR46="",AS46&lt;&gt;""),ROUND((VLOOKUP(AQ46,S6:W105,5,FALSE)-AU46)/1000,3),IF(AND(NOT(ISNA(VLOOKUP(AQ46,Y6:AC105,5,FALSE))),AR46="",AS46&lt;&gt;""),ROUND((VLOOKUP(AQ46,Y6:AC105,5,FALSE)-AU46)/1000,3),IF(AND(NOT(ISNA(VLOOKUP(AQ46,AE6:AI105,5,FALSE))),AR46="",AS46&lt;&gt;""),ROUND((VLOOKUP(AQ46,AE6:AI105,5,FALSE)-AU46)/1000,3),IF(AND(NOT(ISNA(VLOOKUP(AQ46,AK6:AO105,5,FALSE))),AR46="",AS46&lt;&gt;""),ROUND((VLOOKUP(AQ46,AK6:AO105,5,FALSE)-AU46)/1000,3),IF(AND(NOT(ISNA(VLOOKUP(AQ46,AQ6:AU45,5,FALSE))),AR46="",AS46&lt;&gt;""),ROUND((VLOOKUP(AQ46,AQ6:AU45,5,FALSE)-AU46)/1000,3),""))))))))</f>
        <v/>
      </c>
      <c r="AW46" s="64">
        <f>IF(AW45="","",AW45+1)</f>
        <v>840</v>
      </c>
      <c r="AX46" s="43"/>
      <c r="AY46" s="43"/>
      <c r="AZ46" s="17" t="str">
        <f>IF(AND(AX46&lt;&gt;"",AY46&lt;&gt;""),ROUND(AX46,3)+ROUND(AZ45,3)-ROUND(AY46,3),IF(AND(EXACT(UPPER(AW46),"TBM"),AX46&lt;&gt;""),ROUND(AX46,3),IF(AX46="",AZ45,IF(ISNA(VLOOKUP(AW46,A6:E105,5,FALSE)),IF(ISNA(VLOOKUP(AW46,G6:K105,5,FALSE)),IF(ISNA(VLOOKUP(AW46,M6:Q105,5,FALSE)),IF(ISNA(VLOOKUP(AW46,S6:W105,5,FALSE)),IF(ISNA(VLOOKUP(AW46,Y6:AC105,5,FALSE)),IF(ISNA(VLOOKUP(AW46,AE6:AI105,5,FALSE)),IF(ISNA(VLOOKUP(AW46,AK6:AO105,5,FALSE)),IF(ISNA(VLOOKUP(AW46,AQ6:AU105,5,FALSE)),IF(ISNA(VLOOKUP(AW46,AW6:BA45,5,FALSE)),"",ROUND(VLOOKUP(AW46,AW6:BA45,5,FALSE),0)/1000+ROUND(AX46,3)),ROUND(VLOOKUP(AW46,AQ6:AU105,5,FALSE),0)/1000+ROUND(AX46,3)),ROUND(VLOOKUP(AW46,AK6:AO105,5,FALSE),0)/1000+ROUND(AX46,3)),ROUND(VLOOKUP(AW46,AE6:AI105,5,FALSE),0)/1000+ROUND(AX46,3)),ROUND(VLOOKUP(AW46,Y6:AC105,5,FALSE),0)/1000+ROUND(AX46,3)),ROUND(VLOOKUP(AW46,S6:W105,5,FALSE),0)/1000+ROUND(AX46,3)),ROUND(VLOOKUP(AW46,M6:Q105,5,FALSE),0)/1000+ROUND(AX46,3)),ROUND(VLOOKUP(AW46,G6:K105,5,FALSE),0)/1000+ROUND(AX46,3)),ROUND(VLOOKUP(AW46,A6:E105,5,FALSE),0)/1000+ROUND(AX46,3)))))</f>
        <v/>
      </c>
      <c r="BA46" s="18" t="str">
        <f>IF(OR(NOT(EXACT(UPPER(AW46),"TBM")),AX46=""),IF(AND(AX46&lt;&gt;"",AY46="",AZ46&lt;&gt;""),"",IF(AND(AX46="",AY46&lt;&gt;"",AZ46&lt;&gt;""),ROUND(ROUND(AZ46,3)-ROUND(AY46,3),3)*1000,IF(AND(AX46&lt;&gt;"",AY46&lt;&gt;"",AZ46&lt;&gt;""),ROUND(ROUND(AZ45,3)-ROUND(AY46,3),3)*1000,""))),"")</f>
        <v/>
      </c>
      <c r="BB46" s="44" t="str">
        <f>IF(AND(NOT(ISNA(VLOOKUP(AW46,A6:E105,5,FALSE))),AX46="",AY46&lt;&gt;""),ROUND((VLOOKUP(AW46,A6:E105,5,FALSE)-BA46)/1000,3),IF(AND(NOT(ISNA(VLOOKUP(AW46,G6:K105,5,FALSE))),AX46="",AY46&lt;&gt;""),ROUND((VLOOKUP(AW46,G6:K105,5,FALSE)-BA46)/1000,3),IF(AND(NOT(ISNA(VLOOKUP(AW46,M6:Q105,5,FALSE))),AX46="",AY46&lt;&gt;""),ROUND((VLOOKUP(AW46,M6:Q105,5,FALSE)-BA46)/1000,3),IF(AND(NOT(ISNA(VLOOKUP(AW46,S6:W105,5,FALSE))),AX46="",AY46&lt;&gt;""),ROUND((VLOOKUP(AW46,S6:W105,5,FALSE)-BA46)/1000,3),IF(AND(NOT(ISNA(VLOOKUP(AW46,Y6:AC105,5,FALSE))),AX46="",AY46&lt;&gt;""),ROUND((VLOOKUP(AW46,Y6:AC105,5,FALSE)-BA46)/1000,3),IF(AND(NOT(ISNA(VLOOKUP(AW46,AE6:AI105,5,FALSE))),AX46="",AY46&lt;&gt;""),ROUND((VLOOKUP(AW46,AE6:AI105,5,FALSE)-BA46)/1000,3),IF(AND(NOT(ISNA(VLOOKUP(AW46,AK6:AO105,5,FALSE))),AX46="",AY46&lt;&gt;""),ROUND((VLOOKUP(AW46,AK6:AO105,5,FALSE)-BA46)/1000,3),IF(AND(NOT(ISNA(VLOOKUP(AW46,AQ6:AU105,5,FALSE))),AX46="",AY46&lt;&gt;""),ROUND((VLOOKUP(AW46,AQ6:AU105,5,FALSE)-BA46)/1000,3),IF(AND(NOT(ISNA(VLOOKUP(AW46,AW6:BA45,5,FALSE))),AX46="",AY46&lt;&gt;""),ROUND((VLOOKUP(AW46,AW6:BA45,5,FALSE)-BA46)/1000,3),"")))))))))</f>
        <v/>
      </c>
      <c r="BC46" s="64">
        <f>IF(BC45="","",BC45+1)</f>
        <v>940</v>
      </c>
      <c r="BD46" s="43"/>
      <c r="BE46" s="43"/>
      <c r="BF46" s="17" t="str">
        <f>IF(AND(BD46&lt;&gt;"",BE46&lt;&gt;""),ROUND(BD46,3)+ROUND(BF45,3)-ROUND(BE46,3),IF(AND(EXACT(UPPER(BC46),"TBM"),BD46&lt;&gt;""),ROUND(BD46,3),IF(BD46="",BF45,IF(ISNA(VLOOKUP(BC46,A6:E105,5,FALSE)),IF(ISNA(VLOOKUP(BC46,G6:K105,5,FALSE)),IF(ISNA(VLOOKUP(BC46,M6:Q105,5,FALSE)),IF(ISNA(VLOOKUP(BC46,S6:W105,5,FALSE)),IF(ISNA(VLOOKUP(BC46,Y6:AC105,5,FALSE)),IF(ISNA(VLOOKUP(BC46,AE6:AI105,5,FALSE)),IF(ISNA(VLOOKUP(BC46,AK6:AO105,5,FALSE)),IF(ISNA(VLOOKUP(BC46,AQ6:AU105,5,FALSE)),IF(ISNA(VLOOKUP(BC46,AW6:BA105,5,FALSE)),IF(ISNA(VLOOKUP(BC46,BC6:BG45,5,FALSE)),"",ROUND(VLOOKUP(BC46,BC6:BG45,5,FALSE),0)/1000+ROUND(BD46,3)),ROUND(VLOOKUP(BC46,AW6:BA105,5,FALSE),0)/1000+ROUND(BD46,3)),ROUND(VLOOKUP(BC46,AQ6:AU105,5,FALSE),0)/1000+ROUND(BD46,3)),ROUND(VLOOKUP(BC46,AK6:AO105,5,FALSE),0)/1000+ROUND(BD46,3)),ROUND(VLOOKUP(BC46,AE6:AI105,5,FALSE),0)/1000+ROUND(BD46,3)),ROUND(VLOOKUP(BC46,Y6:AC105,5,FALSE),0)/1000+ROUND(BD46,3)),ROUND(VLOOKUP(BC46,S6:W105,5,FALSE),0)/1000+ROUND(BD46,3)),ROUND(VLOOKUP(BC46,M6:Q105,5,FALSE),0)/1000+ROUND(BD46,3)),ROUND(VLOOKUP(BC46,G6:K105,5,FALSE),0)/1000+ROUND(BD46,3)),ROUND(VLOOKUP(BC46,A6:E105,5,FALSE),0)/1000+ROUND(BD46,3)))))</f>
        <v/>
      </c>
      <c r="BG46" s="18" t="str">
        <f>IF(OR(NOT(EXACT(UPPER(BC46),"TBM")),BD46=""),IF(AND(BD46&lt;&gt;"",BE46="",BF46&lt;&gt;""),"",IF(AND(BD46="",BE46&lt;&gt;"",BF46&lt;&gt;""),ROUND(ROUND(BF46,3)-ROUND(BE46,3),3)*1000,IF(AND(BD46&lt;&gt;"",BE46&lt;&gt;"",BF46&lt;&gt;""),ROUND(ROUND(BF45,3)-ROUND(BE46,3),3)*1000,""))),"")</f>
        <v/>
      </c>
      <c r="BH46" s="44" t="str">
        <f>IF(AND(NOT(ISNA(VLOOKUP(BC46,A6:E105,5,FALSE))),BD46="",BE46&lt;&gt;""),ROUND((VLOOKUP(BC46,A6:E105,5,FALSE)-BG46)/1000,3),IF(AND(NOT(ISNA(VLOOKUP(BC46,G6:K105,5,FALSE))),BD46="",BE46&lt;&gt;""),ROUND((VLOOKUP(BC46,G6:K105,5,FALSE)-BG46)/1000,3),IF(AND(NOT(ISNA(VLOOKUP(BC46,M6:Q105,5,FALSE))),BD46="",BE46&lt;&gt;""),ROUND((VLOOKUP(BC46,M6:Q105,5,FALSE)-BG46)/1000,3),IF(AND(NOT(ISNA(VLOOKUP(BC46,S6:W105,5,FALSE))),BD46="",BE46&lt;&gt;""),ROUND((VLOOKUP(BC46,S6:W105,5,FALSE)-BG46)/1000,3),IF(AND(NOT(ISNA(VLOOKUP(BC46,Y6:AC105,5,FALSE))),BD46="",BE46&lt;&gt;""),ROUND((VLOOKUP(BC46,Y6:AC105,5,FALSE)-BG46)/1000,3),IF(AND(NOT(ISNA(VLOOKUP(BC46,AE6:AI105,5,FALSE))),BD46="",BE46&lt;&gt;""),ROUND((VLOOKUP(BC46,AE6:AI105,5,FALSE)-BG46)/1000,3),IF(AND(NOT(ISNA(VLOOKUP(BC46,AK6:AO105,5,FALSE))),BD46="",BE46&lt;&gt;""),ROUND((VLOOKUP(BC46,AK6:AO105,5,FALSE)-BG46)/1000,3),IF(AND(NOT(ISNA(VLOOKUP(BC46,AQ6:AU105,5,FALSE))),BD46="",BE46&lt;&gt;""),ROUND((VLOOKUP(BC46,AQ6:AU105,5,FALSE)-BG46)/1000,3),IF(AND(NOT(ISNA(VLOOKUP(BC46,AW6:BA105,5,FALSE))),BD46="",BE46&lt;&gt;""),ROUND((VLOOKUP(BC46,AW6:BA105,5,FALSE)-BG46)/1000,3),IF(AND(NOT(ISNA(VLOOKUP(BC46,BC6:BG45,5,FALSE))),BD46="",BE46&lt;&gt;""),ROUND((VLOOKUP(BC46,BC6:BG45,5,FALSE)-BG46)/1000,3),""))))))))))</f>
        <v/>
      </c>
    </row>
    <row r="47" spans="1:60" x14ac:dyDescent="0.25">
      <c r="A47" s="19">
        <f t="shared" si="3"/>
        <v>41</v>
      </c>
      <c r="B47" s="41"/>
      <c r="C47" s="39"/>
      <c r="D47" s="15" t="str">
        <f>IF(AND(B47&lt;&gt;"",C47&lt;&gt;""),ROUND(B47,3)+ROUND(D46,3)-ROUND(C47,3),IF(AND(EXACT(UPPER(A47),"TBM"),B47&lt;&gt;""),ROUND(B47,3),IF(B47="",D46,IF(ISNA(VLOOKUP(A47,A6:E46,5,FALSE)),"",ROUND(VLOOKUP(A47,A6:E46,5,FALSE),0)/1000+ROUND(B47,3)))))</f>
        <v/>
      </c>
      <c r="E47" s="21" t="str">
        <f t="shared" si="4"/>
        <v/>
      </c>
      <c r="F47" s="45" t="str">
        <f>IF(AND(NOT(ISNA(VLOOKUP(A47,A6:E46,5,FALSE))),B47="",C47&lt;&gt;""),ROUND((VLOOKUP(A47,A6:E46,5,FALSE)-E47)/1000,3),"")</f>
        <v/>
      </c>
      <c r="G47" s="19">
        <f t="shared" si="1"/>
        <v>141</v>
      </c>
      <c r="H47" s="39"/>
      <c r="I47" s="39"/>
      <c r="J47" s="15" t="str">
        <f>IF(AND(H47&lt;&gt;"",I47&lt;&gt;""),ROUND(H47,3)+ROUND(J46,3)-ROUND(I47,3),IF(AND(EXACT(UPPER(G47),"TBM"),H47&lt;&gt;""),ROUND(H47,3),IF(H47="",J46,IF(ISNA(VLOOKUP(G47,A6:E105,5,FALSE)),IF(ISNA(VLOOKUP(G47,G6:K46,5,FALSE)),"",ROUND(VLOOKUP(G47,G6:K46,5,FALSE),0)/1000+ROUND(H47,3)),ROUND(VLOOKUP(G47,A6:E105,5,FALSE),0)/1000+ROUND(H47,3)))))</f>
        <v/>
      </c>
      <c r="K47" s="18" t="str">
        <f t="shared" si="5"/>
        <v/>
      </c>
      <c r="L47" s="45" t="str">
        <f>IF(AND(NOT(ISNA(VLOOKUP(G47,A6:E105,5,FALSE))),H47="",I47&lt;&gt;""),ROUND((VLOOKUP(G47,A6:E105,5,FALSE)-K47)/1000,3),IF(AND(NOT(ISNA(VLOOKUP(G47,G6:K46,5,FALSE))),H47="",I47&lt;&gt;""),ROUND((VLOOKUP(G47,G6:K46,5,FALSE)-K47)/1000,3),""))</f>
        <v/>
      </c>
      <c r="M47" s="19">
        <f>IF(M46="","",M46+1)</f>
        <v>241</v>
      </c>
      <c r="N47" s="39"/>
      <c r="O47" s="39"/>
      <c r="P47" s="15" t="str">
        <f>IF(AND(N47&lt;&gt;"",O47&lt;&gt;""),ROUND(N47,3)+ROUND(P46,3)-ROUND(O47,3),IF(AND(EXACT(UPPER(M47),"TBM"),N47&lt;&gt;""),ROUND(N47,3),IF(N47="",P46,IF(ISNA(VLOOKUP(M47,A6:E105,5,FALSE)),IF(ISNA(VLOOKUP(M47,G6:K105,5,FALSE)),IF(ISNA(VLOOKUP(M47,M6:Q46,5,FALSE)),"",ROUND(VLOOKUP(M47,M6:Q46,5,FALSE),0)/1000+ROUND(N47,3)),ROUND(VLOOKUP(M47,G6:K105,5,FALSE),0)/1000+ROUND(N47,3)),ROUND(VLOOKUP(M47,A6:E105,5,FALSE),0)/1000+ROUND(N47,3)))))</f>
        <v/>
      </c>
      <c r="Q47" s="18" t="str">
        <f>IF(OR(NOT(EXACT(UPPER(M47),"TBM")),N47=""),IF(AND(N47&lt;&gt;"",O47="",P47&lt;&gt;""),"",IF(AND(N47="",O47&lt;&gt;"",P47&lt;&gt;""),ROUND(ROUND(P47,3)-ROUND(O47,3),3)*1000,IF(AND(N47&lt;&gt;"",O47&lt;&gt;"",P47&lt;&gt;""),ROUND(ROUND(P46,3)-ROUND(O47,3),3)*1000,""))),"")</f>
        <v/>
      </c>
      <c r="R47" s="45" t="str">
        <f>IF(AND(NOT(ISNA(VLOOKUP(M47,A6:E105,5,FALSE))),N47="",O47&lt;&gt;""),ROUND((VLOOKUP(M47,A6:E105,5,FALSE)-Q47)/1000,3),IF(AND(NOT(ISNA(VLOOKUP(M47,G6:K105,5,FALSE))),N47="",O47&lt;&gt;""),ROUND((VLOOKUP(M47,G6:K105,5,FALSE)-Q47)/1000,3),IF(AND(NOT(ISNA(VLOOKUP(M47,M6:Q46,5,FALSE))),N47="",O47&lt;&gt;""),ROUND((VLOOKUP(M47,M6:Q46,5,FALSE)-Q47)/1000,3),"")))</f>
        <v/>
      </c>
      <c r="S47" s="19">
        <f>IF(S46="","",S46+1)</f>
        <v>341</v>
      </c>
      <c r="T47" s="39"/>
      <c r="U47" s="39"/>
      <c r="V47" s="15" t="str">
        <f>IF(AND(T47&lt;&gt;"",U47&lt;&gt;""),ROUND(T47,3)+ROUND(V46,3)-ROUND(U47,3),IF(AND(EXACT(UPPER(S47),"TBM"),T47&lt;&gt;""),ROUND(T47,3),IF(T47="",V46,IF(ISNA(VLOOKUP(S47,A6:E105,5,FALSE)),IF(ISNA(VLOOKUP(S47,G6:K105,5,FALSE)),IF(ISNA(VLOOKUP(S47,M6:Q105,5,FALSE)),IF(ISNA(VLOOKUP(S47,S6:W46,5,FALSE)),"",ROUND(VLOOKUP(S47,S6:W46,5,FALSE),0)/1000+ROUND(T47,3)),ROUND(VLOOKUP(S47,M6:Q105,5,FALSE),0)/1000+ROUND(T47,3)),ROUND(VLOOKUP(S47,G6:K105,5,FALSE),0)/1000+ROUND(T47,3)),ROUND(VLOOKUP(S47,A6:E105,5,FALSE),0)/1000+ROUND(T47,3)))))</f>
        <v/>
      </c>
      <c r="W47" s="18" t="str">
        <f>IF(OR(NOT(EXACT(UPPER(S47),"TBM")),T47=""),IF(AND(T47&lt;&gt;"",U47="",V47&lt;&gt;""),"",IF(AND(T47="",U47&lt;&gt;"",V47&lt;&gt;""),ROUND(ROUND(V47,3)-ROUND(U47,3),3)*1000,IF(AND(T47&lt;&gt;"",U47&lt;&gt;"",V47&lt;&gt;""),ROUND(ROUND(V46,3)-ROUND(U47,3),3)*1000,""))),"")</f>
        <v/>
      </c>
      <c r="X47" s="45" t="str">
        <f>IF(AND(NOT(ISNA(VLOOKUP(S47,A6:E105,5,FALSE))),T47="",U47&lt;&gt;""),ROUND((VLOOKUP(S47,A6:E105,5,FALSE)-W47)/1000,3),IF(AND(NOT(ISNA(VLOOKUP(S47,G6:K105,5,FALSE))),T47="",U47&lt;&gt;""),ROUND((VLOOKUP(S47,G6:K105,5,FALSE)-W47)/1000,3),IF(AND(NOT(ISNA(VLOOKUP(S47,M6:Q105,5,FALSE))),T47="",U47&lt;&gt;""),ROUND((VLOOKUP(S47,M6:Q105,5,FALSE)-W47)/1000,3),IF(AND(NOT(ISNA(VLOOKUP(S47,S6:W46,5,FALSE))),T47="",U47&lt;&gt;""),ROUND((VLOOKUP(S47,S6:W46,5,FALSE)-W47)/1000,3),""))))</f>
        <v/>
      </c>
      <c r="Y47" s="19">
        <f>IF(Y46="","",Y46+1)</f>
        <v>441</v>
      </c>
      <c r="Z47" s="39"/>
      <c r="AA47" s="39"/>
      <c r="AB47" s="15" t="str">
        <f>IF(AND(Z47&lt;&gt;"",AA47&lt;&gt;""),ROUND(Z47,3)+ROUND(AB46,3)-ROUND(AA47,3),IF(AND(EXACT(UPPER(Y47),"TBM"),Z47&lt;&gt;""),ROUND(Z47,3),IF(Z47="",AB46,IF(ISNA(VLOOKUP(Y47,A6:E105,5,FALSE)),IF(ISNA(VLOOKUP(Y47,G6:K105,5,FALSE)),IF(ISNA(VLOOKUP(Y47,M6:Q105,5,FALSE)),IF(ISNA(VLOOKUP(Y47,S6:W105,5,FALSE)),IF(ISNA(VLOOKUP(Y47,Y6:AC46,5,FALSE)),"",ROUND(VLOOKUP(Y47,Y6:AC46,5,FALSE),0)/1000+ROUND(Z47,3)),ROUND(VLOOKUP(Y47,S6:W105,5,FALSE),0)/1000+ROUND(Z47,3)),ROUND(VLOOKUP(Y47,M6:Q105,5,FALSE),0)/1000+ROUND(Z47,3)),ROUND(VLOOKUP(Y47,G6:K105,5,FALSE),0)/1000+ROUND(Z47,3)),ROUND(VLOOKUP(Y47,A6:E105,5,FALSE),0)/1000+ROUND(Z47,3)))))</f>
        <v/>
      </c>
      <c r="AC47" s="18" t="str">
        <f>IF(OR(NOT(EXACT(UPPER(Y47),"TBM")),Z47=""),IF(AND(Z47&lt;&gt;"",AA47="",AB47&lt;&gt;""),"",IF(AND(Z47="",AA47&lt;&gt;"",AB47&lt;&gt;""),ROUND(ROUND(AB47,3)-ROUND(AA47,3),3)*1000,IF(AND(Z47&lt;&gt;"",AA47&lt;&gt;"",AB47&lt;&gt;""),ROUND(ROUND(AB46,3)-ROUND(AA47,3),3)*1000,""))),"")</f>
        <v/>
      </c>
      <c r="AD47" s="45" t="str">
        <f>IF(AND(NOT(ISNA(VLOOKUP(Y47,A6:E105,5,FALSE))),Z47="",AA47&lt;&gt;""),ROUND((VLOOKUP(Y47,A6:E105,5,FALSE)-AC47)/1000,3),IF(AND(NOT(ISNA(VLOOKUP(Y47,G6:K105,5,FALSE))),Z47="",AA47&lt;&gt;""),ROUND((VLOOKUP(Y47,G6:K105,5,FALSE)-AC47)/1000,3),IF(AND(NOT(ISNA(VLOOKUP(Y47,M6:Q105,5,FALSE))),Z47="",AA47&lt;&gt;""),ROUND((VLOOKUP(Y47,M6:Q105,5,FALSE)-AC47)/1000,3),IF(AND(NOT(ISNA(VLOOKUP(Y47,S6:W105,5,FALSE))),Z47="",AA47&lt;&gt;""),ROUND((VLOOKUP(Y47,S6:W105,5,FALSE)-AC47)/1000,3),IF(AND(NOT(ISNA(VLOOKUP(Y47,Y6:AC46,5,FALSE))),Z47="",AA47&lt;&gt;""),ROUND((VLOOKUP(Y47,Y6:AC46,5,FALSE)-AC47)/1000,3),"")))))</f>
        <v/>
      </c>
      <c r="AE47" s="19">
        <f>IF(AE46="","",AE46+1)</f>
        <v>541</v>
      </c>
      <c r="AF47" s="39"/>
      <c r="AG47" s="39"/>
      <c r="AH47" s="15" t="str">
        <f>IF(AND(AF47&lt;&gt;"",AG47&lt;&gt;""),ROUND(AF47,3)+ROUND(AH46,3)-ROUND(AG47,3),IF(AND(EXACT(UPPER(AE47),"TBM"),AF47&lt;&gt;""),ROUND(AF47,3),IF(AF47="",AH46,IF(ISNA(VLOOKUP(AE47,A6:E105,5,FALSE)),IF(ISNA(VLOOKUP(AE47,G6:K105,5,FALSE)),IF(ISNA(VLOOKUP(AE47,M6:Q105,5,FALSE)),IF(ISNA(VLOOKUP(AE47,S6:W105,5,FALSE)),IF(ISNA(VLOOKUP(AE47,Y6:AC105,5,FALSE)),IF(ISNA(VLOOKUP(AE47,AE6:AI46,5,FALSE)),"",ROUND(VLOOKUP(AE47,AE6:AI46,5,FALSE),0)/1000+ROUND(AF47,3)),ROUND(VLOOKUP(AE47,Y6:AC105,5,FALSE),0)/1000+ROUND(AF47,3)),ROUND(VLOOKUP(AE47,S6:W105,5,FALSE),0)/1000+ROUND(AF47,3)),ROUND(VLOOKUP(AE47,M6:Q105,5,FALSE),0)/1000+ROUND(AF47,3)),ROUND(VLOOKUP(AE47,G6:K105,5,FALSE),0)/1000+ROUND(AF47,3)),ROUND(VLOOKUP(AE47,A6:E105,5,FALSE),0)/1000+ROUND(AF47,3)))))</f>
        <v/>
      </c>
      <c r="AI47" s="18" t="str">
        <f>IF(OR(NOT(EXACT(UPPER(AE47),"TBM")),AF47=""),IF(AND(AF47&lt;&gt;"",AG47="",AH47&lt;&gt;""),"",IF(AND(AF47="",AG47&lt;&gt;"",AH47&lt;&gt;""),ROUND(ROUND(AH47,3)-ROUND(AG47,3),3)*1000,IF(AND(AF47&lt;&gt;"",AG47&lt;&gt;"",AH47&lt;&gt;""),ROUND(ROUND(AH46,3)-ROUND(AG47,3),3)*1000,""))),"")</f>
        <v/>
      </c>
      <c r="AJ47" s="45" t="str">
        <f>IF(AND(NOT(ISNA(VLOOKUP(AE47,A6:E105,5,FALSE))),AF47="",AG47&lt;&gt;""),ROUND((VLOOKUP(AE47,A6:E105,5,FALSE)-AI47)/1000,3),IF(AND(NOT(ISNA(VLOOKUP(AE47,G6:K105,5,FALSE))),AF47="",AG47&lt;&gt;""),ROUND((VLOOKUP(AE47,G6:K105,5,FALSE)-AI47)/1000,3),IF(AND(NOT(ISNA(VLOOKUP(AE47,M6:Q105,5,FALSE))),AF47="",AG47&lt;&gt;""),ROUND((VLOOKUP(AE47,M6:Q105,5,FALSE)-AI47)/1000,3),IF(AND(NOT(ISNA(VLOOKUP(AE47,S6:W105,5,FALSE))),AF47="",AG47&lt;&gt;""),ROUND((VLOOKUP(AE47,S6:W105,5,FALSE)-AI47)/1000,3),IF(AND(NOT(ISNA(VLOOKUP(AE47,Y6:AC105,5,FALSE))),AF47="",AG47&lt;&gt;""),ROUND((VLOOKUP(AE47,Y6:AC105,5,FALSE)-AI47)/1000,3),IF(AND(NOT(ISNA(VLOOKUP(AE47,AE6:AI46,5,FALSE))),AF47="",AG47&lt;&gt;""),ROUND((VLOOKUP(AE47,AE6:AI46,5,FALSE)-AI47)/1000,3),""))))))</f>
        <v/>
      </c>
      <c r="AK47" s="19">
        <f>IF(AK46="","",AK46+1)</f>
        <v>641</v>
      </c>
      <c r="AL47" s="39"/>
      <c r="AM47" s="39"/>
      <c r="AN47" s="15" t="str">
        <f>IF(AND(AL47&lt;&gt;"",AM47&lt;&gt;""),ROUND(AL47,3)+ROUND(AN46,3)-ROUND(AM47,3),IF(AND(EXACT(UPPER(AK47),"TBM"),AL47&lt;&gt;""),ROUND(AL47,3),IF(AL47="",AN46,IF(ISNA(VLOOKUP(AK47,A6:E105,5,FALSE)),IF(ISNA(VLOOKUP(AK47,G6:K105,5,FALSE)),IF(ISNA(VLOOKUP(AK47,M6:Q105,5,FALSE)),IF(ISNA(VLOOKUP(AK47,S6:W105,5,FALSE)),IF(ISNA(VLOOKUP(AK47,Y6:AC105,5,FALSE)),IF(ISNA(VLOOKUP(AK47,AE6:AI105,5,FALSE)),IF(ISNA(VLOOKUP(AK47,AK6:AO46,5,FALSE)),"",ROUND(VLOOKUP(AK47,AK6:AO46,5,FALSE),0)/1000+ROUND(AL47,3)),ROUND(VLOOKUP(AK47,AE6:AI105,5,FALSE),0)/1000+ROUND(AL47,3)),ROUND(VLOOKUP(AK47,Y6:AC105,5,FALSE),0)/1000+ROUND(AL47,3)),ROUND(VLOOKUP(AK47,S6:W105,5,FALSE),0)/1000+ROUND(AL47,3)),ROUND(VLOOKUP(AK47,M6:Q105,5,FALSE),0)/1000+ROUND(AL47,3)),ROUND(VLOOKUP(AK47,G6:K105,5,FALSE),0)/1000+ROUND(AL47,3)),ROUND(VLOOKUP(AK47,A6:E105,5,FALSE),0)/1000+ROUND(AL47,3)))))</f>
        <v/>
      </c>
      <c r="AO47" s="18" t="str">
        <f>IF(OR(NOT(EXACT(UPPER(AK47),"TBM")),AL47=""),IF(AND(AL47&lt;&gt;"",AM47="",AN47&lt;&gt;""),"",IF(AND(AL47="",AM47&lt;&gt;"",AN47&lt;&gt;""),ROUND(ROUND(AN47,3)-ROUND(AM47,3),3)*1000,IF(AND(AL47&lt;&gt;"",AM47&lt;&gt;"",AN47&lt;&gt;""),ROUND(ROUND(AN46,3)-ROUND(AM47,3),3)*1000,""))),"")</f>
        <v/>
      </c>
      <c r="AP47" s="45" t="str">
        <f>IF(AND(NOT(ISNA(VLOOKUP(AK47,A6:E105,5,FALSE))),AL47="",AM47&lt;&gt;""),ROUND((VLOOKUP(AK47,A6:E105,5,FALSE)-AO47)/1000,3),IF(AND(NOT(ISNA(VLOOKUP(AK47,G6:K105,5,FALSE))),AL47="",AM47&lt;&gt;""),ROUND((VLOOKUP(AK47,G6:K105,5,FALSE)-AO47)/1000,3),IF(AND(NOT(ISNA(VLOOKUP(AK47,M6:Q105,5,FALSE))),AL47="",AM47&lt;&gt;""),ROUND((VLOOKUP(AK47,M6:Q105,5,FALSE)-AO47)/1000,3),IF(AND(NOT(ISNA(VLOOKUP(AK47,S6:W105,5,FALSE))),AL47="",AM47&lt;&gt;""),ROUND((VLOOKUP(AK47,S6:W105,5,FALSE)-AO47)/1000,3),IF(AND(NOT(ISNA(VLOOKUP(AK47,Y6:AC105,5,FALSE))),AL47="",AM47&lt;&gt;""),ROUND((VLOOKUP(AK47,Y6:AC105,5,FALSE)-AO47)/1000,3),IF(AND(NOT(ISNA(VLOOKUP(AK47,AE6:AI105,5,FALSE))),AL47="",AM47&lt;&gt;""),ROUND((VLOOKUP(AK47,AE6:AI105,5,FALSE)-AO47)/1000,3),IF(AND(NOT(ISNA(VLOOKUP(AK47,AK6:AO46,5,FALSE))),AL47="",AM47&lt;&gt;""),ROUND((VLOOKUP(AK47,AK6:AO46,5,FALSE)-AO47)/1000,3),"")))))))</f>
        <v/>
      </c>
      <c r="AQ47" s="19">
        <f>IF(AQ46="","",AQ46+1)</f>
        <v>741</v>
      </c>
      <c r="AR47" s="39"/>
      <c r="AS47" s="39"/>
      <c r="AT47" s="15" t="str">
        <f>IF(AND(AR47&lt;&gt;"",AS47&lt;&gt;""),ROUND(AR47,3)+ROUND(AT46,3)-ROUND(AS47,3),IF(AND(EXACT(UPPER(AQ47),"TBM"),AR47&lt;&gt;""),ROUND(AR47,3),IF(AR47="",AT46,IF(ISNA(VLOOKUP(AQ47,A6:E105,5,FALSE)),IF(ISNA(VLOOKUP(AQ47,G6:K105,5,FALSE)),IF(ISNA(VLOOKUP(AQ47,M6:Q105,5,FALSE)),IF(ISNA(VLOOKUP(AQ47,S6:W105,5,FALSE)),IF(ISNA(VLOOKUP(AQ47,Y6:AC105,5,FALSE)),IF(ISNA(VLOOKUP(AQ47,AE6:AI105,5,FALSE)),IF(ISNA(VLOOKUP(AQ47,AK6:AO105,5,FALSE)),IF(ISNA(VLOOKUP(AQ47,AQ6:AU46,5,FALSE)),"",ROUND(VLOOKUP(AQ47,AQ6:AU46,5,FALSE),0)/1000+ROUND(AR47,3)),ROUND(VLOOKUP(AQ47,AK6:AO105,5,FALSE),0)/1000+ROUND(AR47,3)),ROUND(VLOOKUP(AQ47,AE6:AI105,5,FALSE),0)/1000+ROUND(AR47,3)),ROUND(VLOOKUP(AQ47,Y6:AC105,5,FALSE),0)/1000+ROUND(AR47,3)),ROUND(VLOOKUP(AQ47,S6:W105,5,FALSE),0)/1000+ROUND(AR47,3)),ROUND(VLOOKUP(AQ47,M6:Q105,5,FALSE),0)/1000+ROUND(AR47,3)),ROUND(VLOOKUP(AQ47,G6:K105,5,FALSE),0)/1000+ROUND(AR47,3)),ROUND(VLOOKUP(AQ47,A6:E105,5,FALSE),0)/1000+ROUND(AR47,3)))))</f>
        <v/>
      </c>
      <c r="AU47" s="18" t="str">
        <f>IF(OR(NOT(EXACT(UPPER(AQ47),"TBM")),AR47=""),IF(AND(AR47&lt;&gt;"",AS47="",AT47&lt;&gt;""),"",IF(AND(AR47="",AS47&lt;&gt;"",AT47&lt;&gt;""),ROUND(ROUND(AT47,3)-ROUND(AS47,3),3)*1000,IF(AND(AR47&lt;&gt;"",AS47&lt;&gt;"",AT47&lt;&gt;""),ROUND(ROUND(AT46,3)-ROUND(AS47,3),3)*1000,""))),"")</f>
        <v/>
      </c>
      <c r="AV47" s="45" t="str">
        <f>IF(AND(NOT(ISNA(VLOOKUP(AQ47,A6:E105,5,FALSE))),AR47="",AS47&lt;&gt;""),ROUND((VLOOKUP(AQ47,A6:E105,5,FALSE)-AU47)/1000,3),IF(AND(NOT(ISNA(VLOOKUP(AQ47,G6:K105,5,FALSE))),AR47="",AS47&lt;&gt;""),ROUND((VLOOKUP(AQ47,G6:K105,5,FALSE)-AU47)/1000,3),IF(AND(NOT(ISNA(VLOOKUP(AQ47,M6:Q105,5,FALSE))),AR47="",AS47&lt;&gt;""),ROUND((VLOOKUP(AQ47,M6:Q105,5,FALSE)-AU47)/1000,3),IF(AND(NOT(ISNA(VLOOKUP(AQ47,S6:W105,5,FALSE))),AR47="",AS47&lt;&gt;""),ROUND((VLOOKUP(AQ47,S6:W105,5,FALSE)-AU47)/1000,3),IF(AND(NOT(ISNA(VLOOKUP(AQ47,Y6:AC105,5,FALSE))),AR47="",AS47&lt;&gt;""),ROUND((VLOOKUP(AQ47,Y6:AC105,5,FALSE)-AU47)/1000,3),IF(AND(NOT(ISNA(VLOOKUP(AQ47,AE6:AI105,5,FALSE))),AR47="",AS47&lt;&gt;""),ROUND((VLOOKUP(AQ47,AE6:AI105,5,FALSE)-AU47)/1000,3),IF(AND(NOT(ISNA(VLOOKUP(AQ47,AK6:AO105,5,FALSE))),AR47="",AS47&lt;&gt;""),ROUND((VLOOKUP(AQ47,AK6:AO105,5,FALSE)-AU47)/1000,3),IF(AND(NOT(ISNA(VLOOKUP(AQ47,AQ6:AU46,5,FALSE))),AR47="",AS47&lt;&gt;""),ROUND((VLOOKUP(AQ47,AQ6:AU46,5,FALSE)-AU47)/1000,3),""))))))))</f>
        <v/>
      </c>
      <c r="AW47" s="19">
        <f>IF(AW46="","",AW46+1)</f>
        <v>841</v>
      </c>
      <c r="AX47" s="39"/>
      <c r="AY47" s="39"/>
      <c r="AZ47" s="15" t="str">
        <f>IF(AND(AX47&lt;&gt;"",AY47&lt;&gt;""),ROUND(AX47,3)+ROUND(AZ46,3)-ROUND(AY47,3),IF(AND(EXACT(UPPER(AW47),"TBM"),AX47&lt;&gt;""),ROUND(AX47,3),IF(AX47="",AZ46,IF(ISNA(VLOOKUP(AW47,A6:E105,5,FALSE)),IF(ISNA(VLOOKUP(AW47,G6:K105,5,FALSE)),IF(ISNA(VLOOKUP(AW47,M6:Q105,5,FALSE)),IF(ISNA(VLOOKUP(AW47,S6:W105,5,FALSE)),IF(ISNA(VLOOKUP(AW47,Y6:AC105,5,FALSE)),IF(ISNA(VLOOKUP(AW47,AE6:AI105,5,FALSE)),IF(ISNA(VLOOKUP(AW47,AK6:AO105,5,FALSE)),IF(ISNA(VLOOKUP(AW47,AQ6:AU105,5,FALSE)),IF(ISNA(VLOOKUP(AW47,AW6:BA46,5,FALSE)),"",ROUND(VLOOKUP(AW47,AW6:BA46,5,FALSE),0)/1000+ROUND(AX47,3)),ROUND(VLOOKUP(AW47,AQ6:AU105,5,FALSE),0)/1000+ROUND(AX47,3)),ROUND(VLOOKUP(AW47,AK6:AO105,5,FALSE),0)/1000+ROUND(AX47,3)),ROUND(VLOOKUP(AW47,AE6:AI105,5,FALSE),0)/1000+ROUND(AX47,3)),ROUND(VLOOKUP(AW47,Y6:AC105,5,FALSE),0)/1000+ROUND(AX47,3)),ROUND(VLOOKUP(AW47,S6:W105,5,FALSE),0)/1000+ROUND(AX47,3)),ROUND(VLOOKUP(AW47,M6:Q105,5,FALSE),0)/1000+ROUND(AX47,3)),ROUND(VLOOKUP(AW47,G6:K105,5,FALSE),0)/1000+ROUND(AX47,3)),ROUND(VLOOKUP(AW47,A6:E105,5,FALSE),0)/1000+ROUND(AX47,3)))))</f>
        <v/>
      </c>
      <c r="BA47" s="18" t="str">
        <f>IF(OR(NOT(EXACT(UPPER(AW47),"TBM")),AX47=""),IF(AND(AX47&lt;&gt;"",AY47="",AZ47&lt;&gt;""),"",IF(AND(AX47="",AY47&lt;&gt;"",AZ47&lt;&gt;""),ROUND(ROUND(AZ47,3)-ROUND(AY47,3),3)*1000,IF(AND(AX47&lt;&gt;"",AY47&lt;&gt;"",AZ47&lt;&gt;""),ROUND(ROUND(AZ46,3)-ROUND(AY47,3),3)*1000,""))),"")</f>
        <v/>
      </c>
      <c r="BB47" s="45" t="str">
        <f>IF(AND(NOT(ISNA(VLOOKUP(AW47,A6:E105,5,FALSE))),AX47="",AY47&lt;&gt;""),ROUND((VLOOKUP(AW47,A6:E105,5,FALSE)-BA47)/1000,3),IF(AND(NOT(ISNA(VLOOKUP(AW47,G6:K105,5,FALSE))),AX47="",AY47&lt;&gt;""),ROUND((VLOOKUP(AW47,G6:K105,5,FALSE)-BA47)/1000,3),IF(AND(NOT(ISNA(VLOOKUP(AW47,M6:Q105,5,FALSE))),AX47="",AY47&lt;&gt;""),ROUND((VLOOKUP(AW47,M6:Q105,5,FALSE)-BA47)/1000,3),IF(AND(NOT(ISNA(VLOOKUP(AW47,S6:W105,5,FALSE))),AX47="",AY47&lt;&gt;""),ROUND((VLOOKUP(AW47,S6:W105,5,FALSE)-BA47)/1000,3),IF(AND(NOT(ISNA(VLOOKUP(AW47,Y6:AC105,5,FALSE))),AX47="",AY47&lt;&gt;""),ROUND((VLOOKUP(AW47,Y6:AC105,5,FALSE)-BA47)/1000,3),IF(AND(NOT(ISNA(VLOOKUP(AW47,AE6:AI105,5,FALSE))),AX47="",AY47&lt;&gt;""),ROUND((VLOOKUP(AW47,AE6:AI105,5,FALSE)-BA47)/1000,3),IF(AND(NOT(ISNA(VLOOKUP(AW47,AK6:AO105,5,FALSE))),AX47="",AY47&lt;&gt;""),ROUND((VLOOKUP(AW47,AK6:AO105,5,FALSE)-BA47)/1000,3),IF(AND(NOT(ISNA(VLOOKUP(AW47,AQ6:AU105,5,FALSE))),AX47="",AY47&lt;&gt;""),ROUND((VLOOKUP(AW47,AQ6:AU105,5,FALSE)-BA47)/1000,3),IF(AND(NOT(ISNA(VLOOKUP(AW47,AW6:BA46,5,FALSE))),AX47="",AY47&lt;&gt;""),ROUND((VLOOKUP(AW47,AW6:BA46,5,FALSE)-BA47)/1000,3),"")))))))))</f>
        <v/>
      </c>
      <c r="BC47" s="19">
        <f>IF(BC46="","",BC46+1)</f>
        <v>941</v>
      </c>
      <c r="BD47" s="39"/>
      <c r="BE47" s="39"/>
      <c r="BF47" s="15" t="str">
        <f>IF(AND(BD47&lt;&gt;"",BE47&lt;&gt;""),ROUND(BD47,3)+ROUND(BF46,3)-ROUND(BE47,3),IF(AND(EXACT(UPPER(BC47),"TBM"),BD47&lt;&gt;""),ROUND(BD47,3),IF(BD47="",BF46,IF(ISNA(VLOOKUP(BC47,A6:E105,5,FALSE)),IF(ISNA(VLOOKUP(BC47,G6:K105,5,FALSE)),IF(ISNA(VLOOKUP(BC47,M6:Q105,5,FALSE)),IF(ISNA(VLOOKUP(BC47,S6:W105,5,FALSE)),IF(ISNA(VLOOKUP(BC47,Y6:AC105,5,FALSE)),IF(ISNA(VLOOKUP(BC47,AE6:AI105,5,FALSE)),IF(ISNA(VLOOKUP(BC47,AK6:AO105,5,FALSE)),IF(ISNA(VLOOKUP(BC47,AQ6:AU105,5,FALSE)),IF(ISNA(VLOOKUP(BC47,AW6:BA105,5,FALSE)),IF(ISNA(VLOOKUP(BC47,BC6:BG46,5,FALSE)),"",ROUND(VLOOKUP(BC47,BC6:BG46,5,FALSE),0)/1000+ROUND(BD47,3)),ROUND(VLOOKUP(BC47,AW6:BA105,5,FALSE),0)/1000+ROUND(BD47,3)),ROUND(VLOOKUP(BC47,AQ6:AU105,5,FALSE),0)/1000+ROUND(BD47,3)),ROUND(VLOOKUP(BC47,AK6:AO105,5,FALSE),0)/1000+ROUND(BD47,3)),ROUND(VLOOKUP(BC47,AE6:AI105,5,FALSE),0)/1000+ROUND(BD47,3)),ROUND(VLOOKUP(BC47,Y6:AC105,5,FALSE),0)/1000+ROUND(BD47,3)),ROUND(VLOOKUP(BC47,S6:W105,5,FALSE),0)/1000+ROUND(BD47,3)),ROUND(VLOOKUP(BC47,M6:Q105,5,FALSE),0)/1000+ROUND(BD47,3)),ROUND(VLOOKUP(BC47,G6:K105,5,FALSE),0)/1000+ROUND(BD47,3)),ROUND(VLOOKUP(BC47,A6:E105,5,FALSE),0)/1000+ROUND(BD47,3)))))</f>
        <v/>
      </c>
      <c r="BG47" s="18" t="str">
        <f>IF(OR(NOT(EXACT(UPPER(BC47),"TBM")),BD47=""),IF(AND(BD47&lt;&gt;"",BE47="",BF47&lt;&gt;""),"",IF(AND(BD47="",BE47&lt;&gt;"",BF47&lt;&gt;""),ROUND(ROUND(BF47,3)-ROUND(BE47,3),3)*1000,IF(AND(BD47&lt;&gt;"",BE47&lt;&gt;"",BF47&lt;&gt;""),ROUND(ROUND(BF46,3)-ROUND(BE47,3),3)*1000,""))),"")</f>
        <v/>
      </c>
      <c r="BH47" s="45" t="str">
        <f>IF(AND(NOT(ISNA(VLOOKUP(BC47,A6:E105,5,FALSE))),BD47="",BE47&lt;&gt;""),ROUND((VLOOKUP(BC47,A6:E105,5,FALSE)-BG47)/1000,3),IF(AND(NOT(ISNA(VLOOKUP(BC47,G6:K105,5,FALSE))),BD47="",BE47&lt;&gt;""),ROUND((VLOOKUP(BC47,G6:K105,5,FALSE)-BG47)/1000,3),IF(AND(NOT(ISNA(VLOOKUP(BC47,M6:Q105,5,FALSE))),BD47="",BE47&lt;&gt;""),ROUND((VLOOKUP(BC47,M6:Q105,5,FALSE)-BG47)/1000,3),IF(AND(NOT(ISNA(VLOOKUP(BC47,S6:W105,5,FALSE))),BD47="",BE47&lt;&gt;""),ROUND((VLOOKUP(BC47,S6:W105,5,FALSE)-BG47)/1000,3),IF(AND(NOT(ISNA(VLOOKUP(BC47,Y6:AC105,5,FALSE))),BD47="",BE47&lt;&gt;""),ROUND((VLOOKUP(BC47,Y6:AC105,5,FALSE)-BG47)/1000,3),IF(AND(NOT(ISNA(VLOOKUP(BC47,AE6:AI105,5,FALSE))),BD47="",BE47&lt;&gt;""),ROUND((VLOOKUP(BC47,AE6:AI105,5,FALSE)-BG47)/1000,3),IF(AND(NOT(ISNA(VLOOKUP(BC47,AK6:AO105,5,FALSE))),BD47="",BE47&lt;&gt;""),ROUND((VLOOKUP(BC47,AK6:AO105,5,FALSE)-BG47)/1000,3),IF(AND(NOT(ISNA(VLOOKUP(BC47,AQ6:AU105,5,FALSE))),BD47="",BE47&lt;&gt;""),ROUND((VLOOKUP(BC47,AQ6:AU105,5,FALSE)-BG47)/1000,3),IF(AND(NOT(ISNA(VLOOKUP(BC47,AW6:BA105,5,FALSE))),BD47="",BE47&lt;&gt;""),ROUND((VLOOKUP(BC47,AW6:BA105,5,FALSE)-BG47)/1000,3),IF(AND(NOT(ISNA(VLOOKUP(BC47,BC6:BG46,5,FALSE))),BD47="",BE47&lt;&gt;""),ROUND((VLOOKUP(BC47,BC6:BG46,5,FALSE)-BG47)/1000,3),""))))))))))</f>
        <v/>
      </c>
    </row>
    <row r="48" spans="1:60" x14ac:dyDescent="0.25">
      <c r="A48" s="19">
        <f t="shared" si="3"/>
        <v>42</v>
      </c>
      <c r="B48" s="42"/>
      <c r="C48" s="43"/>
      <c r="D48" s="15" t="str">
        <f>IF(AND(B48&lt;&gt;"",C48&lt;&gt;""),ROUND(B48,3)+ROUND(D47,3)-ROUND(C48,3),IF(AND(EXACT(UPPER(A48),"TBM"),B48&lt;&gt;""),ROUND(B48,3),IF(B48="",D47,IF(ISNA(VLOOKUP(A48,A6:E47,5,FALSE)),"",ROUND(VLOOKUP(A48,A6:E47,5,FALSE),0)/1000+ROUND(B48,3)))))</f>
        <v/>
      </c>
      <c r="E48" s="22" t="str">
        <f t="shared" si="4"/>
        <v/>
      </c>
      <c r="F48" s="44" t="str">
        <f>IF(AND(NOT(ISNA(VLOOKUP(A48,A6:E47,5,FALSE))),B48="",C48&lt;&gt;""),ROUND((VLOOKUP(A48,A6:E47,5,FALSE)-E48)/1000,3),"")</f>
        <v/>
      </c>
      <c r="G48" s="19">
        <f t="shared" si="1"/>
        <v>142</v>
      </c>
      <c r="H48" s="43"/>
      <c r="I48" s="43"/>
      <c r="J48" s="15" t="str">
        <f>IF(AND(H48&lt;&gt;"",I48&lt;&gt;""),ROUND(H48,3)+ROUND(J47,3)-ROUND(I48,3),IF(AND(EXACT(UPPER(G48),"TBM"),H48&lt;&gt;""),ROUND(H48,3),IF(H48="",J47,IF(ISNA(VLOOKUP(G48,A6:E105,5,FALSE)),IF(ISNA(VLOOKUP(G48,G6:K47,5,FALSE)),"",ROUND(VLOOKUP(G48,G6:K47,5,FALSE),0)/1000+ROUND(H48,3)),ROUND(VLOOKUP(G48,A6:E105,5,FALSE),0)/1000+ROUND(H48,3)))))</f>
        <v/>
      </c>
      <c r="K48" s="18" t="str">
        <f t="shared" si="5"/>
        <v/>
      </c>
      <c r="L48" s="44" t="str">
        <f>IF(AND(NOT(ISNA(VLOOKUP(G48,A6:E105,5,FALSE))),H48="",I48&lt;&gt;""),ROUND((VLOOKUP(G48,A6:E105,5,FALSE)-K48)/1000,3),IF(AND(NOT(ISNA(VLOOKUP(G48,G6:K47,5,FALSE))),H48="",I48&lt;&gt;""),ROUND((VLOOKUP(G48,G6:K47,5,FALSE)-K48)/1000,3),""))</f>
        <v/>
      </c>
      <c r="M48" s="19">
        <f>IF(M47="","",M47+1)</f>
        <v>242</v>
      </c>
      <c r="N48" s="43"/>
      <c r="O48" s="43"/>
      <c r="P48" s="15" t="str">
        <f>IF(AND(N48&lt;&gt;"",O48&lt;&gt;""),ROUND(N48,3)+ROUND(P47,3)-ROUND(O48,3),IF(AND(EXACT(UPPER(M48),"TBM"),N48&lt;&gt;""),ROUND(N48,3),IF(N48="",P47,IF(ISNA(VLOOKUP(M48,A6:E105,5,FALSE)),IF(ISNA(VLOOKUP(M48,G6:K105,5,FALSE)),IF(ISNA(VLOOKUP(M48,M6:Q47,5,FALSE)),"",ROUND(VLOOKUP(M48,M6:Q47,5,FALSE),0)/1000+ROUND(N48,3)),ROUND(VLOOKUP(M48,G6:K105,5,FALSE),0)/1000+ROUND(N48,3)),ROUND(VLOOKUP(M48,A6:E105,5,FALSE),0)/1000+ROUND(N48,3)))))</f>
        <v/>
      </c>
      <c r="Q48" s="18" t="str">
        <f>IF(OR(NOT(EXACT(UPPER(M48),"TBM")),N48=""),IF(AND(N48&lt;&gt;"",O48="",P48&lt;&gt;""),"",IF(AND(N48="",O48&lt;&gt;"",P48&lt;&gt;""),ROUND(ROUND(P48,3)-ROUND(O48,3),3)*1000,IF(AND(N48&lt;&gt;"",O48&lt;&gt;"",P48&lt;&gt;""),ROUND(ROUND(P47,3)-ROUND(O48,3),3)*1000,""))),"")</f>
        <v/>
      </c>
      <c r="R48" s="44" t="str">
        <f>IF(AND(NOT(ISNA(VLOOKUP(M48,A6:E105,5,FALSE))),N48="",O48&lt;&gt;""),ROUND((VLOOKUP(M48,A6:E105,5,FALSE)-Q48)/1000,3),IF(AND(NOT(ISNA(VLOOKUP(M48,G6:K105,5,FALSE))),N48="",O48&lt;&gt;""),ROUND((VLOOKUP(M48,G6:K105,5,FALSE)-Q48)/1000,3),IF(AND(NOT(ISNA(VLOOKUP(M48,M6:Q47,5,FALSE))),N48="",O48&lt;&gt;""),ROUND((VLOOKUP(M48,M6:Q47,5,FALSE)-Q48)/1000,3),"")))</f>
        <v/>
      </c>
      <c r="S48" s="19">
        <f>IF(S47="","",S47+1)</f>
        <v>342</v>
      </c>
      <c r="T48" s="43"/>
      <c r="U48" s="43"/>
      <c r="V48" s="15" t="str">
        <f>IF(AND(T48&lt;&gt;"",U48&lt;&gt;""),ROUND(T48,3)+ROUND(V47,3)-ROUND(U48,3),IF(AND(EXACT(UPPER(S48),"TBM"),T48&lt;&gt;""),ROUND(T48,3),IF(T48="",V47,IF(ISNA(VLOOKUP(S48,A6:E105,5,FALSE)),IF(ISNA(VLOOKUP(S48,G6:K105,5,FALSE)),IF(ISNA(VLOOKUP(S48,M6:Q105,5,FALSE)),IF(ISNA(VLOOKUP(S48,S6:W47,5,FALSE)),"",ROUND(VLOOKUP(S48,S6:W47,5,FALSE),0)/1000+ROUND(T48,3)),ROUND(VLOOKUP(S48,M6:Q105,5,FALSE),0)/1000+ROUND(T48,3)),ROUND(VLOOKUP(S48,G6:K105,5,FALSE),0)/1000+ROUND(T48,3)),ROUND(VLOOKUP(S48,A6:E105,5,FALSE),0)/1000+ROUND(T48,3)))))</f>
        <v/>
      </c>
      <c r="W48" s="18" t="str">
        <f>IF(OR(NOT(EXACT(UPPER(S48),"TBM")),T48=""),IF(AND(T48&lt;&gt;"",U48="",V48&lt;&gt;""),"",IF(AND(T48="",U48&lt;&gt;"",V48&lt;&gt;""),ROUND(ROUND(V48,3)-ROUND(U48,3),3)*1000,IF(AND(T48&lt;&gt;"",U48&lt;&gt;"",V48&lt;&gt;""),ROUND(ROUND(V47,3)-ROUND(U48,3),3)*1000,""))),"")</f>
        <v/>
      </c>
      <c r="X48" s="44" t="str">
        <f>IF(AND(NOT(ISNA(VLOOKUP(S48,A6:E105,5,FALSE))),T48="",U48&lt;&gt;""),ROUND((VLOOKUP(S48,A6:E105,5,FALSE)-W48)/1000,3),IF(AND(NOT(ISNA(VLOOKUP(S48,G6:K105,5,FALSE))),T48="",U48&lt;&gt;""),ROUND((VLOOKUP(S48,G6:K105,5,FALSE)-W48)/1000,3),IF(AND(NOT(ISNA(VLOOKUP(S48,M6:Q105,5,FALSE))),T48="",U48&lt;&gt;""),ROUND((VLOOKUP(S48,M6:Q105,5,FALSE)-W48)/1000,3),IF(AND(NOT(ISNA(VLOOKUP(S48,S6:W47,5,FALSE))),T48="",U48&lt;&gt;""),ROUND((VLOOKUP(S48,S6:W47,5,FALSE)-W48)/1000,3),""))))</f>
        <v/>
      </c>
      <c r="Y48" s="19">
        <f>IF(Y47="","",Y47+1)</f>
        <v>442</v>
      </c>
      <c r="Z48" s="43"/>
      <c r="AA48" s="43"/>
      <c r="AB48" s="15" t="str">
        <f>IF(AND(Z48&lt;&gt;"",AA48&lt;&gt;""),ROUND(Z48,3)+ROUND(AB47,3)-ROUND(AA48,3),IF(AND(EXACT(UPPER(Y48),"TBM"),Z48&lt;&gt;""),ROUND(Z48,3),IF(Z48="",AB47,IF(ISNA(VLOOKUP(Y48,A6:E105,5,FALSE)),IF(ISNA(VLOOKUP(Y48,G6:K105,5,FALSE)),IF(ISNA(VLOOKUP(Y48,M6:Q105,5,FALSE)),IF(ISNA(VLOOKUP(Y48,S6:W105,5,FALSE)),IF(ISNA(VLOOKUP(Y48,Y6:AC47,5,FALSE)),"",ROUND(VLOOKUP(Y48,Y6:AC47,5,FALSE),0)/1000+ROUND(Z48,3)),ROUND(VLOOKUP(Y48,S6:W105,5,FALSE),0)/1000+ROUND(Z48,3)),ROUND(VLOOKUP(Y48,M6:Q105,5,FALSE),0)/1000+ROUND(Z48,3)),ROUND(VLOOKUP(Y48,G6:K105,5,FALSE),0)/1000+ROUND(Z48,3)),ROUND(VLOOKUP(Y48,A6:E105,5,FALSE),0)/1000+ROUND(Z48,3)))))</f>
        <v/>
      </c>
      <c r="AC48" s="18" t="str">
        <f>IF(OR(NOT(EXACT(UPPER(Y48),"TBM")),Z48=""),IF(AND(Z48&lt;&gt;"",AA48="",AB48&lt;&gt;""),"",IF(AND(Z48="",AA48&lt;&gt;"",AB48&lt;&gt;""),ROUND(ROUND(AB48,3)-ROUND(AA48,3),3)*1000,IF(AND(Z48&lt;&gt;"",AA48&lt;&gt;"",AB48&lt;&gt;""),ROUND(ROUND(AB47,3)-ROUND(AA48,3),3)*1000,""))),"")</f>
        <v/>
      </c>
      <c r="AD48" s="44" t="str">
        <f>IF(AND(NOT(ISNA(VLOOKUP(Y48,A6:E105,5,FALSE))),Z48="",AA48&lt;&gt;""),ROUND((VLOOKUP(Y48,A6:E105,5,FALSE)-AC48)/1000,3),IF(AND(NOT(ISNA(VLOOKUP(Y48,G6:K105,5,FALSE))),Z48="",AA48&lt;&gt;""),ROUND((VLOOKUP(Y48,G6:K105,5,FALSE)-AC48)/1000,3),IF(AND(NOT(ISNA(VLOOKUP(Y48,M6:Q105,5,FALSE))),Z48="",AA48&lt;&gt;""),ROUND((VLOOKUP(Y48,M6:Q105,5,FALSE)-AC48)/1000,3),IF(AND(NOT(ISNA(VLOOKUP(Y48,S6:W105,5,FALSE))),Z48="",AA48&lt;&gt;""),ROUND((VLOOKUP(Y48,S6:W105,5,FALSE)-AC48)/1000,3),IF(AND(NOT(ISNA(VLOOKUP(Y48,Y6:AC47,5,FALSE))),Z48="",AA48&lt;&gt;""),ROUND((VLOOKUP(Y48,Y6:AC47,5,FALSE)-AC48)/1000,3),"")))))</f>
        <v/>
      </c>
      <c r="AE48" s="19">
        <f>IF(AE47="","",AE47+1)</f>
        <v>542</v>
      </c>
      <c r="AF48" s="43"/>
      <c r="AG48" s="43"/>
      <c r="AH48" s="15" t="str">
        <f>IF(AND(AF48&lt;&gt;"",AG48&lt;&gt;""),ROUND(AF48,3)+ROUND(AH47,3)-ROUND(AG48,3),IF(AND(EXACT(UPPER(AE48),"TBM"),AF48&lt;&gt;""),ROUND(AF48,3),IF(AF48="",AH47,IF(ISNA(VLOOKUP(AE48,A6:E105,5,FALSE)),IF(ISNA(VLOOKUP(AE48,G6:K105,5,FALSE)),IF(ISNA(VLOOKUP(AE48,M6:Q105,5,FALSE)),IF(ISNA(VLOOKUP(AE48,S6:W105,5,FALSE)),IF(ISNA(VLOOKUP(AE48,Y6:AC105,5,FALSE)),IF(ISNA(VLOOKUP(AE48,AE6:AI47,5,FALSE)),"",ROUND(VLOOKUP(AE48,AE6:AI47,5,FALSE),0)/1000+ROUND(AF48,3)),ROUND(VLOOKUP(AE48,Y6:AC105,5,FALSE),0)/1000+ROUND(AF48,3)),ROUND(VLOOKUP(AE48,S6:W105,5,FALSE),0)/1000+ROUND(AF48,3)),ROUND(VLOOKUP(AE48,M6:Q105,5,FALSE),0)/1000+ROUND(AF48,3)),ROUND(VLOOKUP(AE48,G6:K105,5,FALSE),0)/1000+ROUND(AF48,3)),ROUND(VLOOKUP(AE48,A6:E105,5,FALSE),0)/1000+ROUND(AF48,3)))))</f>
        <v/>
      </c>
      <c r="AI48" s="18" t="str">
        <f>IF(OR(NOT(EXACT(UPPER(AE48),"TBM")),AF48=""),IF(AND(AF48&lt;&gt;"",AG48="",AH48&lt;&gt;""),"",IF(AND(AF48="",AG48&lt;&gt;"",AH48&lt;&gt;""),ROUND(ROUND(AH48,3)-ROUND(AG48,3),3)*1000,IF(AND(AF48&lt;&gt;"",AG48&lt;&gt;"",AH48&lt;&gt;""),ROUND(ROUND(AH47,3)-ROUND(AG48,3),3)*1000,""))),"")</f>
        <v/>
      </c>
      <c r="AJ48" s="44" t="str">
        <f>IF(AND(NOT(ISNA(VLOOKUP(AE48,A6:E105,5,FALSE))),AF48="",AG48&lt;&gt;""),ROUND((VLOOKUP(AE48,A6:E105,5,FALSE)-AI48)/1000,3),IF(AND(NOT(ISNA(VLOOKUP(AE48,G6:K105,5,FALSE))),AF48="",AG48&lt;&gt;""),ROUND((VLOOKUP(AE48,G6:K105,5,FALSE)-AI48)/1000,3),IF(AND(NOT(ISNA(VLOOKUP(AE48,M6:Q105,5,FALSE))),AF48="",AG48&lt;&gt;""),ROUND((VLOOKUP(AE48,M6:Q105,5,FALSE)-AI48)/1000,3),IF(AND(NOT(ISNA(VLOOKUP(AE48,S6:W105,5,FALSE))),AF48="",AG48&lt;&gt;""),ROUND((VLOOKUP(AE48,S6:W105,5,FALSE)-AI48)/1000,3),IF(AND(NOT(ISNA(VLOOKUP(AE48,Y6:AC105,5,FALSE))),AF48="",AG48&lt;&gt;""),ROUND((VLOOKUP(AE48,Y6:AC105,5,FALSE)-AI48)/1000,3),IF(AND(NOT(ISNA(VLOOKUP(AE48,AE6:AI47,5,FALSE))),AF48="",AG48&lt;&gt;""),ROUND((VLOOKUP(AE48,AE6:AI47,5,FALSE)-AI48)/1000,3),""))))))</f>
        <v/>
      </c>
      <c r="AK48" s="19">
        <f>IF(AK47="","",AK47+1)</f>
        <v>642</v>
      </c>
      <c r="AL48" s="43"/>
      <c r="AM48" s="43"/>
      <c r="AN48" s="15" t="str">
        <f>IF(AND(AL48&lt;&gt;"",AM48&lt;&gt;""),ROUND(AL48,3)+ROUND(AN47,3)-ROUND(AM48,3),IF(AND(EXACT(UPPER(AK48),"TBM"),AL48&lt;&gt;""),ROUND(AL48,3),IF(AL48="",AN47,IF(ISNA(VLOOKUP(AK48,A6:E105,5,FALSE)),IF(ISNA(VLOOKUP(AK48,G6:K105,5,FALSE)),IF(ISNA(VLOOKUP(AK48,M6:Q105,5,FALSE)),IF(ISNA(VLOOKUP(AK48,S6:W105,5,FALSE)),IF(ISNA(VLOOKUP(AK48,Y6:AC105,5,FALSE)),IF(ISNA(VLOOKUP(AK48,AE6:AI105,5,FALSE)),IF(ISNA(VLOOKUP(AK48,AK6:AO47,5,FALSE)),"",ROUND(VLOOKUP(AK48,AK6:AO47,5,FALSE),0)/1000+ROUND(AL48,3)),ROUND(VLOOKUP(AK48,AE6:AI105,5,FALSE),0)/1000+ROUND(AL48,3)),ROUND(VLOOKUP(AK48,Y6:AC105,5,FALSE),0)/1000+ROUND(AL48,3)),ROUND(VLOOKUP(AK48,S6:W105,5,FALSE),0)/1000+ROUND(AL48,3)),ROUND(VLOOKUP(AK48,M6:Q105,5,FALSE),0)/1000+ROUND(AL48,3)),ROUND(VLOOKUP(AK48,G6:K105,5,FALSE),0)/1000+ROUND(AL48,3)),ROUND(VLOOKUP(AK48,A6:E105,5,FALSE),0)/1000+ROUND(AL48,3)))))</f>
        <v/>
      </c>
      <c r="AO48" s="18" t="str">
        <f>IF(OR(NOT(EXACT(UPPER(AK48),"TBM")),AL48=""),IF(AND(AL48&lt;&gt;"",AM48="",AN48&lt;&gt;""),"",IF(AND(AL48="",AM48&lt;&gt;"",AN48&lt;&gt;""),ROUND(ROUND(AN48,3)-ROUND(AM48,3),3)*1000,IF(AND(AL48&lt;&gt;"",AM48&lt;&gt;"",AN48&lt;&gt;""),ROUND(ROUND(AN47,3)-ROUND(AM48,3),3)*1000,""))),"")</f>
        <v/>
      </c>
      <c r="AP48" s="44" t="str">
        <f>IF(AND(NOT(ISNA(VLOOKUP(AK48,A6:E105,5,FALSE))),AL48="",AM48&lt;&gt;""),ROUND((VLOOKUP(AK48,A6:E105,5,FALSE)-AO48)/1000,3),IF(AND(NOT(ISNA(VLOOKUP(AK48,G6:K105,5,FALSE))),AL48="",AM48&lt;&gt;""),ROUND((VLOOKUP(AK48,G6:K105,5,FALSE)-AO48)/1000,3),IF(AND(NOT(ISNA(VLOOKUP(AK48,M6:Q105,5,FALSE))),AL48="",AM48&lt;&gt;""),ROUND((VLOOKUP(AK48,M6:Q105,5,FALSE)-AO48)/1000,3),IF(AND(NOT(ISNA(VLOOKUP(AK48,S6:W105,5,FALSE))),AL48="",AM48&lt;&gt;""),ROUND((VLOOKUP(AK48,S6:W105,5,FALSE)-AO48)/1000,3),IF(AND(NOT(ISNA(VLOOKUP(AK48,Y6:AC105,5,FALSE))),AL48="",AM48&lt;&gt;""),ROUND((VLOOKUP(AK48,Y6:AC105,5,FALSE)-AO48)/1000,3),IF(AND(NOT(ISNA(VLOOKUP(AK48,AE6:AI105,5,FALSE))),AL48="",AM48&lt;&gt;""),ROUND((VLOOKUP(AK48,AE6:AI105,5,FALSE)-AO48)/1000,3),IF(AND(NOT(ISNA(VLOOKUP(AK48,AK6:AO47,5,FALSE))),AL48="",AM48&lt;&gt;""),ROUND((VLOOKUP(AK48,AK6:AO47,5,FALSE)-AO48)/1000,3),"")))))))</f>
        <v/>
      </c>
      <c r="AQ48" s="19">
        <f>IF(AQ47="","",AQ47+1)</f>
        <v>742</v>
      </c>
      <c r="AR48" s="43"/>
      <c r="AS48" s="43"/>
      <c r="AT48" s="15" t="str">
        <f>IF(AND(AR48&lt;&gt;"",AS48&lt;&gt;""),ROUND(AR48,3)+ROUND(AT47,3)-ROUND(AS48,3),IF(AND(EXACT(UPPER(AQ48),"TBM"),AR48&lt;&gt;""),ROUND(AR48,3),IF(AR48="",AT47,IF(ISNA(VLOOKUP(AQ48,A6:E105,5,FALSE)),IF(ISNA(VLOOKUP(AQ48,G6:K105,5,FALSE)),IF(ISNA(VLOOKUP(AQ48,M6:Q105,5,FALSE)),IF(ISNA(VLOOKUP(AQ48,S6:W105,5,FALSE)),IF(ISNA(VLOOKUP(AQ48,Y6:AC105,5,FALSE)),IF(ISNA(VLOOKUP(AQ48,AE6:AI105,5,FALSE)),IF(ISNA(VLOOKUP(AQ48,AK6:AO105,5,FALSE)),IF(ISNA(VLOOKUP(AQ48,AQ6:AU47,5,FALSE)),"",ROUND(VLOOKUP(AQ48,AQ6:AU47,5,FALSE),0)/1000+ROUND(AR48,3)),ROUND(VLOOKUP(AQ48,AK6:AO105,5,FALSE),0)/1000+ROUND(AR48,3)),ROUND(VLOOKUP(AQ48,AE6:AI105,5,FALSE),0)/1000+ROUND(AR48,3)),ROUND(VLOOKUP(AQ48,Y6:AC105,5,FALSE),0)/1000+ROUND(AR48,3)),ROUND(VLOOKUP(AQ48,S6:W105,5,FALSE),0)/1000+ROUND(AR48,3)),ROUND(VLOOKUP(AQ48,M6:Q105,5,FALSE),0)/1000+ROUND(AR48,3)),ROUND(VLOOKUP(AQ48,G6:K105,5,FALSE),0)/1000+ROUND(AR48,3)),ROUND(VLOOKUP(AQ48,A6:E105,5,FALSE),0)/1000+ROUND(AR48,3)))))</f>
        <v/>
      </c>
      <c r="AU48" s="18" t="str">
        <f>IF(OR(NOT(EXACT(UPPER(AQ48),"TBM")),AR48=""),IF(AND(AR48&lt;&gt;"",AS48="",AT48&lt;&gt;""),"",IF(AND(AR48="",AS48&lt;&gt;"",AT48&lt;&gt;""),ROUND(ROUND(AT48,3)-ROUND(AS48,3),3)*1000,IF(AND(AR48&lt;&gt;"",AS48&lt;&gt;"",AT48&lt;&gt;""),ROUND(ROUND(AT47,3)-ROUND(AS48,3),3)*1000,""))),"")</f>
        <v/>
      </c>
      <c r="AV48" s="44" t="str">
        <f>IF(AND(NOT(ISNA(VLOOKUP(AQ48,A6:E105,5,FALSE))),AR48="",AS48&lt;&gt;""),ROUND((VLOOKUP(AQ48,A6:E105,5,FALSE)-AU48)/1000,3),IF(AND(NOT(ISNA(VLOOKUP(AQ48,G6:K105,5,FALSE))),AR48="",AS48&lt;&gt;""),ROUND((VLOOKUP(AQ48,G6:K105,5,FALSE)-AU48)/1000,3),IF(AND(NOT(ISNA(VLOOKUP(AQ48,M6:Q105,5,FALSE))),AR48="",AS48&lt;&gt;""),ROUND((VLOOKUP(AQ48,M6:Q105,5,FALSE)-AU48)/1000,3),IF(AND(NOT(ISNA(VLOOKUP(AQ48,S6:W105,5,FALSE))),AR48="",AS48&lt;&gt;""),ROUND((VLOOKUP(AQ48,S6:W105,5,FALSE)-AU48)/1000,3),IF(AND(NOT(ISNA(VLOOKUP(AQ48,Y6:AC105,5,FALSE))),AR48="",AS48&lt;&gt;""),ROUND((VLOOKUP(AQ48,Y6:AC105,5,FALSE)-AU48)/1000,3),IF(AND(NOT(ISNA(VLOOKUP(AQ48,AE6:AI105,5,FALSE))),AR48="",AS48&lt;&gt;""),ROUND((VLOOKUP(AQ48,AE6:AI105,5,FALSE)-AU48)/1000,3),IF(AND(NOT(ISNA(VLOOKUP(AQ48,AK6:AO105,5,FALSE))),AR48="",AS48&lt;&gt;""),ROUND((VLOOKUP(AQ48,AK6:AO105,5,FALSE)-AU48)/1000,3),IF(AND(NOT(ISNA(VLOOKUP(AQ48,AQ6:AU47,5,FALSE))),AR48="",AS48&lt;&gt;""),ROUND((VLOOKUP(AQ48,AQ6:AU47,5,FALSE)-AU48)/1000,3),""))))))))</f>
        <v/>
      </c>
      <c r="AW48" s="19">
        <f>IF(AW47="","",AW47+1)</f>
        <v>842</v>
      </c>
      <c r="AX48" s="43"/>
      <c r="AY48" s="43"/>
      <c r="AZ48" s="15" t="str">
        <f>IF(AND(AX48&lt;&gt;"",AY48&lt;&gt;""),ROUND(AX48,3)+ROUND(AZ47,3)-ROUND(AY48,3),IF(AND(EXACT(UPPER(AW48),"TBM"),AX48&lt;&gt;""),ROUND(AX48,3),IF(AX48="",AZ47,IF(ISNA(VLOOKUP(AW48,A6:E105,5,FALSE)),IF(ISNA(VLOOKUP(AW48,G6:K105,5,FALSE)),IF(ISNA(VLOOKUP(AW48,M6:Q105,5,FALSE)),IF(ISNA(VLOOKUP(AW48,S6:W105,5,FALSE)),IF(ISNA(VLOOKUP(AW48,Y6:AC105,5,FALSE)),IF(ISNA(VLOOKUP(AW48,AE6:AI105,5,FALSE)),IF(ISNA(VLOOKUP(AW48,AK6:AO105,5,FALSE)),IF(ISNA(VLOOKUP(AW48,AQ6:AU105,5,FALSE)),IF(ISNA(VLOOKUP(AW48,AW6:BA47,5,FALSE)),"",ROUND(VLOOKUP(AW48,AW6:BA47,5,FALSE),0)/1000+ROUND(AX48,3)),ROUND(VLOOKUP(AW48,AQ6:AU105,5,FALSE),0)/1000+ROUND(AX48,3)),ROUND(VLOOKUP(AW48,AK6:AO105,5,FALSE),0)/1000+ROUND(AX48,3)),ROUND(VLOOKUP(AW48,AE6:AI105,5,FALSE),0)/1000+ROUND(AX48,3)),ROUND(VLOOKUP(AW48,Y6:AC105,5,FALSE),0)/1000+ROUND(AX48,3)),ROUND(VLOOKUP(AW48,S6:W105,5,FALSE),0)/1000+ROUND(AX48,3)),ROUND(VLOOKUP(AW48,M6:Q105,5,FALSE),0)/1000+ROUND(AX48,3)),ROUND(VLOOKUP(AW48,G6:K105,5,FALSE),0)/1000+ROUND(AX48,3)),ROUND(VLOOKUP(AW48,A6:E105,5,FALSE),0)/1000+ROUND(AX48,3)))))</f>
        <v/>
      </c>
      <c r="BA48" s="18" t="str">
        <f>IF(OR(NOT(EXACT(UPPER(AW48),"TBM")),AX48=""),IF(AND(AX48&lt;&gt;"",AY48="",AZ48&lt;&gt;""),"",IF(AND(AX48="",AY48&lt;&gt;"",AZ48&lt;&gt;""),ROUND(ROUND(AZ48,3)-ROUND(AY48,3),3)*1000,IF(AND(AX48&lt;&gt;"",AY48&lt;&gt;"",AZ48&lt;&gt;""),ROUND(ROUND(AZ47,3)-ROUND(AY48,3),3)*1000,""))),"")</f>
        <v/>
      </c>
      <c r="BB48" s="44" t="str">
        <f>IF(AND(NOT(ISNA(VLOOKUP(AW48,A6:E105,5,FALSE))),AX48="",AY48&lt;&gt;""),ROUND((VLOOKUP(AW48,A6:E105,5,FALSE)-BA48)/1000,3),IF(AND(NOT(ISNA(VLOOKUP(AW48,G6:K105,5,FALSE))),AX48="",AY48&lt;&gt;""),ROUND((VLOOKUP(AW48,G6:K105,5,FALSE)-BA48)/1000,3),IF(AND(NOT(ISNA(VLOOKUP(AW48,M6:Q105,5,FALSE))),AX48="",AY48&lt;&gt;""),ROUND((VLOOKUP(AW48,M6:Q105,5,FALSE)-BA48)/1000,3),IF(AND(NOT(ISNA(VLOOKUP(AW48,S6:W105,5,FALSE))),AX48="",AY48&lt;&gt;""),ROUND((VLOOKUP(AW48,S6:W105,5,FALSE)-BA48)/1000,3),IF(AND(NOT(ISNA(VLOOKUP(AW48,Y6:AC105,5,FALSE))),AX48="",AY48&lt;&gt;""),ROUND((VLOOKUP(AW48,Y6:AC105,5,FALSE)-BA48)/1000,3),IF(AND(NOT(ISNA(VLOOKUP(AW48,AE6:AI105,5,FALSE))),AX48="",AY48&lt;&gt;""),ROUND((VLOOKUP(AW48,AE6:AI105,5,FALSE)-BA48)/1000,3),IF(AND(NOT(ISNA(VLOOKUP(AW48,AK6:AO105,5,FALSE))),AX48="",AY48&lt;&gt;""),ROUND((VLOOKUP(AW48,AK6:AO105,5,FALSE)-BA48)/1000,3),IF(AND(NOT(ISNA(VLOOKUP(AW48,AQ6:AU105,5,FALSE))),AX48="",AY48&lt;&gt;""),ROUND((VLOOKUP(AW48,AQ6:AU105,5,FALSE)-BA48)/1000,3),IF(AND(NOT(ISNA(VLOOKUP(AW48,AW6:BA47,5,FALSE))),AX48="",AY48&lt;&gt;""),ROUND((VLOOKUP(AW48,AW6:BA47,5,FALSE)-BA48)/1000,3),"")))))))))</f>
        <v/>
      </c>
      <c r="BC48" s="19">
        <f>IF(BC47="","",BC47+1)</f>
        <v>942</v>
      </c>
      <c r="BD48" s="43"/>
      <c r="BE48" s="43"/>
      <c r="BF48" s="15" t="str">
        <f>IF(AND(BD48&lt;&gt;"",BE48&lt;&gt;""),ROUND(BD48,3)+ROUND(BF47,3)-ROUND(BE48,3),IF(AND(EXACT(UPPER(BC48),"TBM"),BD48&lt;&gt;""),ROUND(BD48,3),IF(BD48="",BF47,IF(ISNA(VLOOKUP(BC48,A6:E105,5,FALSE)),IF(ISNA(VLOOKUP(BC48,G6:K105,5,FALSE)),IF(ISNA(VLOOKUP(BC48,M6:Q105,5,FALSE)),IF(ISNA(VLOOKUP(BC48,S6:W105,5,FALSE)),IF(ISNA(VLOOKUP(BC48,Y6:AC105,5,FALSE)),IF(ISNA(VLOOKUP(BC48,AE6:AI105,5,FALSE)),IF(ISNA(VLOOKUP(BC48,AK6:AO105,5,FALSE)),IF(ISNA(VLOOKUP(BC48,AQ6:AU105,5,FALSE)),IF(ISNA(VLOOKUP(BC48,AW6:BA105,5,FALSE)),IF(ISNA(VLOOKUP(BC48,BC6:BG47,5,FALSE)),"",ROUND(VLOOKUP(BC48,BC6:BG47,5,FALSE),0)/1000+ROUND(BD48,3)),ROUND(VLOOKUP(BC48,AW6:BA105,5,FALSE),0)/1000+ROUND(BD48,3)),ROUND(VLOOKUP(BC48,AQ6:AU105,5,FALSE),0)/1000+ROUND(BD48,3)),ROUND(VLOOKUP(BC48,AK6:AO105,5,FALSE),0)/1000+ROUND(BD48,3)),ROUND(VLOOKUP(BC48,AE6:AI105,5,FALSE),0)/1000+ROUND(BD48,3)),ROUND(VLOOKUP(BC48,Y6:AC105,5,FALSE),0)/1000+ROUND(BD48,3)),ROUND(VLOOKUP(BC48,S6:W105,5,FALSE),0)/1000+ROUND(BD48,3)),ROUND(VLOOKUP(BC48,M6:Q105,5,FALSE),0)/1000+ROUND(BD48,3)),ROUND(VLOOKUP(BC48,G6:K105,5,FALSE),0)/1000+ROUND(BD48,3)),ROUND(VLOOKUP(BC48,A6:E105,5,FALSE),0)/1000+ROUND(BD48,3)))))</f>
        <v/>
      </c>
      <c r="BG48" s="18" t="str">
        <f>IF(OR(NOT(EXACT(UPPER(BC48),"TBM")),BD48=""),IF(AND(BD48&lt;&gt;"",BE48="",BF48&lt;&gt;""),"",IF(AND(BD48="",BE48&lt;&gt;"",BF48&lt;&gt;""),ROUND(ROUND(BF48,3)-ROUND(BE48,3),3)*1000,IF(AND(BD48&lt;&gt;"",BE48&lt;&gt;"",BF48&lt;&gt;""),ROUND(ROUND(BF47,3)-ROUND(BE48,3),3)*1000,""))),"")</f>
        <v/>
      </c>
      <c r="BH48" s="44" t="str">
        <f>IF(AND(NOT(ISNA(VLOOKUP(BC48,A6:E105,5,FALSE))),BD48="",BE48&lt;&gt;""),ROUND((VLOOKUP(BC48,A6:E105,5,FALSE)-BG48)/1000,3),IF(AND(NOT(ISNA(VLOOKUP(BC48,G6:K105,5,FALSE))),BD48="",BE48&lt;&gt;""),ROUND((VLOOKUP(BC48,G6:K105,5,FALSE)-BG48)/1000,3),IF(AND(NOT(ISNA(VLOOKUP(BC48,M6:Q105,5,FALSE))),BD48="",BE48&lt;&gt;""),ROUND((VLOOKUP(BC48,M6:Q105,5,FALSE)-BG48)/1000,3),IF(AND(NOT(ISNA(VLOOKUP(BC48,S6:W105,5,FALSE))),BD48="",BE48&lt;&gt;""),ROUND((VLOOKUP(BC48,S6:W105,5,FALSE)-BG48)/1000,3),IF(AND(NOT(ISNA(VLOOKUP(BC48,Y6:AC105,5,FALSE))),BD48="",BE48&lt;&gt;""),ROUND((VLOOKUP(BC48,Y6:AC105,5,FALSE)-BG48)/1000,3),IF(AND(NOT(ISNA(VLOOKUP(BC48,AE6:AI105,5,FALSE))),BD48="",BE48&lt;&gt;""),ROUND((VLOOKUP(BC48,AE6:AI105,5,FALSE)-BG48)/1000,3),IF(AND(NOT(ISNA(VLOOKUP(BC48,AK6:AO105,5,FALSE))),BD48="",BE48&lt;&gt;""),ROUND((VLOOKUP(BC48,AK6:AO105,5,FALSE)-BG48)/1000,3),IF(AND(NOT(ISNA(VLOOKUP(BC48,AQ6:AU105,5,FALSE))),BD48="",BE48&lt;&gt;""),ROUND((VLOOKUP(BC48,AQ6:AU105,5,FALSE)-BG48)/1000,3),IF(AND(NOT(ISNA(VLOOKUP(BC48,AW6:BA105,5,FALSE))),BD48="",BE48&lt;&gt;""),ROUND((VLOOKUP(BC48,AW6:BA105,5,FALSE)-BG48)/1000,3),IF(AND(NOT(ISNA(VLOOKUP(BC48,BC6:BG47,5,FALSE))),BD48="",BE48&lt;&gt;""),ROUND((VLOOKUP(BC48,BC6:BG47,5,FALSE)-BG48)/1000,3),""))))))))))</f>
        <v/>
      </c>
    </row>
    <row r="49" spans="1:60" x14ac:dyDescent="0.25">
      <c r="A49" s="19">
        <f t="shared" si="3"/>
        <v>43</v>
      </c>
      <c r="B49" s="41"/>
      <c r="C49" s="39"/>
      <c r="D49" s="15" t="str">
        <f>IF(AND(B49&lt;&gt;"",C49&lt;&gt;""),ROUND(B49,3)+ROUND(D48,3)-ROUND(C49,3),IF(AND(EXACT(UPPER(A49),"TBM"),B49&lt;&gt;""),ROUND(B49,3),IF(B49="",D48,IF(ISNA(VLOOKUP(A49,A6:E48,5,FALSE)),"",ROUND(VLOOKUP(A49,A6:E48,5,FALSE),0)/1000+ROUND(B49,3)))))</f>
        <v/>
      </c>
      <c r="E49" s="21" t="str">
        <f t="shared" si="4"/>
        <v/>
      </c>
      <c r="F49" s="45" t="str">
        <f>IF(AND(NOT(ISNA(VLOOKUP(A49,A6:E48,5,FALSE))),B49="",C49&lt;&gt;""),ROUND((VLOOKUP(A49,A6:E48,5,FALSE)-E49)/1000,3),"")</f>
        <v/>
      </c>
      <c r="G49" s="19">
        <f t="shared" si="1"/>
        <v>143</v>
      </c>
      <c r="H49" s="39"/>
      <c r="I49" s="39"/>
      <c r="J49" s="15" t="str">
        <f>IF(AND(H49&lt;&gt;"",I49&lt;&gt;""),ROUND(H49,3)+ROUND(J48,3)-ROUND(I49,3),IF(AND(EXACT(UPPER(G49),"TBM"),H49&lt;&gt;""),ROUND(H49,3),IF(H49="",J48,IF(ISNA(VLOOKUP(G49,A6:E105,5,FALSE)),IF(ISNA(VLOOKUP(G49,G6:K48,5,FALSE)),"",ROUND(VLOOKUP(G49,G6:K48,5,FALSE),0)/1000+ROUND(H49,3)),ROUND(VLOOKUP(G49,A6:E105,5,FALSE),0)/1000+ROUND(H49,3)))))</f>
        <v/>
      </c>
      <c r="K49" s="18" t="str">
        <f t="shared" si="5"/>
        <v/>
      </c>
      <c r="L49" s="45" t="str">
        <f>IF(AND(NOT(ISNA(VLOOKUP(G49,A6:E105,5,FALSE))),H49="",I49&lt;&gt;""),ROUND((VLOOKUP(G49,A6:E105,5,FALSE)-K49)/1000,3),IF(AND(NOT(ISNA(VLOOKUP(G49,G6:K48,5,FALSE))),H49="",I49&lt;&gt;""),ROUND((VLOOKUP(G49,G6:K48,5,FALSE)-K49)/1000,3),""))</f>
        <v/>
      </c>
      <c r="M49" s="19">
        <f>IF(M48="","",M48+1)</f>
        <v>243</v>
      </c>
      <c r="N49" s="39"/>
      <c r="O49" s="39"/>
      <c r="P49" s="15" t="str">
        <f>IF(AND(N49&lt;&gt;"",O49&lt;&gt;""),ROUND(N49,3)+ROUND(P48,3)-ROUND(O49,3),IF(AND(EXACT(UPPER(M49),"TBM"),N49&lt;&gt;""),ROUND(N49,3),IF(N49="",P48,IF(ISNA(VLOOKUP(M49,A6:E105,5,FALSE)),IF(ISNA(VLOOKUP(M49,G6:K105,5,FALSE)),IF(ISNA(VLOOKUP(M49,M6:Q48,5,FALSE)),"",ROUND(VLOOKUP(M49,M6:Q48,5,FALSE),0)/1000+ROUND(N49,3)),ROUND(VLOOKUP(M49,G6:K105,5,FALSE),0)/1000+ROUND(N49,3)),ROUND(VLOOKUP(M49,A6:E105,5,FALSE),0)/1000+ROUND(N49,3)))))</f>
        <v/>
      </c>
      <c r="Q49" s="18" t="str">
        <f>IF(OR(NOT(EXACT(UPPER(M49),"TBM")),N49=""),IF(AND(N49&lt;&gt;"",O49="",P49&lt;&gt;""),"",IF(AND(N49="",O49&lt;&gt;"",P49&lt;&gt;""),ROUND(ROUND(P49,3)-ROUND(O49,3),3)*1000,IF(AND(N49&lt;&gt;"",O49&lt;&gt;"",P49&lt;&gt;""),ROUND(ROUND(P48,3)-ROUND(O49,3),3)*1000,""))),"")</f>
        <v/>
      </c>
      <c r="R49" s="45" t="str">
        <f>IF(AND(NOT(ISNA(VLOOKUP(M49,A6:E105,5,FALSE))),N49="",O49&lt;&gt;""),ROUND((VLOOKUP(M49,A6:E105,5,FALSE)-Q49)/1000,3),IF(AND(NOT(ISNA(VLOOKUP(M49,G6:K105,5,FALSE))),N49="",O49&lt;&gt;""),ROUND((VLOOKUP(M49,G6:K105,5,FALSE)-Q49)/1000,3),IF(AND(NOT(ISNA(VLOOKUP(M49,M6:Q48,5,FALSE))),N49="",O49&lt;&gt;""),ROUND((VLOOKUP(M49,M6:Q48,5,FALSE)-Q49)/1000,3),"")))</f>
        <v/>
      </c>
      <c r="S49" s="19">
        <f>IF(S48="","",S48+1)</f>
        <v>343</v>
      </c>
      <c r="T49" s="39"/>
      <c r="U49" s="39"/>
      <c r="V49" s="15" t="str">
        <f>IF(AND(T49&lt;&gt;"",U49&lt;&gt;""),ROUND(T49,3)+ROUND(V48,3)-ROUND(U49,3),IF(AND(EXACT(UPPER(S49),"TBM"),T49&lt;&gt;""),ROUND(T49,3),IF(T49="",V48,IF(ISNA(VLOOKUP(S49,A6:E105,5,FALSE)),IF(ISNA(VLOOKUP(S49,G6:K105,5,FALSE)),IF(ISNA(VLOOKUP(S49,M6:Q105,5,FALSE)),IF(ISNA(VLOOKUP(S49,S6:W48,5,FALSE)),"",ROUND(VLOOKUP(S49,S6:W48,5,FALSE),0)/1000+ROUND(T49,3)),ROUND(VLOOKUP(S49,M6:Q105,5,FALSE),0)/1000+ROUND(T49,3)),ROUND(VLOOKUP(S49,G6:K105,5,FALSE),0)/1000+ROUND(T49,3)),ROUND(VLOOKUP(S49,A6:E105,5,FALSE),0)/1000+ROUND(T49,3)))))</f>
        <v/>
      </c>
      <c r="W49" s="18" t="str">
        <f>IF(OR(NOT(EXACT(UPPER(S49),"TBM")),T49=""),IF(AND(T49&lt;&gt;"",U49="",V49&lt;&gt;""),"",IF(AND(T49="",U49&lt;&gt;"",V49&lt;&gt;""),ROUND(ROUND(V49,3)-ROUND(U49,3),3)*1000,IF(AND(T49&lt;&gt;"",U49&lt;&gt;"",V49&lt;&gt;""),ROUND(ROUND(V48,3)-ROUND(U49,3),3)*1000,""))),"")</f>
        <v/>
      </c>
      <c r="X49" s="45" t="str">
        <f>IF(AND(NOT(ISNA(VLOOKUP(S49,A6:E105,5,FALSE))),T49="",U49&lt;&gt;""),ROUND((VLOOKUP(S49,A6:E105,5,FALSE)-W49)/1000,3),IF(AND(NOT(ISNA(VLOOKUP(S49,G6:K105,5,FALSE))),T49="",U49&lt;&gt;""),ROUND((VLOOKUP(S49,G6:K105,5,FALSE)-W49)/1000,3),IF(AND(NOT(ISNA(VLOOKUP(S49,M6:Q105,5,FALSE))),T49="",U49&lt;&gt;""),ROUND((VLOOKUP(S49,M6:Q105,5,FALSE)-W49)/1000,3),IF(AND(NOT(ISNA(VLOOKUP(S49,S6:W48,5,FALSE))),T49="",U49&lt;&gt;""),ROUND((VLOOKUP(S49,S6:W48,5,FALSE)-W49)/1000,3),""))))</f>
        <v/>
      </c>
      <c r="Y49" s="19">
        <f>IF(Y48="","",Y48+1)</f>
        <v>443</v>
      </c>
      <c r="Z49" s="39"/>
      <c r="AA49" s="39"/>
      <c r="AB49" s="15" t="str">
        <f>IF(AND(Z49&lt;&gt;"",AA49&lt;&gt;""),ROUND(Z49,3)+ROUND(AB48,3)-ROUND(AA49,3),IF(AND(EXACT(UPPER(Y49),"TBM"),Z49&lt;&gt;""),ROUND(Z49,3),IF(Z49="",AB48,IF(ISNA(VLOOKUP(Y49,A6:E105,5,FALSE)),IF(ISNA(VLOOKUP(Y49,G6:K105,5,FALSE)),IF(ISNA(VLOOKUP(Y49,M6:Q105,5,FALSE)),IF(ISNA(VLOOKUP(Y49,S6:W105,5,FALSE)),IF(ISNA(VLOOKUP(Y49,Y6:AC48,5,FALSE)),"",ROUND(VLOOKUP(Y49,Y6:AC48,5,FALSE),0)/1000+ROUND(Z49,3)),ROUND(VLOOKUP(Y49,S6:W105,5,FALSE),0)/1000+ROUND(Z49,3)),ROUND(VLOOKUP(Y49,M6:Q105,5,FALSE),0)/1000+ROUND(Z49,3)),ROUND(VLOOKUP(Y49,G6:K105,5,FALSE),0)/1000+ROUND(Z49,3)),ROUND(VLOOKUP(Y49,A6:E105,5,FALSE),0)/1000+ROUND(Z49,3)))))</f>
        <v/>
      </c>
      <c r="AC49" s="18" t="str">
        <f>IF(OR(NOT(EXACT(UPPER(Y49),"TBM")),Z49=""),IF(AND(Z49&lt;&gt;"",AA49="",AB49&lt;&gt;""),"",IF(AND(Z49="",AA49&lt;&gt;"",AB49&lt;&gt;""),ROUND(ROUND(AB49,3)-ROUND(AA49,3),3)*1000,IF(AND(Z49&lt;&gt;"",AA49&lt;&gt;"",AB49&lt;&gt;""),ROUND(ROUND(AB48,3)-ROUND(AA49,3),3)*1000,""))),"")</f>
        <v/>
      </c>
      <c r="AD49" s="45" t="str">
        <f>IF(AND(NOT(ISNA(VLOOKUP(Y49,A6:E105,5,FALSE))),Z49="",AA49&lt;&gt;""),ROUND((VLOOKUP(Y49,A6:E105,5,FALSE)-AC49)/1000,3),IF(AND(NOT(ISNA(VLOOKUP(Y49,G6:K105,5,FALSE))),Z49="",AA49&lt;&gt;""),ROUND((VLOOKUP(Y49,G6:K105,5,FALSE)-AC49)/1000,3),IF(AND(NOT(ISNA(VLOOKUP(Y49,M6:Q105,5,FALSE))),Z49="",AA49&lt;&gt;""),ROUND((VLOOKUP(Y49,M6:Q105,5,FALSE)-AC49)/1000,3),IF(AND(NOT(ISNA(VLOOKUP(Y49,S6:W105,5,FALSE))),Z49="",AA49&lt;&gt;""),ROUND((VLOOKUP(Y49,S6:W105,5,FALSE)-AC49)/1000,3),IF(AND(NOT(ISNA(VLOOKUP(Y49,Y6:AC48,5,FALSE))),Z49="",AA49&lt;&gt;""),ROUND((VLOOKUP(Y49,Y6:AC48,5,FALSE)-AC49)/1000,3),"")))))</f>
        <v/>
      </c>
      <c r="AE49" s="19">
        <f>IF(AE48="","",AE48+1)</f>
        <v>543</v>
      </c>
      <c r="AF49" s="39"/>
      <c r="AG49" s="39"/>
      <c r="AH49" s="15" t="str">
        <f>IF(AND(AF49&lt;&gt;"",AG49&lt;&gt;""),ROUND(AF49,3)+ROUND(AH48,3)-ROUND(AG49,3),IF(AND(EXACT(UPPER(AE49),"TBM"),AF49&lt;&gt;""),ROUND(AF49,3),IF(AF49="",AH48,IF(ISNA(VLOOKUP(AE49,A6:E105,5,FALSE)),IF(ISNA(VLOOKUP(AE49,G6:K105,5,FALSE)),IF(ISNA(VLOOKUP(AE49,M6:Q105,5,FALSE)),IF(ISNA(VLOOKUP(AE49,S6:W105,5,FALSE)),IF(ISNA(VLOOKUP(AE49,Y6:AC105,5,FALSE)),IF(ISNA(VLOOKUP(AE49,AE6:AI48,5,FALSE)),"",ROUND(VLOOKUP(AE49,AE6:AI48,5,FALSE),0)/1000+ROUND(AF49,3)),ROUND(VLOOKUP(AE49,Y6:AC105,5,FALSE),0)/1000+ROUND(AF49,3)),ROUND(VLOOKUP(AE49,S6:W105,5,FALSE),0)/1000+ROUND(AF49,3)),ROUND(VLOOKUP(AE49,M6:Q105,5,FALSE),0)/1000+ROUND(AF49,3)),ROUND(VLOOKUP(AE49,G6:K105,5,FALSE),0)/1000+ROUND(AF49,3)),ROUND(VLOOKUP(AE49,A6:E105,5,FALSE),0)/1000+ROUND(AF49,3)))))</f>
        <v/>
      </c>
      <c r="AI49" s="18" t="str">
        <f>IF(OR(NOT(EXACT(UPPER(AE49),"TBM")),AF49=""),IF(AND(AF49&lt;&gt;"",AG49="",AH49&lt;&gt;""),"",IF(AND(AF49="",AG49&lt;&gt;"",AH49&lt;&gt;""),ROUND(ROUND(AH49,3)-ROUND(AG49,3),3)*1000,IF(AND(AF49&lt;&gt;"",AG49&lt;&gt;"",AH49&lt;&gt;""),ROUND(ROUND(AH48,3)-ROUND(AG49,3),3)*1000,""))),"")</f>
        <v/>
      </c>
      <c r="AJ49" s="45" t="str">
        <f>IF(AND(NOT(ISNA(VLOOKUP(AE49,A6:E105,5,FALSE))),AF49="",AG49&lt;&gt;""),ROUND((VLOOKUP(AE49,A6:E105,5,FALSE)-AI49)/1000,3),IF(AND(NOT(ISNA(VLOOKUP(AE49,G6:K105,5,FALSE))),AF49="",AG49&lt;&gt;""),ROUND((VLOOKUP(AE49,G6:K105,5,FALSE)-AI49)/1000,3),IF(AND(NOT(ISNA(VLOOKUP(AE49,M6:Q105,5,FALSE))),AF49="",AG49&lt;&gt;""),ROUND((VLOOKUP(AE49,M6:Q105,5,FALSE)-AI49)/1000,3),IF(AND(NOT(ISNA(VLOOKUP(AE49,S6:W105,5,FALSE))),AF49="",AG49&lt;&gt;""),ROUND((VLOOKUP(AE49,S6:W105,5,FALSE)-AI49)/1000,3),IF(AND(NOT(ISNA(VLOOKUP(AE49,Y6:AC105,5,FALSE))),AF49="",AG49&lt;&gt;""),ROUND((VLOOKUP(AE49,Y6:AC105,5,FALSE)-AI49)/1000,3),IF(AND(NOT(ISNA(VLOOKUP(AE49,AE6:AI48,5,FALSE))),AF49="",AG49&lt;&gt;""),ROUND((VLOOKUP(AE49,AE6:AI48,5,FALSE)-AI49)/1000,3),""))))))</f>
        <v/>
      </c>
      <c r="AK49" s="19">
        <f>IF(AK48="","",AK48+1)</f>
        <v>643</v>
      </c>
      <c r="AL49" s="39"/>
      <c r="AM49" s="39"/>
      <c r="AN49" s="15" t="str">
        <f>IF(AND(AL49&lt;&gt;"",AM49&lt;&gt;""),ROUND(AL49,3)+ROUND(AN48,3)-ROUND(AM49,3),IF(AND(EXACT(UPPER(AK49),"TBM"),AL49&lt;&gt;""),ROUND(AL49,3),IF(AL49="",AN48,IF(ISNA(VLOOKUP(AK49,A6:E105,5,FALSE)),IF(ISNA(VLOOKUP(AK49,G6:K105,5,FALSE)),IF(ISNA(VLOOKUP(AK49,M6:Q105,5,FALSE)),IF(ISNA(VLOOKUP(AK49,S6:W105,5,FALSE)),IF(ISNA(VLOOKUP(AK49,Y6:AC105,5,FALSE)),IF(ISNA(VLOOKUP(AK49,AE6:AI105,5,FALSE)),IF(ISNA(VLOOKUP(AK49,AK6:AO48,5,FALSE)),"",ROUND(VLOOKUP(AK49,AK6:AO48,5,FALSE),0)/1000+ROUND(AL49,3)),ROUND(VLOOKUP(AK49,AE6:AI105,5,FALSE),0)/1000+ROUND(AL49,3)),ROUND(VLOOKUP(AK49,Y6:AC105,5,FALSE),0)/1000+ROUND(AL49,3)),ROUND(VLOOKUP(AK49,S6:W105,5,FALSE),0)/1000+ROUND(AL49,3)),ROUND(VLOOKUP(AK49,M6:Q105,5,FALSE),0)/1000+ROUND(AL49,3)),ROUND(VLOOKUP(AK49,G6:K105,5,FALSE),0)/1000+ROUND(AL49,3)),ROUND(VLOOKUP(AK49,A6:E105,5,FALSE),0)/1000+ROUND(AL49,3)))))</f>
        <v/>
      </c>
      <c r="AO49" s="18" t="str">
        <f>IF(OR(NOT(EXACT(UPPER(AK49),"TBM")),AL49=""),IF(AND(AL49&lt;&gt;"",AM49="",AN49&lt;&gt;""),"",IF(AND(AL49="",AM49&lt;&gt;"",AN49&lt;&gt;""),ROUND(ROUND(AN49,3)-ROUND(AM49,3),3)*1000,IF(AND(AL49&lt;&gt;"",AM49&lt;&gt;"",AN49&lt;&gt;""),ROUND(ROUND(AN48,3)-ROUND(AM49,3),3)*1000,""))),"")</f>
        <v/>
      </c>
      <c r="AP49" s="45" t="str">
        <f>IF(AND(NOT(ISNA(VLOOKUP(AK49,A6:E105,5,FALSE))),AL49="",AM49&lt;&gt;""),ROUND((VLOOKUP(AK49,A6:E105,5,FALSE)-AO49)/1000,3),IF(AND(NOT(ISNA(VLOOKUP(AK49,G6:K105,5,FALSE))),AL49="",AM49&lt;&gt;""),ROUND((VLOOKUP(AK49,G6:K105,5,FALSE)-AO49)/1000,3),IF(AND(NOT(ISNA(VLOOKUP(AK49,M6:Q105,5,FALSE))),AL49="",AM49&lt;&gt;""),ROUND((VLOOKUP(AK49,M6:Q105,5,FALSE)-AO49)/1000,3),IF(AND(NOT(ISNA(VLOOKUP(AK49,S6:W105,5,FALSE))),AL49="",AM49&lt;&gt;""),ROUND((VLOOKUP(AK49,S6:W105,5,FALSE)-AO49)/1000,3),IF(AND(NOT(ISNA(VLOOKUP(AK49,Y6:AC105,5,FALSE))),AL49="",AM49&lt;&gt;""),ROUND((VLOOKUP(AK49,Y6:AC105,5,FALSE)-AO49)/1000,3),IF(AND(NOT(ISNA(VLOOKUP(AK49,AE6:AI105,5,FALSE))),AL49="",AM49&lt;&gt;""),ROUND((VLOOKUP(AK49,AE6:AI105,5,FALSE)-AO49)/1000,3),IF(AND(NOT(ISNA(VLOOKUP(AK49,AK6:AO48,5,FALSE))),AL49="",AM49&lt;&gt;""),ROUND((VLOOKUP(AK49,AK6:AO48,5,FALSE)-AO49)/1000,3),"")))))))</f>
        <v/>
      </c>
      <c r="AQ49" s="19">
        <f>IF(AQ48="","",AQ48+1)</f>
        <v>743</v>
      </c>
      <c r="AR49" s="39"/>
      <c r="AS49" s="39"/>
      <c r="AT49" s="15" t="str">
        <f>IF(AND(AR49&lt;&gt;"",AS49&lt;&gt;""),ROUND(AR49,3)+ROUND(AT48,3)-ROUND(AS49,3),IF(AND(EXACT(UPPER(AQ49),"TBM"),AR49&lt;&gt;""),ROUND(AR49,3),IF(AR49="",AT48,IF(ISNA(VLOOKUP(AQ49,A6:E105,5,FALSE)),IF(ISNA(VLOOKUP(AQ49,G6:K105,5,FALSE)),IF(ISNA(VLOOKUP(AQ49,M6:Q105,5,FALSE)),IF(ISNA(VLOOKUP(AQ49,S6:W105,5,FALSE)),IF(ISNA(VLOOKUP(AQ49,Y6:AC105,5,FALSE)),IF(ISNA(VLOOKUP(AQ49,AE6:AI105,5,FALSE)),IF(ISNA(VLOOKUP(AQ49,AK6:AO105,5,FALSE)),IF(ISNA(VLOOKUP(AQ49,AQ6:AU48,5,FALSE)),"",ROUND(VLOOKUP(AQ49,AQ6:AU48,5,FALSE),0)/1000+ROUND(AR49,3)),ROUND(VLOOKUP(AQ49,AK6:AO105,5,FALSE),0)/1000+ROUND(AR49,3)),ROUND(VLOOKUP(AQ49,AE6:AI105,5,FALSE),0)/1000+ROUND(AR49,3)),ROUND(VLOOKUP(AQ49,Y6:AC105,5,FALSE),0)/1000+ROUND(AR49,3)),ROUND(VLOOKUP(AQ49,S6:W105,5,FALSE),0)/1000+ROUND(AR49,3)),ROUND(VLOOKUP(AQ49,M6:Q105,5,FALSE),0)/1000+ROUND(AR49,3)),ROUND(VLOOKUP(AQ49,G6:K105,5,FALSE),0)/1000+ROUND(AR49,3)),ROUND(VLOOKUP(AQ49,A6:E105,5,FALSE),0)/1000+ROUND(AR49,3)))))</f>
        <v/>
      </c>
      <c r="AU49" s="18" t="str">
        <f>IF(OR(NOT(EXACT(UPPER(AQ49),"TBM")),AR49=""),IF(AND(AR49&lt;&gt;"",AS49="",AT49&lt;&gt;""),"",IF(AND(AR49="",AS49&lt;&gt;"",AT49&lt;&gt;""),ROUND(ROUND(AT49,3)-ROUND(AS49,3),3)*1000,IF(AND(AR49&lt;&gt;"",AS49&lt;&gt;"",AT49&lt;&gt;""),ROUND(ROUND(AT48,3)-ROUND(AS49,3),3)*1000,""))),"")</f>
        <v/>
      </c>
      <c r="AV49" s="45" t="str">
        <f>IF(AND(NOT(ISNA(VLOOKUP(AQ49,A6:E105,5,FALSE))),AR49="",AS49&lt;&gt;""),ROUND((VLOOKUP(AQ49,A6:E105,5,FALSE)-AU49)/1000,3),IF(AND(NOT(ISNA(VLOOKUP(AQ49,G6:K105,5,FALSE))),AR49="",AS49&lt;&gt;""),ROUND((VLOOKUP(AQ49,G6:K105,5,FALSE)-AU49)/1000,3),IF(AND(NOT(ISNA(VLOOKUP(AQ49,M6:Q105,5,FALSE))),AR49="",AS49&lt;&gt;""),ROUND((VLOOKUP(AQ49,M6:Q105,5,FALSE)-AU49)/1000,3),IF(AND(NOT(ISNA(VLOOKUP(AQ49,S6:W105,5,FALSE))),AR49="",AS49&lt;&gt;""),ROUND((VLOOKUP(AQ49,S6:W105,5,FALSE)-AU49)/1000,3),IF(AND(NOT(ISNA(VLOOKUP(AQ49,Y6:AC105,5,FALSE))),AR49="",AS49&lt;&gt;""),ROUND((VLOOKUP(AQ49,Y6:AC105,5,FALSE)-AU49)/1000,3),IF(AND(NOT(ISNA(VLOOKUP(AQ49,AE6:AI105,5,FALSE))),AR49="",AS49&lt;&gt;""),ROUND((VLOOKUP(AQ49,AE6:AI105,5,FALSE)-AU49)/1000,3),IF(AND(NOT(ISNA(VLOOKUP(AQ49,AK6:AO105,5,FALSE))),AR49="",AS49&lt;&gt;""),ROUND((VLOOKUP(AQ49,AK6:AO105,5,FALSE)-AU49)/1000,3),IF(AND(NOT(ISNA(VLOOKUP(AQ49,AQ6:AU48,5,FALSE))),AR49="",AS49&lt;&gt;""),ROUND((VLOOKUP(AQ49,AQ6:AU48,5,FALSE)-AU49)/1000,3),""))))))))</f>
        <v/>
      </c>
      <c r="AW49" s="19">
        <f>IF(AW48="","",AW48+1)</f>
        <v>843</v>
      </c>
      <c r="AX49" s="39"/>
      <c r="AY49" s="39"/>
      <c r="AZ49" s="15" t="str">
        <f>IF(AND(AX49&lt;&gt;"",AY49&lt;&gt;""),ROUND(AX49,3)+ROUND(AZ48,3)-ROUND(AY49,3),IF(AND(EXACT(UPPER(AW49),"TBM"),AX49&lt;&gt;""),ROUND(AX49,3),IF(AX49="",AZ48,IF(ISNA(VLOOKUP(AW49,A6:E105,5,FALSE)),IF(ISNA(VLOOKUP(AW49,G6:K105,5,FALSE)),IF(ISNA(VLOOKUP(AW49,M6:Q105,5,FALSE)),IF(ISNA(VLOOKUP(AW49,S6:W105,5,FALSE)),IF(ISNA(VLOOKUP(AW49,Y6:AC105,5,FALSE)),IF(ISNA(VLOOKUP(AW49,AE6:AI105,5,FALSE)),IF(ISNA(VLOOKUP(AW49,AK6:AO105,5,FALSE)),IF(ISNA(VLOOKUP(AW49,AQ6:AU105,5,FALSE)),IF(ISNA(VLOOKUP(AW49,AW6:BA48,5,FALSE)),"",ROUND(VLOOKUP(AW49,AW6:BA48,5,FALSE),0)/1000+ROUND(AX49,3)),ROUND(VLOOKUP(AW49,AQ6:AU105,5,FALSE),0)/1000+ROUND(AX49,3)),ROUND(VLOOKUP(AW49,AK6:AO105,5,FALSE),0)/1000+ROUND(AX49,3)),ROUND(VLOOKUP(AW49,AE6:AI105,5,FALSE),0)/1000+ROUND(AX49,3)),ROUND(VLOOKUP(AW49,Y6:AC105,5,FALSE),0)/1000+ROUND(AX49,3)),ROUND(VLOOKUP(AW49,S6:W105,5,FALSE),0)/1000+ROUND(AX49,3)),ROUND(VLOOKUP(AW49,M6:Q105,5,FALSE),0)/1000+ROUND(AX49,3)),ROUND(VLOOKUP(AW49,G6:K105,5,FALSE),0)/1000+ROUND(AX49,3)),ROUND(VLOOKUP(AW49,A6:E105,5,FALSE),0)/1000+ROUND(AX49,3)))))</f>
        <v/>
      </c>
      <c r="BA49" s="18" t="str">
        <f>IF(OR(NOT(EXACT(UPPER(AW49),"TBM")),AX49=""),IF(AND(AX49&lt;&gt;"",AY49="",AZ49&lt;&gt;""),"",IF(AND(AX49="",AY49&lt;&gt;"",AZ49&lt;&gt;""),ROUND(ROUND(AZ49,3)-ROUND(AY49,3),3)*1000,IF(AND(AX49&lt;&gt;"",AY49&lt;&gt;"",AZ49&lt;&gt;""),ROUND(ROUND(AZ48,3)-ROUND(AY49,3),3)*1000,""))),"")</f>
        <v/>
      </c>
      <c r="BB49" s="45" t="str">
        <f>IF(AND(NOT(ISNA(VLOOKUP(AW49,A6:E105,5,FALSE))),AX49="",AY49&lt;&gt;""),ROUND((VLOOKUP(AW49,A6:E105,5,FALSE)-BA49)/1000,3),IF(AND(NOT(ISNA(VLOOKUP(AW49,G6:K105,5,FALSE))),AX49="",AY49&lt;&gt;""),ROUND((VLOOKUP(AW49,G6:K105,5,FALSE)-BA49)/1000,3),IF(AND(NOT(ISNA(VLOOKUP(AW49,M6:Q105,5,FALSE))),AX49="",AY49&lt;&gt;""),ROUND((VLOOKUP(AW49,M6:Q105,5,FALSE)-BA49)/1000,3),IF(AND(NOT(ISNA(VLOOKUP(AW49,S6:W105,5,FALSE))),AX49="",AY49&lt;&gt;""),ROUND((VLOOKUP(AW49,S6:W105,5,FALSE)-BA49)/1000,3),IF(AND(NOT(ISNA(VLOOKUP(AW49,Y6:AC105,5,FALSE))),AX49="",AY49&lt;&gt;""),ROUND((VLOOKUP(AW49,Y6:AC105,5,FALSE)-BA49)/1000,3),IF(AND(NOT(ISNA(VLOOKUP(AW49,AE6:AI105,5,FALSE))),AX49="",AY49&lt;&gt;""),ROUND((VLOOKUP(AW49,AE6:AI105,5,FALSE)-BA49)/1000,3),IF(AND(NOT(ISNA(VLOOKUP(AW49,AK6:AO105,5,FALSE))),AX49="",AY49&lt;&gt;""),ROUND((VLOOKUP(AW49,AK6:AO105,5,FALSE)-BA49)/1000,3),IF(AND(NOT(ISNA(VLOOKUP(AW49,AQ6:AU105,5,FALSE))),AX49="",AY49&lt;&gt;""),ROUND((VLOOKUP(AW49,AQ6:AU105,5,FALSE)-BA49)/1000,3),IF(AND(NOT(ISNA(VLOOKUP(AW49,AW6:BA48,5,FALSE))),AX49="",AY49&lt;&gt;""),ROUND((VLOOKUP(AW49,AW6:BA48,5,FALSE)-BA49)/1000,3),"")))))))))</f>
        <v/>
      </c>
      <c r="BC49" s="19">
        <f>IF(BC48="","",BC48+1)</f>
        <v>943</v>
      </c>
      <c r="BD49" s="39"/>
      <c r="BE49" s="39"/>
      <c r="BF49" s="15" t="str">
        <f>IF(AND(BD49&lt;&gt;"",BE49&lt;&gt;""),ROUND(BD49,3)+ROUND(BF48,3)-ROUND(BE49,3),IF(AND(EXACT(UPPER(BC49),"TBM"),BD49&lt;&gt;""),ROUND(BD49,3),IF(BD49="",BF48,IF(ISNA(VLOOKUP(BC49,A6:E105,5,FALSE)),IF(ISNA(VLOOKUP(BC49,G6:K105,5,FALSE)),IF(ISNA(VLOOKUP(BC49,M6:Q105,5,FALSE)),IF(ISNA(VLOOKUP(BC49,S6:W105,5,FALSE)),IF(ISNA(VLOOKUP(BC49,Y6:AC105,5,FALSE)),IF(ISNA(VLOOKUP(BC49,AE6:AI105,5,FALSE)),IF(ISNA(VLOOKUP(BC49,AK6:AO105,5,FALSE)),IF(ISNA(VLOOKUP(BC49,AQ6:AU105,5,FALSE)),IF(ISNA(VLOOKUP(BC49,AW6:BA105,5,FALSE)),IF(ISNA(VLOOKUP(BC49,BC6:BG48,5,FALSE)),"",ROUND(VLOOKUP(BC49,BC6:BG48,5,FALSE),0)/1000+ROUND(BD49,3)),ROUND(VLOOKUP(BC49,AW6:BA105,5,FALSE),0)/1000+ROUND(BD49,3)),ROUND(VLOOKUP(BC49,AQ6:AU105,5,FALSE),0)/1000+ROUND(BD49,3)),ROUND(VLOOKUP(BC49,AK6:AO105,5,FALSE),0)/1000+ROUND(BD49,3)),ROUND(VLOOKUP(BC49,AE6:AI105,5,FALSE),0)/1000+ROUND(BD49,3)),ROUND(VLOOKUP(BC49,Y6:AC105,5,FALSE),0)/1000+ROUND(BD49,3)),ROUND(VLOOKUP(BC49,S6:W105,5,FALSE),0)/1000+ROUND(BD49,3)),ROUND(VLOOKUP(BC49,M6:Q105,5,FALSE),0)/1000+ROUND(BD49,3)),ROUND(VLOOKUP(BC49,G6:K105,5,FALSE),0)/1000+ROUND(BD49,3)),ROUND(VLOOKUP(BC49,A6:E105,5,FALSE),0)/1000+ROUND(BD49,3)))))</f>
        <v/>
      </c>
      <c r="BG49" s="18" t="str">
        <f>IF(OR(NOT(EXACT(UPPER(BC49),"TBM")),BD49=""),IF(AND(BD49&lt;&gt;"",BE49="",BF49&lt;&gt;""),"",IF(AND(BD49="",BE49&lt;&gt;"",BF49&lt;&gt;""),ROUND(ROUND(BF49,3)-ROUND(BE49,3),3)*1000,IF(AND(BD49&lt;&gt;"",BE49&lt;&gt;"",BF49&lt;&gt;""),ROUND(ROUND(BF48,3)-ROUND(BE49,3),3)*1000,""))),"")</f>
        <v/>
      </c>
      <c r="BH49" s="45" t="str">
        <f>IF(AND(NOT(ISNA(VLOOKUP(BC49,A6:E105,5,FALSE))),BD49="",BE49&lt;&gt;""),ROUND((VLOOKUP(BC49,A6:E105,5,FALSE)-BG49)/1000,3),IF(AND(NOT(ISNA(VLOOKUP(BC49,G6:K105,5,FALSE))),BD49="",BE49&lt;&gt;""),ROUND((VLOOKUP(BC49,G6:K105,5,FALSE)-BG49)/1000,3),IF(AND(NOT(ISNA(VLOOKUP(BC49,M6:Q105,5,FALSE))),BD49="",BE49&lt;&gt;""),ROUND((VLOOKUP(BC49,M6:Q105,5,FALSE)-BG49)/1000,3),IF(AND(NOT(ISNA(VLOOKUP(BC49,S6:W105,5,FALSE))),BD49="",BE49&lt;&gt;""),ROUND((VLOOKUP(BC49,S6:W105,5,FALSE)-BG49)/1000,3),IF(AND(NOT(ISNA(VLOOKUP(BC49,Y6:AC105,5,FALSE))),BD49="",BE49&lt;&gt;""),ROUND((VLOOKUP(BC49,Y6:AC105,5,FALSE)-BG49)/1000,3),IF(AND(NOT(ISNA(VLOOKUP(BC49,AE6:AI105,5,FALSE))),BD49="",BE49&lt;&gt;""),ROUND((VLOOKUP(BC49,AE6:AI105,5,FALSE)-BG49)/1000,3),IF(AND(NOT(ISNA(VLOOKUP(BC49,AK6:AO105,5,FALSE))),BD49="",BE49&lt;&gt;""),ROUND((VLOOKUP(BC49,AK6:AO105,5,FALSE)-BG49)/1000,3),IF(AND(NOT(ISNA(VLOOKUP(BC49,AQ6:AU105,5,FALSE))),BD49="",BE49&lt;&gt;""),ROUND((VLOOKUP(BC49,AQ6:AU105,5,FALSE)-BG49)/1000,3),IF(AND(NOT(ISNA(VLOOKUP(BC49,AW6:BA105,5,FALSE))),BD49="",BE49&lt;&gt;""),ROUND((VLOOKUP(BC49,AW6:BA105,5,FALSE)-BG49)/1000,3),IF(AND(NOT(ISNA(VLOOKUP(BC49,BC6:BG48,5,FALSE))),BD49="",BE49&lt;&gt;""),ROUND((VLOOKUP(BC49,BC6:BG48,5,FALSE)-BG49)/1000,3),""))))))))))</f>
        <v/>
      </c>
    </row>
    <row r="50" spans="1:60" x14ac:dyDescent="0.25">
      <c r="A50" s="67">
        <f t="shared" si="3"/>
        <v>44</v>
      </c>
      <c r="B50" s="42"/>
      <c r="C50" s="43"/>
      <c r="D50" s="62" t="str">
        <f>IF(AND(B50&lt;&gt;"",C50&lt;&gt;""),ROUND(B50,3)+ROUND(D49,3)-ROUND(C50,3),IF(AND(EXACT(UPPER(A50),"TBM"),B50&lt;&gt;""),ROUND(B50,3),IF(B50="",D49,IF(ISNA(VLOOKUP(A50,A6:E49,5,FALSE)),"",ROUND(VLOOKUP(A50,A6:E49,5,FALSE),0)/1000+ROUND(B50,3)))))</f>
        <v/>
      </c>
      <c r="E50" s="22" t="str">
        <f t="shared" si="4"/>
        <v/>
      </c>
      <c r="F50" s="46" t="str">
        <f>IF(AND(NOT(ISNA(VLOOKUP(A50,A6:E49,5,FALSE))),B50="",C50&lt;&gt;""),ROUND((VLOOKUP(A50,A6:E49,5,FALSE)-E50)/1000,3),"")</f>
        <v/>
      </c>
      <c r="G50" s="67">
        <f t="shared" si="1"/>
        <v>144</v>
      </c>
      <c r="H50" s="40"/>
      <c r="I50" s="40"/>
      <c r="J50" s="62" t="str">
        <f>IF(AND(H50&lt;&gt;"",I50&lt;&gt;""),ROUND(H50,3)+ROUND(J49,3)-ROUND(I50,3),IF(AND(EXACT(UPPER(G50),"TBM"),H50&lt;&gt;""),ROUND(H50,3),IF(H50="",J49,IF(ISNA(VLOOKUP(G50,A6:E105,5,FALSE)),IF(ISNA(VLOOKUP(G50,G6:K49,5,FALSE)),"",ROUND(VLOOKUP(G50,G6:K49,5,FALSE),0)/1000+ROUND(H50,3)),ROUND(VLOOKUP(G50,A6:E105,5,FALSE),0)/1000+ROUND(H50,3)))))</f>
        <v/>
      </c>
      <c r="K50" s="20" t="str">
        <f t="shared" si="5"/>
        <v/>
      </c>
      <c r="L50" s="46" t="str">
        <f>IF(AND(NOT(ISNA(VLOOKUP(G50,A6:E105,5,FALSE))),H50="",I50&lt;&gt;""),ROUND((VLOOKUP(G50,A6:E105,5,FALSE)-K50)/1000,3),IF(AND(NOT(ISNA(VLOOKUP(G50,G6:K49,5,FALSE))),H50="",I50&lt;&gt;""),ROUND((VLOOKUP(G50,G6:K49,5,FALSE)-K50)/1000,3),""))</f>
        <v/>
      </c>
      <c r="M50" s="67">
        <f>IF(M49="","",M49+1)</f>
        <v>244</v>
      </c>
      <c r="N50" s="40"/>
      <c r="O50" s="40"/>
      <c r="P50" s="62" t="str">
        <f>IF(AND(N50&lt;&gt;"",O50&lt;&gt;""),ROUND(N50,3)+ROUND(P49,3)-ROUND(O50,3),IF(AND(EXACT(UPPER(M50),"TBM"),N50&lt;&gt;""),ROUND(N50,3),IF(N50="",P49,IF(ISNA(VLOOKUP(M50,A6:E105,5,FALSE)),IF(ISNA(VLOOKUP(M50,G6:K105,5,FALSE)),IF(ISNA(VLOOKUP(M50,M6:Q49,5,FALSE)),"",ROUND(VLOOKUP(M50,M6:Q49,5,FALSE),0)/1000+ROUND(N50,3)),ROUND(VLOOKUP(M50,G6:K105,5,FALSE),0)/1000+ROUND(N50,3)),ROUND(VLOOKUP(M50,A6:E105,5,FALSE),0)/1000+ROUND(N50,3)))))</f>
        <v/>
      </c>
      <c r="Q50" s="20" t="str">
        <f>IF(OR(NOT(EXACT(UPPER(M50),"TBM")),N50=""),IF(AND(N50&lt;&gt;"",O50="",P50&lt;&gt;""),"",IF(AND(N50="",O50&lt;&gt;"",P50&lt;&gt;""),ROUND(ROUND(P50,3)-ROUND(O50,3),3)*1000,IF(AND(N50&lt;&gt;"",O50&lt;&gt;"",P50&lt;&gt;""),ROUND(ROUND(P49,3)-ROUND(O50,3),3)*1000,""))),"")</f>
        <v/>
      </c>
      <c r="R50" s="46" t="str">
        <f>IF(AND(NOT(ISNA(VLOOKUP(M50,A6:E105,5,FALSE))),N50="",O50&lt;&gt;""),ROUND((VLOOKUP(M50,A6:E105,5,FALSE)-Q50)/1000,3),IF(AND(NOT(ISNA(VLOOKUP(M50,G6:K105,5,FALSE))),N50="",O50&lt;&gt;""),ROUND((VLOOKUP(M50,G6:K105,5,FALSE)-Q50)/1000,3),IF(AND(NOT(ISNA(VLOOKUP(M50,M6:Q49,5,FALSE))),N50="",O50&lt;&gt;""),ROUND((VLOOKUP(M50,M6:Q49,5,FALSE)-Q50)/1000,3),"")))</f>
        <v/>
      </c>
      <c r="S50" s="67">
        <f>IF(S49="","",S49+1)</f>
        <v>344</v>
      </c>
      <c r="T50" s="40"/>
      <c r="U50" s="40"/>
      <c r="V50" s="62" t="str">
        <f>IF(AND(T50&lt;&gt;"",U50&lt;&gt;""),ROUND(T50,3)+ROUND(V49,3)-ROUND(U50,3),IF(AND(EXACT(UPPER(S50),"TBM"),T50&lt;&gt;""),ROUND(T50,3),IF(T50="",V49,IF(ISNA(VLOOKUP(S50,A6:E105,5,FALSE)),IF(ISNA(VLOOKUP(S50,G6:K105,5,FALSE)),IF(ISNA(VLOOKUP(S50,M6:Q105,5,FALSE)),IF(ISNA(VLOOKUP(S50,S6:W49,5,FALSE)),"",ROUND(VLOOKUP(S50,S6:W49,5,FALSE),0)/1000+ROUND(T50,3)),ROUND(VLOOKUP(S50,M6:Q105,5,FALSE),0)/1000+ROUND(T50,3)),ROUND(VLOOKUP(S50,G6:K105,5,FALSE),0)/1000+ROUND(T50,3)),ROUND(VLOOKUP(S50,A6:E105,5,FALSE),0)/1000+ROUND(T50,3)))))</f>
        <v/>
      </c>
      <c r="W50" s="20" t="str">
        <f>IF(OR(NOT(EXACT(UPPER(S50),"TBM")),T50=""),IF(AND(T50&lt;&gt;"",U50="",V50&lt;&gt;""),"",IF(AND(T50="",U50&lt;&gt;"",V50&lt;&gt;""),ROUND(ROUND(V50,3)-ROUND(U50,3),3)*1000,IF(AND(T50&lt;&gt;"",U50&lt;&gt;"",V50&lt;&gt;""),ROUND(ROUND(V49,3)-ROUND(U50,3),3)*1000,""))),"")</f>
        <v/>
      </c>
      <c r="X50" s="46" t="str">
        <f>IF(AND(NOT(ISNA(VLOOKUP(S50,A6:E105,5,FALSE))),T50="",U50&lt;&gt;""),ROUND((VLOOKUP(S50,A6:E105,5,FALSE)-W50)/1000,3),IF(AND(NOT(ISNA(VLOOKUP(S50,G6:K105,5,FALSE))),T50="",U50&lt;&gt;""),ROUND((VLOOKUP(S50,G6:K105,5,FALSE)-W50)/1000,3),IF(AND(NOT(ISNA(VLOOKUP(S50,M6:Q105,5,FALSE))),T50="",U50&lt;&gt;""),ROUND((VLOOKUP(S50,M6:Q105,5,FALSE)-W50)/1000,3),IF(AND(NOT(ISNA(VLOOKUP(S50,S6:W49,5,FALSE))),T50="",U50&lt;&gt;""),ROUND((VLOOKUP(S50,S6:W49,5,FALSE)-W50)/1000,3),""))))</f>
        <v/>
      </c>
      <c r="Y50" s="67">
        <f>IF(Y49="","",Y49+1)</f>
        <v>444</v>
      </c>
      <c r="Z50" s="40"/>
      <c r="AA50" s="40"/>
      <c r="AB50" s="62" t="str">
        <f>IF(AND(Z50&lt;&gt;"",AA50&lt;&gt;""),ROUND(Z50,3)+ROUND(AB49,3)-ROUND(AA50,3),IF(AND(EXACT(UPPER(Y50),"TBM"),Z50&lt;&gt;""),ROUND(Z50,3),IF(Z50="",AB49,IF(ISNA(VLOOKUP(Y50,A6:E105,5,FALSE)),IF(ISNA(VLOOKUP(Y50,G6:K105,5,FALSE)),IF(ISNA(VLOOKUP(Y50,M6:Q105,5,FALSE)),IF(ISNA(VLOOKUP(Y50,S6:W105,5,FALSE)),IF(ISNA(VLOOKUP(Y50,Y6:AC49,5,FALSE)),"",ROUND(VLOOKUP(Y50,Y6:AC49,5,FALSE),0)/1000+ROUND(Z50,3)),ROUND(VLOOKUP(Y50,S6:W105,5,FALSE),0)/1000+ROUND(Z50,3)),ROUND(VLOOKUP(Y50,M6:Q105,5,FALSE),0)/1000+ROUND(Z50,3)),ROUND(VLOOKUP(Y50,G6:K105,5,FALSE),0)/1000+ROUND(Z50,3)),ROUND(VLOOKUP(Y50,A6:E105,5,FALSE),0)/1000+ROUND(Z50,3)))))</f>
        <v/>
      </c>
      <c r="AC50" s="20" t="str">
        <f>IF(OR(NOT(EXACT(UPPER(Y50),"TBM")),Z50=""),IF(AND(Z50&lt;&gt;"",AA50="",AB50&lt;&gt;""),"",IF(AND(Z50="",AA50&lt;&gt;"",AB50&lt;&gt;""),ROUND(ROUND(AB50,3)-ROUND(AA50,3),3)*1000,IF(AND(Z50&lt;&gt;"",AA50&lt;&gt;"",AB50&lt;&gt;""),ROUND(ROUND(AB49,3)-ROUND(AA50,3),3)*1000,""))),"")</f>
        <v/>
      </c>
      <c r="AD50" s="46" t="str">
        <f>IF(AND(NOT(ISNA(VLOOKUP(Y50,A6:E105,5,FALSE))),Z50="",AA50&lt;&gt;""),ROUND((VLOOKUP(Y50,A6:E105,5,FALSE)-AC50)/1000,3),IF(AND(NOT(ISNA(VLOOKUP(Y50,G6:K105,5,FALSE))),Z50="",AA50&lt;&gt;""),ROUND((VLOOKUP(Y50,G6:K105,5,FALSE)-AC50)/1000,3),IF(AND(NOT(ISNA(VLOOKUP(Y50,M6:Q105,5,FALSE))),Z50="",AA50&lt;&gt;""),ROUND((VLOOKUP(Y50,M6:Q105,5,FALSE)-AC50)/1000,3),IF(AND(NOT(ISNA(VLOOKUP(Y50,S6:W105,5,FALSE))),Z50="",AA50&lt;&gt;""),ROUND((VLOOKUP(Y50,S6:W105,5,FALSE)-AC50)/1000,3),IF(AND(NOT(ISNA(VLOOKUP(Y50,Y6:AC49,5,FALSE))),Z50="",AA50&lt;&gt;""),ROUND((VLOOKUP(Y50,Y6:AC49,5,FALSE)-AC50)/1000,3),"")))))</f>
        <v/>
      </c>
      <c r="AE50" s="67">
        <f>IF(AE49="","",AE49+1)</f>
        <v>544</v>
      </c>
      <c r="AF50" s="40"/>
      <c r="AG50" s="40"/>
      <c r="AH50" s="62" t="str">
        <f>IF(AND(AF50&lt;&gt;"",AG50&lt;&gt;""),ROUND(AF50,3)+ROUND(AH49,3)-ROUND(AG50,3),IF(AND(EXACT(UPPER(AE50),"TBM"),AF50&lt;&gt;""),ROUND(AF50,3),IF(AF50="",AH49,IF(ISNA(VLOOKUP(AE50,A6:E105,5,FALSE)),IF(ISNA(VLOOKUP(AE50,G6:K105,5,FALSE)),IF(ISNA(VLOOKUP(AE50,M6:Q105,5,FALSE)),IF(ISNA(VLOOKUP(AE50,S6:W105,5,FALSE)),IF(ISNA(VLOOKUP(AE50,Y6:AC105,5,FALSE)),IF(ISNA(VLOOKUP(AE50,AE6:AI49,5,FALSE)),"",ROUND(VLOOKUP(AE50,AE6:AI49,5,FALSE),0)/1000+ROUND(AF50,3)),ROUND(VLOOKUP(AE50,Y6:AC105,5,FALSE),0)/1000+ROUND(AF50,3)),ROUND(VLOOKUP(AE50,S6:W105,5,FALSE),0)/1000+ROUND(AF50,3)),ROUND(VLOOKUP(AE50,M6:Q105,5,FALSE),0)/1000+ROUND(AF50,3)),ROUND(VLOOKUP(AE50,G6:K105,5,FALSE),0)/1000+ROUND(AF50,3)),ROUND(VLOOKUP(AE50,A6:E105,5,FALSE),0)/1000+ROUND(AF50,3)))))</f>
        <v/>
      </c>
      <c r="AI50" s="20" t="str">
        <f>IF(OR(NOT(EXACT(UPPER(AE50),"TBM")),AF50=""),IF(AND(AF50&lt;&gt;"",AG50="",AH50&lt;&gt;""),"",IF(AND(AF50="",AG50&lt;&gt;"",AH50&lt;&gt;""),ROUND(ROUND(AH50,3)-ROUND(AG50,3),3)*1000,IF(AND(AF50&lt;&gt;"",AG50&lt;&gt;"",AH50&lt;&gt;""),ROUND(ROUND(AH49,3)-ROUND(AG50,3),3)*1000,""))),"")</f>
        <v/>
      </c>
      <c r="AJ50" s="46" t="str">
        <f>IF(AND(NOT(ISNA(VLOOKUP(AE50,A6:E105,5,FALSE))),AF50="",AG50&lt;&gt;""),ROUND((VLOOKUP(AE50,A6:E105,5,FALSE)-AI50)/1000,3),IF(AND(NOT(ISNA(VLOOKUP(AE50,G6:K105,5,FALSE))),AF50="",AG50&lt;&gt;""),ROUND((VLOOKUP(AE50,G6:K105,5,FALSE)-AI50)/1000,3),IF(AND(NOT(ISNA(VLOOKUP(AE50,M6:Q105,5,FALSE))),AF50="",AG50&lt;&gt;""),ROUND((VLOOKUP(AE50,M6:Q105,5,FALSE)-AI50)/1000,3),IF(AND(NOT(ISNA(VLOOKUP(AE50,S6:W105,5,FALSE))),AF50="",AG50&lt;&gt;""),ROUND((VLOOKUP(AE50,S6:W105,5,FALSE)-AI50)/1000,3),IF(AND(NOT(ISNA(VLOOKUP(AE50,Y6:AC105,5,FALSE))),AF50="",AG50&lt;&gt;""),ROUND((VLOOKUP(AE50,Y6:AC105,5,FALSE)-AI50)/1000,3),IF(AND(NOT(ISNA(VLOOKUP(AE50,AE6:AI49,5,FALSE))),AF50="",AG50&lt;&gt;""),ROUND((VLOOKUP(AE50,AE6:AI49,5,FALSE)-AI50)/1000,3),""))))))</f>
        <v/>
      </c>
      <c r="AK50" s="67">
        <f>IF(AK49="","",AK49+1)</f>
        <v>644</v>
      </c>
      <c r="AL50" s="40"/>
      <c r="AM50" s="40"/>
      <c r="AN50" s="62" t="str">
        <f>IF(AND(AL50&lt;&gt;"",AM50&lt;&gt;""),ROUND(AL50,3)+ROUND(AN49,3)-ROUND(AM50,3),IF(AND(EXACT(UPPER(AK50),"TBM"),AL50&lt;&gt;""),ROUND(AL50,3),IF(AL50="",AN49,IF(ISNA(VLOOKUP(AK50,A6:E105,5,FALSE)),IF(ISNA(VLOOKUP(AK50,G6:K105,5,FALSE)),IF(ISNA(VLOOKUP(AK50,M6:Q105,5,FALSE)),IF(ISNA(VLOOKUP(AK50,S6:W105,5,FALSE)),IF(ISNA(VLOOKUP(AK50,Y6:AC105,5,FALSE)),IF(ISNA(VLOOKUP(AK50,AE6:AI105,5,FALSE)),IF(ISNA(VLOOKUP(AK50,AK6:AO49,5,FALSE)),"",ROUND(VLOOKUP(AK50,AK6:AO49,5,FALSE),0)/1000+ROUND(AL50,3)),ROUND(VLOOKUP(AK50,AE6:AI105,5,FALSE),0)/1000+ROUND(AL50,3)),ROUND(VLOOKUP(AK50,Y6:AC105,5,FALSE),0)/1000+ROUND(AL50,3)),ROUND(VLOOKUP(AK50,S6:W105,5,FALSE),0)/1000+ROUND(AL50,3)),ROUND(VLOOKUP(AK50,M6:Q105,5,FALSE),0)/1000+ROUND(AL50,3)),ROUND(VLOOKUP(AK50,G6:K105,5,FALSE),0)/1000+ROUND(AL50,3)),ROUND(VLOOKUP(AK50,A6:E105,5,FALSE),0)/1000+ROUND(AL50,3)))))</f>
        <v/>
      </c>
      <c r="AO50" s="20" t="str">
        <f>IF(OR(NOT(EXACT(UPPER(AK50),"TBM")),AL50=""),IF(AND(AL50&lt;&gt;"",AM50="",AN50&lt;&gt;""),"",IF(AND(AL50="",AM50&lt;&gt;"",AN50&lt;&gt;""),ROUND(ROUND(AN50,3)-ROUND(AM50,3),3)*1000,IF(AND(AL50&lt;&gt;"",AM50&lt;&gt;"",AN50&lt;&gt;""),ROUND(ROUND(AN49,3)-ROUND(AM50,3),3)*1000,""))),"")</f>
        <v/>
      </c>
      <c r="AP50" s="46" t="str">
        <f>IF(AND(NOT(ISNA(VLOOKUP(AK50,A6:E105,5,FALSE))),AL50="",AM50&lt;&gt;""),ROUND((VLOOKUP(AK50,A6:E105,5,FALSE)-AO50)/1000,3),IF(AND(NOT(ISNA(VLOOKUP(AK50,G6:K105,5,FALSE))),AL50="",AM50&lt;&gt;""),ROUND((VLOOKUP(AK50,G6:K105,5,FALSE)-AO50)/1000,3),IF(AND(NOT(ISNA(VLOOKUP(AK50,M6:Q105,5,FALSE))),AL50="",AM50&lt;&gt;""),ROUND((VLOOKUP(AK50,M6:Q105,5,FALSE)-AO50)/1000,3),IF(AND(NOT(ISNA(VLOOKUP(AK50,S6:W105,5,FALSE))),AL50="",AM50&lt;&gt;""),ROUND((VLOOKUP(AK50,S6:W105,5,FALSE)-AO50)/1000,3),IF(AND(NOT(ISNA(VLOOKUP(AK50,Y6:AC105,5,FALSE))),AL50="",AM50&lt;&gt;""),ROUND((VLOOKUP(AK50,Y6:AC105,5,FALSE)-AO50)/1000,3),IF(AND(NOT(ISNA(VLOOKUP(AK50,AE6:AI105,5,FALSE))),AL50="",AM50&lt;&gt;""),ROUND((VLOOKUP(AK50,AE6:AI105,5,FALSE)-AO50)/1000,3),IF(AND(NOT(ISNA(VLOOKUP(AK50,AK6:AO49,5,FALSE))),AL50="",AM50&lt;&gt;""),ROUND((VLOOKUP(AK50,AK6:AO49,5,FALSE)-AO50)/1000,3),"")))))))</f>
        <v/>
      </c>
      <c r="AQ50" s="67">
        <f>IF(AQ49="","",AQ49+1)</f>
        <v>744</v>
      </c>
      <c r="AR50" s="40"/>
      <c r="AS50" s="40"/>
      <c r="AT50" s="62" t="str">
        <f>IF(AND(AR50&lt;&gt;"",AS50&lt;&gt;""),ROUND(AR50,3)+ROUND(AT49,3)-ROUND(AS50,3),IF(AND(EXACT(UPPER(AQ50),"TBM"),AR50&lt;&gt;""),ROUND(AR50,3),IF(AR50="",AT49,IF(ISNA(VLOOKUP(AQ50,A6:E105,5,FALSE)),IF(ISNA(VLOOKUP(AQ50,G6:K105,5,FALSE)),IF(ISNA(VLOOKUP(AQ50,M6:Q105,5,FALSE)),IF(ISNA(VLOOKUP(AQ50,S6:W105,5,FALSE)),IF(ISNA(VLOOKUP(AQ50,Y6:AC105,5,FALSE)),IF(ISNA(VLOOKUP(AQ50,AE6:AI105,5,FALSE)),IF(ISNA(VLOOKUP(AQ50,AK6:AO105,5,FALSE)),IF(ISNA(VLOOKUP(AQ50,AQ6:AU49,5,FALSE)),"",ROUND(VLOOKUP(AQ50,AQ6:AU49,5,FALSE),0)/1000+ROUND(AR50,3)),ROUND(VLOOKUP(AQ50,AK6:AO105,5,FALSE),0)/1000+ROUND(AR50,3)),ROUND(VLOOKUP(AQ50,AE6:AI105,5,FALSE),0)/1000+ROUND(AR50,3)),ROUND(VLOOKUP(AQ50,Y6:AC105,5,FALSE),0)/1000+ROUND(AR50,3)),ROUND(VLOOKUP(AQ50,S6:W105,5,FALSE),0)/1000+ROUND(AR50,3)),ROUND(VLOOKUP(AQ50,M6:Q105,5,FALSE),0)/1000+ROUND(AR50,3)),ROUND(VLOOKUP(AQ50,G6:K105,5,FALSE),0)/1000+ROUND(AR50,3)),ROUND(VLOOKUP(AQ50,A6:E105,5,FALSE),0)/1000+ROUND(AR50,3)))))</f>
        <v/>
      </c>
      <c r="AU50" s="20" t="str">
        <f>IF(OR(NOT(EXACT(UPPER(AQ50),"TBM")),AR50=""),IF(AND(AR50&lt;&gt;"",AS50="",AT50&lt;&gt;""),"",IF(AND(AR50="",AS50&lt;&gt;"",AT50&lt;&gt;""),ROUND(ROUND(AT50,3)-ROUND(AS50,3),3)*1000,IF(AND(AR50&lt;&gt;"",AS50&lt;&gt;"",AT50&lt;&gt;""),ROUND(ROUND(AT49,3)-ROUND(AS50,3),3)*1000,""))),"")</f>
        <v/>
      </c>
      <c r="AV50" s="46" t="str">
        <f>IF(AND(NOT(ISNA(VLOOKUP(AQ50,A6:E105,5,FALSE))),AR50="",AS50&lt;&gt;""),ROUND((VLOOKUP(AQ50,A6:E105,5,FALSE)-AU50)/1000,3),IF(AND(NOT(ISNA(VLOOKUP(AQ50,G6:K105,5,FALSE))),AR50="",AS50&lt;&gt;""),ROUND((VLOOKUP(AQ50,G6:K105,5,FALSE)-AU50)/1000,3),IF(AND(NOT(ISNA(VLOOKUP(AQ50,M6:Q105,5,FALSE))),AR50="",AS50&lt;&gt;""),ROUND((VLOOKUP(AQ50,M6:Q105,5,FALSE)-AU50)/1000,3),IF(AND(NOT(ISNA(VLOOKUP(AQ50,S6:W105,5,FALSE))),AR50="",AS50&lt;&gt;""),ROUND((VLOOKUP(AQ50,S6:W105,5,FALSE)-AU50)/1000,3),IF(AND(NOT(ISNA(VLOOKUP(AQ50,Y6:AC105,5,FALSE))),AR50="",AS50&lt;&gt;""),ROUND((VLOOKUP(AQ50,Y6:AC105,5,FALSE)-AU50)/1000,3),IF(AND(NOT(ISNA(VLOOKUP(AQ50,AE6:AI105,5,FALSE))),AR50="",AS50&lt;&gt;""),ROUND((VLOOKUP(AQ50,AE6:AI105,5,FALSE)-AU50)/1000,3),IF(AND(NOT(ISNA(VLOOKUP(AQ50,AK6:AO105,5,FALSE))),AR50="",AS50&lt;&gt;""),ROUND((VLOOKUP(AQ50,AK6:AO105,5,FALSE)-AU50)/1000,3),IF(AND(NOT(ISNA(VLOOKUP(AQ50,AQ6:AU49,5,FALSE))),AR50="",AS50&lt;&gt;""),ROUND((VLOOKUP(AQ50,AQ6:AU49,5,FALSE)-AU50)/1000,3),""))))))))</f>
        <v/>
      </c>
      <c r="AW50" s="67">
        <f>IF(AW49="","",AW49+1)</f>
        <v>844</v>
      </c>
      <c r="AX50" s="40"/>
      <c r="AY50" s="40"/>
      <c r="AZ50" s="62" t="str">
        <f>IF(AND(AX50&lt;&gt;"",AY50&lt;&gt;""),ROUND(AX50,3)+ROUND(AZ49,3)-ROUND(AY50,3),IF(AND(EXACT(UPPER(AW50),"TBM"),AX50&lt;&gt;""),ROUND(AX50,3),IF(AX50="",AZ49,IF(ISNA(VLOOKUP(AW50,A6:E105,5,FALSE)),IF(ISNA(VLOOKUP(AW50,G6:K105,5,FALSE)),IF(ISNA(VLOOKUP(AW50,M6:Q105,5,FALSE)),IF(ISNA(VLOOKUP(AW50,S6:W105,5,FALSE)),IF(ISNA(VLOOKUP(AW50,Y6:AC105,5,FALSE)),IF(ISNA(VLOOKUP(AW50,AE6:AI105,5,FALSE)),IF(ISNA(VLOOKUP(AW50,AK6:AO105,5,FALSE)),IF(ISNA(VLOOKUP(AW50,AQ6:AU105,5,FALSE)),IF(ISNA(VLOOKUP(AW50,AW6:BA49,5,FALSE)),"",ROUND(VLOOKUP(AW50,AW6:BA49,5,FALSE),0)/1000+ROUND(AX50,3)),ROUND(VLOOKUP(AW50,AQ6:AU105,5,FALSE),0)/1000+ROUND(AX50,3)),ROUND(VLOOKUP(AW50,AK6:AO105,5,FALSE),0)/1000+ROUND(AX50,3)),ROUND(VLOOKUP(AW50,AE6:AI105,5,FALSE),0)/1000+ROUND(AX50,3)),ROUND(VLOOKUP(AW50,Y6:AC105,5,FALSE),0)/1000+ROUND(AX50,3)),ROUND(VLOOKUP(AW50,S6:W105,5,FALSE),0)/1000+ROUND(AX50,3)),ROUND(VLOOKUP(AW50,M6:Q105,5,FALSE),0)/1000+ROUND(AX50,3)),ROUND(VLOOKUP(AW50,G6:K105,5,FALSE),0)/1000+ROUND(AX50,3)),ROUND(VLOOKUP(AW50,A6:E105,5,FALSE),0)/1000+ROUND(AX50,3)))))</f>
        <v/>
      </c>
      <c r="BA50" s="20" t="str">
        <f>IF(OR(NOT(EXACT(UPPER(AW50),"TBM")),AX50=""),IF(AND(AX50&lt;&gt;"",AY50="",AZ50&lt;&gt;""),"",IF(AND(AX50="",AY50&lt;&gt;"",AZ50&lt;&gt;""),ROUND(ROUND(AZ50,3)-ROUND(AY50,3),3)*1000,IF(AND(AX50&lt;&gt;"",AY50&lt;&gt;"",AZ50&lt;&gt;""),ROUND(ROUND(AZ49,3)-ROUND(AY50,3),3)*1000,""))),"")</f>
        <v/>
      </c>
      <c r="BB50" s="46" t="str">
        <f>IF(AND(NOT(ISNA(VLOOKUP(AW50,A6:E105,5,FALSE))),AX50="",AY50&lt;&gt;""),ROUND((VLOOKUP(AW50,A6:E105,5,FALSE)-BA50)/1000,3),IF(AND(NOT(ISNA(VLOOKUP(AW50,G6:K105,5,FALSE))),AX50="",AY50&lt;&gt;""),ROUND((VLOOKUP(AW50,G6:K105,5,FALSE)-BA50)/1000,3),IF(AND(NOT(ISNA(VLOOKUP(AW50,M6:Q105,5,FALSE))),AX50="",AY50&lt;&gt;""),ROUND((VLOOKUP(AW50,M6:Q105,5,FALSE)-BA50)/1000,3),IF(AND(NOT(ISNA(VLOOKUP(AW50,S6:W105,5,FALSE))),AX50="",AY50&lt;&gt;""),ROUND((VLOOKUP(AW50,S6:W105,5,FALSE)-BA50)/1000,3),IF(AND(NOT(ISNA(VLOOKUP(AW50,Y6:AC105,5,FALSE))),AX50="",AY50&lt;&gt;""),ROUND((VLOOKUP(AW50,Y6:AC105,5,FALSE)-BA50)/1000,3),IF(AND(NOT(ISNA(VLOOKUP(AW50,AE6:AI105,5,FALSE))),AX50="",AY50&lt;&gt;""),ROUND((VLOOKUP(AW50,AE6:AI105,5,FALSE)-BA50)/1000,3),IF(AND(NOT(ISNA(VLOOKUP(AW50,AK6:AO105,5,FALSE))),AX50="",AY50&lt;&gt;""),ROUND((VLOOKUP(AW50,AK6:AO105,5,FALSE)-BA50)/1000,3),IF(AND(NOT(ISNA(VLOOKUP(AW50,AQ6:AU105,5,FALSE))),AX50="",AY50&lt;&gt;""),ROUND((VLOOKUP(AW50,AQ6:AU105,5,FALSE)-BA50)/1000,3),IF(AND(NOT(ISNA(VLOOKUP(AW50,AW6:BA49,5,FALSE))),AX50="",AY50&lt;&gt;""),ROUND((VLOOKUP(AW50,AW6:BA49,5,FALSE)-BA50)/1000,3),"")))))))))</f>
        <v/>
      </c>
      <c r="BC50" s="67">
        <f>IF(BC49="","",BC49+1)</f>
        <v>944</v>
      </c>
      <c r="BD50" s="40"/>
      <c r="BE50" s="40"/>
      <c r="BF50" s="62" t="str">
        <f>IF(AND(BD50&lt;&gt;"",BE50&lt;&gt;""),ROUND(BD50,3)+ROUND(BF49,3)-ROUND(BE50,3),IF(AND(EXACT(UPPER(BC50),"TBM"),BD50&lt;&gt;""),ROUND(BD50,3),IF(BD50="",BF49,IF(ISNA(VLOOKUP(BC50,A6:E105,5,FALSE)),IF(ISNA(VLOOKUP(BC50,G6:K105,5,FALSE)),IF(ISNA(VLOOKUP(BC50,M6:Q105,5,FALSE)),IF(ISNA(VLOOKUP(BC50,S6:W105,5,FALSE)),IF(ISNA(VLOOKUP(BC50,Y6:AC105,5,FALSE)),IF(ISNA(VLOOKUP(BC50,AE6:AI105,5,FALSE)),IF(ISNA(VLOOKUP(BC50,AK6:AO105,5,FALSE)),IF(ISNA(VLOOKUP(BC50,AQ6:AU105,5,FALSE)),IF(ISNA(VLOOKUP(BC50,AW6:BA105,5,FALSE)),IF(ISNA(VLOOKUP(BC50,BC6:BG49,5,FALSE)),"",ROUND(VLOOKUP(BC50,BC6:BG49,5,FALSE),0)/1000+ROUND(BD50,3)),ROUND(VLOOKUP(BC50,AW6:BA105,5,FALSE),0)/1000+ROUND(BD50,3)),ROUND(VLOOKUP(BC50,AQ6:AU105,5,FALSE),0)/1000+ROUND(BD50,3)),ROUND(VLOOKUP(BC50,AK6:AO105,5,FALSE),0)/1000+ROUND(BD50,3)),ROUND(VLOOKUP(BC50,AE6:AI105,5,FALSE),0)/1000+ROUND(BD50,3)),ROUND(VLOOKUP(BC50,Y6:AC105,5,FALSE),0)/1000+ROUND(BD50,3)),ROUND(VLOOKUP(BC50,S6:W105,5,FALSE),0)/1000+ROUND(BD50,3)),ROUND(VLOOKUP(BC50,M6:Q105,5,FALSE),0)/1000+ROUND(BD50,3)),ROUND(VLOOKUP(BC50,G6:K105,5,FALSE),0)/1000+ROUND(BD50,3)),ROUND(VLOOKUP(BC50,A6:E105,5,FALSE),0)/1000+ROUND(BD50,3)))))</f>
        <v/>
      </c>
      <c r="BG50" s="20" t="str">
        <f>IF(OR(NOT(EXACT(UPPER(BC50),"TBM")),BD50=""),IF(AND(BD50&lt;&gt;"",BE50="",BF50&lt;&gt;""),"",IF(AND(BD50="",BE50&lt;&gt;"",BF50&lt;&gt;""),ROUND(ROUND(BF50,3)-ROUND(BE50,3),3)*1000,IF(AND(BD50&lt;&gt;"",BE50&lt;&gt;"",BF50&lt;&gt;""),ROUND(ROUND(BF49,3)-ROUND(BE50,3),3)*1000,""))),"")</f>
        <v/>
      </c>
      <c r="BH50" s="46" t="str">
        <f>IF(AND(NOT(ISNA(VLOOKUP(BC50,A6:E105,5,FALSE))),BD50="",BE50&lt;&gt;""),ROUND((VLOOKUP(BC50,A6:E105,5,FALSE)-BG50)/1000,3),IF(AND(NOT(ISNA(VLOOKUP(BC50,G6:K105,5,FALSE))),BD50="",BE50&lt;&gt;""),ROUND((VLOOKUP(BC50,G6:K105,5,FALSE)-BG50)/1000,3),IF(AND(NOT(ISNA(VLOOKUP(BC50,M6:Q105,5,FALSE))),BD50="",BE50&lt;&gt;""),ROUND((VLOOKUP(BC50,M6:Q105,5,FALSE)-BG50)/1000,3),IF(AND(NOT(ISNA(VLOOKUP(BC50,S6:W105,5,FALSE))),BD50="",BE50&lt;&gt;""),ROUND((VLOOKUP(BC50,S6:W105,5,FALSE)-BG50)/1000,3),IF(AND(NOT(ISNA(VLOOKUP(BC50,Y6:AC105,5,FALSE))),BD50="",BE50&lt;&gt;""),ROUND((VLOOKUP(BC50,Y6:AC105,5,FALSE)-BG50)/1000,3),IF(AND(NOT(ISNA(VLOOKUP(BC50,AE6:AI105,5,FALSE))),BD50="",BE50&lt;&gt;""),ROUND((VLOOKUP(BC50,AE6:AI105,5,FALSE)-BG50)/1000,3),IF(AND(NOT(ISNA(VLOOKUP(BC50,AK6:AO105,5,FALSE))),BD50="",BE50&lt;&gt;""),ROUND((VLOOKUP(BC50,AK6:AO105,5,FALSE)-BG50)/1000,3),IF(AND(NOT(ISNA(VLOOKUP(BC50,AQ6:AU105,5,FALSE))),BD50="",BE50&lt;&gt;""),ROUND((VLOOKUP(BC50,AQ6:AU105,5,FALSE)-BG50)/1000,3),IF(AND(NOT(ISNA(VLOOKUP(BC50,AW6:BA105,5,FALSE))),BD50="",BE50&lt;&gt;""),ROUND((VLOOKUP(BC50,AW6:BA105,5,FALSE)-BG50)/1000,3),IF(AND(NOT(ISNA(VLOOKUP(BC50,BC6:BG49,5,FALSE))),BD50="",BE50&lt;&gt;""),ROUND((VLOOKUP(BC50,BC6:BG49,5,FALSE)-BG50)/1000,3),""))))))))))</f>
        <v/>
      </c>
    </row>
    <row r="51" spans="1:60" x14ac:dyDescent="0.25">
      <c r="A51" s="74">
        <f t="shared" si="3"/>
        <v>45</v>
      </c>
      <c r="B51" s="86"/>
      <c r="C51" s="86"/>
      <c r="D51" s="78" t="str">
        <f>IF(AND(B51&lt;&gt;"",C51&lt;&gt;""),ROUND(B51,3)+ROUND(D50,3)-ROUND(C51,3),IF(AND(EXACT(UPPER(A51),"TBM"),B51&lt;&gt;""),ROUND(B51,3),IF(B51="",D50,IF(ISNA(VLOOKUP(A51,A6:E50,5,FALSE)),"",ROUND(VLOOKUP(A51,A6:E50,5,FALSE),0)/1000+ROUND(B51,3)))))</f>
        <v/>
      </c>
      <c r="E51" s="79" t="str">
        <f t="shared" si="4"/>
        <v/>
      </c>
      <c r="F51" s="80" t="str">
        <f>IF(AND(NOT(ISNA(VLOOKUP(A51,A6:E50,5,FALSE))),B51="",C51&lt;&gt;""),ROUND((VLOOKUP(A51,A6:E50,5,FALSE)-E51)/1000,3),"")</f>
        <v/>
      </c>
      <c r="G51" s="74">
        <f t="shared" si="1"/>
        <v>145</v>
      </c>
      <c r="H51" s="86"/>
      <c r="I51" s="86"/>
      <c r="J51" s="78" t="str">
        <f>IF(AND(H51&lt;&gt;"",I51&lt;&gt;""),ROUND(H51,3)+ROUND(J50,3)-ROUND(I51,3),IF(AND(EXACT(UPPER(G51),"TBM"),H51&lt;&gt;""),ROUND(H51,3),IF(H51="",J50,IF(ISNA(VLOOKUP(G51,A6:E105,5,FALSE)),IF(ISNA(VLOOKUP(G51,G6:K50,5,FALSE)),"",ROUND(VLOOKUP(G51,G6:K50,5,FALSE),0)/1000+ROUND(H51,3)),ROUND(VLOOKUP(G51,A6:E105,5,FALSE),0)/1000+ROUND(H51,3)))))</f>
        <v/>
      </c>
      <c r="K51" s="87" t="str">
        <f t="shared" si="5"/>
        <v/>
      </c>
      <c r="L51" s="80" t="str">
        <f>IF(AND(NOT(ISNA(VLOOKUP(G51,A6:E105,5,FALSE))),H51="",I51&lt;&gt;""),ROUND((VLOOKUP(G51,A6:E105,5,FALSE)-K51)/1000,3),IF(AND(NOT(ISNA(VLOOKUP(G51,G6:K50,5,FALSE))),H51="",I51&lt;&gt;""),ROUND((VLOOKUP(G51,G6:K50,5,FALSE)-K51)/1000,3),""))</f>
        <v/>
      </c>
      <c r="M51" s="74">
        <f>IF(M50="","",M50+1)</f>
        <v>245</v>
      </c>
      <c r="N51" s="86"/>
      <c r="O51" s="86"/>
      <c r="P51" s="78" t="str">
        <f>IF(AND(N51&lt;&gt;"",O51&lt;&gt;""),ROUND(N51,3)+ROUND(P50,3)-ROUND(O51,3),IF(AND(EXACT(UPPER(M51),"TBM"),N51&lt;&gt;""),ROUND(N51,3),IF(N51="",P50,IF(ISNA(VLOOKUP(M51,A6:E105,5,FALSE)),IF(ISNA(VLOOKUP(M51,G6:K105,5,FALSE)),IF(ISNA(VLOOKUP(M51,M6:Q50,5,FALSE)),"",ROUND(VLOOKUP(M51,M6:Q50,5,FALSE),0)/1000+ROUND(N51,3)),ROUND(VLOOKUP(M51,G6:K105,5,FALSE),0)/1000+ROUND(N51,3)),ROUND(VLOOKUP(M51,A6:E105,5,FALSE),0)/1000+ROUND(N51,3)))))</f>
        <v/>
      </c>
      <c r="Q51" s="87" t="str">
        <f>IF(OR(NOT(EXACT(UPPER(M51),"TBM")),N51=""),IF(AND(N51&lt;&gt;"",O51="",P51&lt;&gt;""),"",IF(AND(N51="",O51&lt;&gt;"",P51&lt;&gt;""),ROUND(ROUND(P51,3)-ROUND(O51,3),3)*1000,IF(AND(N51&lt;&gt;"",O51&lt;&gt;"",P51&lt;&gt;""),ROUND(ROUND(P50,3)-ROUND(O51,3),3)*1000,""))),"")</f>
        <v/>
      </c>
      <c r="R51" s="80" t="str">
        <f>IF(AND(NOT(ISNA(VLOOKUP(M51,A6:E105,5,FALSE))),N51="",O51&lt;&gt;""),ROUND((VLOOKUP(M51,A6:E105,5,FALSE)-Q51)/1000,3),IF(AND(NOT(ISNA(VLOOKUP(M51,G6:K105,5,FALSE))),N51="",O51&lt;&gt;""),ROUND((VLOOKUP(M51,G6:K105,5,FALSE)-Q51)/1000,3),IF(AND(NOT(ISNA(VLOOKUP(M51,M6:Q50,5,FALSE))),N51="",O51&lt;&gt;""),ROUND((VLOOKUP(M51,M6:Q50,5,FALSE)-Q51)/1000,3),"")))</f>
        <v/>
      </c>
      <c r="S51" s="74">
        <f>IF(S50="","",S50+1)</f>
        <v>345</v>
      </c>
      <c r="T51" s="86"/>
      <c r="U51" s="86"/>
      <c r="V51" s="78" t="str">
        <f>IF(AND(T51&lt;&gt;"",U51&lt;&gt;""),ROUND(T51,3)+ROUND(V50,3)-ROUND(U51,3),IF(AND(EXACT(UPPER(S51),"TBM"),T51&lt;&gt;""),ROUND(T51,3),IF(T51="",V50,IF(ISNA(VLOOKUP(S51,A6:E105,5,FALSE)),IF(ISNA(VLOOKUP(S51,G6:K105,5,FALSE)),IF(ISNA(VLOOKUP(S51,M6:Q105,5,FALSE)),IF(ISNA(VLOOKUP(S51,S6:W50,5,FALSE)),"",ROUND(VLOOKUP(S51,S6:W50,5,FALSE),0)/1000+ROUND(T51,3)),ROUND(VLOOKUP(S51,M6:Q105,5,FALSE),0)/1000+ROUND(T51,3)),ROUND(VLOOKUP(S51,G6:K105,5,FALSE),0)/1000+ROUND(T51,3)),ROUND(VLOOKUP(S51,A6:E105,5,FALSE),0)/1000+ROUND(T51,3)))))</f>
        <v/>
      </c>
      <c r="W51" s="87" t="str">
        <f>IF(OR(NOT(EXACT(UPPER(S51),"TBM")),T51=""),IF(AND(T51&lt;&gt;"",U51="",V51&lt;&gt;""),"",IF(AND(T51="",U51&lt;&gt;"",V51&lt;&gt;""),ROUND(ROUND(V51,3)-ROUND(U51,3),3)*1000,IF(AND(T51&lt;&gt;"",U51&lt;&gt;"",V51&lt;&gt;""),ROUND(ROUND(V50,3)-ROUND(U51,3),3)*1000,""))),"")</f>
        <v/>
      </c>
      <c r="X51" s="80" t="str">
        <f>IF(AND(NOT(ISNA(VLOOKUP(S51,A6:E105,5,FALSE))),T51="",U51&lt;&gt;""),ROUND((VLOOKUP(S51,A6:E105,5,FALSE)-W51)/1000,3),IF(AND(NOT(ISNA(VLOOKUP(S51,G6:K105,5,FALSE))),T51="",U51&lt;&gt;""),ROUND((VLOOKUP(S51,G6:K105,5,FALSE)-W51)/1000,3),IF(AND(NOT(ISNA(VLOOKUP(S51,M6:Q105,5,FALSE))),T51="",U51&lt;&gt;""),ROUND((VLOOKUP(S51,M6:Q105,5,FALSE)-W51)/1000,3),IF(AND(NOT(ISNA(VLOOKUP(S51,S6:W50,5,FALSE))),T51="",U51&lt;&gt;""),ROUND((VLOOKUP(S51,S6:W50,5,FALSE)-W51)/1000,3),""))))</f>
        <v/>
      </c>
      <c r="Y51" s="74">
        <f>IF(Y50="","",Y50+1)</f>
        <v>445</v>
      </c>
      <c r="Z51" s="86"/>
      <c r="AA51" s="86"/>
      <c r="AB51" s="78" t="str">
        <f>IF(AND(Z51&lt;&gt;"",AA51&lt;&gt;""),ROUND(Z51,3)+ROUND(AB50,3)-ROUND(AA51,3),IF(AND(EXACT(UPPER(Y51),"TBM"),Z51&lt;&gt;""),ROUND(Z51,3),IF(Z51="",AB50,IF(ISNA(VLOOKUP(Y51,A6:E105,5,FALSE)),IF(ISNA(VLOOKUP(Y51,G6:K105,5,FALSE)),IF(ISNA(VLOOKUP(Y51,M6:Q105,5,FALSE)),IF(ISNA(VLOOKUP(Y51,S6:W105,5,FALSE)),IF(ISNA(VLOOKUP(Y51,Y6:AC50,5,FALSE)),"",ROUND(VLOOKUP(Y51,Y6:AC50,5,FALSE),0)/1000+ROUND(Z51,3)),ROUND(VLOOKUP(Y51,S6:W105,5,FALSE),0)/1000+ROUND(Z51,3)),ROUND(VLOOKUP(Y51,M6:Q105,5,FALSE),0)/1000+ROUND(Z51,3)),ROUND(VLOOKUP(Y51,G6:K105,5,FALSE),0)/1000+ROUND(Z51,3)),ROUND(VLOOKUP(Y51,A6:E105,5,FALSE),0)/1000+ROUND(Z51,3)))))</f>
        <v/>
      </c>
      <c r="AC51" s="87" t="str">
        <f>IF(OR(NOT(EXACT(UPPER(Y51),"TBM")),Z51=""),IF(AND(Z51&lt;&gt;"",AA51="",AB51&lt;&gt;""),"",IF(AND(Z51="",AA51&lt;&gt;"",AB51&lt;&gt;""),ROUND(ROUND(AB51,3)-ROUND(AA51,3),3)*1000,IF(AND(Z51&lt;&gt;"",AA51&lt;&gt;"",AB51&lt;&gt;""),ROUND(ROUND(AB50,3)-ROUND(AA51,3),3)*1000,""))),"")</f>
        <v/>
      </c>
      <c r="AD51" s="80" t="str">
        <f>IF(AND(NOT(ISNA(VLOOKUP(Y51,A6:E105,5,FALSE))),Z51="",AA51&lt;&gt;""),ROUND((VLOOKUP(Y51,A6:E105,5,FALSE)-AC51)/1000,3),IF(AND(NOT(ISNA(VLOOKUP(Y51,G6:K105,5,FALSE))),Z51="",AA51&lt;&gt;""),ROUND((VLOOKUP(Y51,G6:K105,5,FALSE)-AC51)/1000,3),IF(AND(NOT(ISNA(VLOOKUP(Y51,M6:Q105,5,FALSE))),Z51="",AA51&lt;&gt;""),ROUND((VLOOKUP(Y51,M6:Q105,5,FALSE)-AC51)/1000,3),IF(AND(NOT(ISNA(VLOOKUP(Y51,S6:W105,5,FALSE))),Z51="",AA51&lt;&gt;""),ROUND((VLOOKUP(Y51,S6:W105,5,FALSE)-AC51)/1000,3),IF(AND(NOT(ISNA(VLOOKUP(Y51,Y6:AC50,5,FALSE))),Z51="",AA51&lt;&gt;""),ROUND((VLOOKUP(Y51,Y6:AC50,5,FALSE)-AC51)/1000,3),"")))))</f>
        <v/>
      </c>
      <c r="AE51" s="74">
        <f>IF(AE50="","",AE50+1)</f>
        <v>545</v>
      </c>
      <c r="AF51" s="86"/>
      <c r="AG51" s="86"/>
      <c r="AH51" s="78" t="str">
        <f>IF(AND(AF51&lt;&gt;"",AG51&lt;&gt;""),ROUND(AF51,3)+ROUND(AH50,3)-ROUND(AG51,3),IF(AND(EXACT(UPPER(AE51),"TBM"),AF51&lt;&gt;""),ROUND(AF51,3),IF(AF51="",AH50,IF(ISNA(VLOOKUP(AE51,A6:E105,5,FALSE)),IF(ISNA(VLOOKUP(AE51,G6:K105,5,FALSE)),IF(ISNA(VLOOKUP(AE51,M6:Q105,5,FALSE)),IF(ISNA(VLOOKUP(AE51,S6:W105,5,FALSE)),IF(ISNA(VLOOKUP(AE51,Y6:AC105,5,FALSE)),IF(ISNA(VLOOKUP(AE51,AE6:AI50,5,FALSE)),"",ROUND(VLOOKUP(AE51,AE6:AI50,5,FALSE),0)/1000+ROUND(AF51,3)),ROUND(VLOOKUP(AE51,Y6:AC105,5,FALSE),0)/1000+ROUND(AF51,3)),ROUND(VLOOKUP(AE51,S6:W105,5,FALSE),0)/1000+ROUND(AF51,3)),ROUND(VLOOKUP(AE51,M6:Q105,5,FALSE),0)/1000+ROUND(AF51,3)),ROUND(VLOOKUP(AE51,G6:K105,5,FALSE),0)/1000+ROUND(AF51,3)),ROUND(VLOOKUP(AE51,A6:E105,5,FALSE),0)/1000+ROUND(AF51,3)))))</f>
        <v/>
      </c>
      <c r="AI51" s="87" t="str">
        <f>IF(OR(NOT(EXACT(UPPER(AE51),"TBM")),AF51=""),IF(AND(AF51&lt;&gt;"",AG51="",AH51&lt;&gt;""),"",IF(AND(AF51="",AG51&lt;&gt;"",AH51&lt;&gt;""),ROUND(ROUND(AH51,3)-ROUND(AG51,3),3)*1000,IF(AND(AF51&lt;&gt;"",AG51&lt;&gt;"",AH51&lt;&gt;""),ROUND(ROUND(AH50,3)-ROUND(AG51,3),3)*1000,""))),"")</f>
        <v/>
      </c>
      <c r="AJ51" s="80" t="str">
        <f>IF(AND(NOT(ISNA(VLOOKUP(AE51,A6:E105,5,FALSE))),AF51="",AG51&lt;&gt;""),ROUND((VLOOKUP(AE51,A6:E105,5,FALSE)-AI51)/1000,3),IF(AND(NOT(ISNA(VLOOKUP(AE51,G6:K105,5,FALSE))),AF51="",AG51&lt;&gt;""),ROUND((VLOOKUP(AE51,G6:K105,5,FALSE)-AI51)/1000,3),IF(AND(NOT(ISNA(VLOOKUP(AE51,M6:Q105,5,FALSE))),AF51="",AG51&lt;&gt;""),ROUND((VLOOKUP(AE51,M6:Q105,5,FALSE)-AI51)/1000,3),IF(AND(NOT(ISNA(VLOOKUP(AE51,S6:W105,5,FALSE))),AF51="",AG51&lt;&gt;""),ROUND((VLOOKUP(AE51,S6:W105,5,FALSE)-AI51)/1000,3),IF(AND(NOT(ISNA(VLOOKUP(AE51,Y6:AC105,5,FALSE))),AF51="",AG51&lt;&gt;""),ROUND((VLOOKUP(AE51,Y6:AC105,5,FALSE)-AI51)/1000,3),IF(AND(NOT(ISNA(VLOOKUP(AE51,AE6:AI50,5,FALSE))),AF51="",AG51&lt;&gt;""),ROUND((VLOOKUP(AE51,AE6:AI50,5,FALSE)-AI51)/1000,3),""))))))</f>
        <v/>
      </c>
      <c r="AK51" s="74">
        <f>IF(AK50="","",AK50+1)</f>
        <v>645</v>
      </c>
      <c r="AL51" s="86"/>
      <c r="AM51" s="86"/>
      <c r="AN51" s="78" t="str">
        <f>IF(AND(AL51&lt;&gt;"",AM51&lt;&gt;""),ROUND(AL51,3)+ROUND(AN50,3)-ROUND(AM51,3),IF(AND(EXACT(UPPER(AK51),"TBM"),AL51&lt;&gt;""),ROUND(AL51,3),IF(AL51="",AN50,IF(ISNA(VLOOKUP(AK51,A6:E105,5,FALSE)),IF(ISNA(VLOOKUP(AK51,G6:K105,5,FALSE)),IF(ISNA(VLOOKUP(AK51,M6:Q105,5,FALSE)),IF(ISNA(VLOOKUP(AK51,S6:W105,5,FALSE)),IF(ISNA(VLOOKUP(AK51,Y6:AC105,5,FALSE)),IF(ISNA(VLOOKUP(AK51,AE6:AI105,5,FALSE)),IF(ISNA(VLOOKUP(AK51,AK6:AO50,5,FALSE)),"",ROUND(VLOOKUP(AK51,AK6:AO50,5,FALSE),0)/1000+ROUND(AL51,3)),ROUND(VLOOKUP(AK51,AE6:AI105,5,FALSE),0)/1000+ROUND(AL51,3)),ROUND(VLOOKUP(AK51,Y6:AC105,5,FALSE),0)/1000+ROUND(AL51,3)),ROUND(VLOOKUP(AK51,S6:W105,5,FALSE),0)/1000+ROUND(AL51,3)),ROUND(VLOOKUP(AK51,M6:Q105,5,FALSE),0)/1000+ROUND(AL51,3)),ROUND(VLOOKUP(AK51,G6:K105,5,FALSE),0)/1000+ROUND(AL51,3)),ROUND(VLOOKUP(AK51,A6:E105,5,FALSE),0)/1000+ROUND(AL51,3)))))</f>
        <v/>
      </c>
      <c r="AO51" s="87" t="str">
        <f>IF(OR(NOT(EXACT(UPPER(AK51),"TBM")),AL51=""),IF(AND(AL51&lt;&gt;"",AM51="",AN51&lt;&gt;""),"",IF(AND(AL51="",AM51&lt;&gt;"",AN51&lt;&gt;""),ROUND(ROUND(AN51,3)-ROUND(AM51,3),3)*1000,IF(AND(AL51&lt;&gt;"",AM51&lt;&gt;"",AN51&lt;&gt;""),ROUND(ROUND(AN50,3)-ROUND(AM51,3),3)*1000,""))),"")</f>
        <v/>
      </c>
      <c r="AP51" s="80" t="str">
        <f>IF(AND(NOT(ISNA(VLOOKUP(AK51,A6:E105,5,FALSE))),AL51="",AM51&lt;&gt;""),ROUND((VLOOKUP(AK51,A6:E105,5,FALSE)-AO51)/1000,3),IF(AND(NOT(ISNA(VLOOKUP(AK51,G6:K105,5,FALSE))),AL51="",AM51&lt;&gt;""),ROUND((VLOOKUP(AK51,G6:K105,5,FALSE)-AO51)/1000,3),IF(AND(NOT(ISNA(VLOOKUP(AK51,M6:Q105,5,FALSE))),AL51="",AM51&lt;&gt;""),ROUND((VLOOKUP(AK51,M6:Q105,5,FALSE)-AO51)/1000,3),IF(AND(NOT(ISNA(VLOOKUP(AK51,S6:W105,5,FALSE))),AL51="",AM51&lt;&gt;""),ROUND((VLOOKUP(AK51,S6:W105,5,FALSE)-AO51)/1000,3),IF(AND(NOT(ISNA(VLOOKUP(AK51,Y6:AC105,5,FALSE))),AL51="",AM51&lt;&gt;""),ROUND((VLOOKUP(AK51,Y6:AC105,5,FALSE)-AO51)/1000,3),IF(AND(NOT(ISNA(VLOOKUP(AK51,AE6:AI105,5,FALSE))),AL51="",AM51&lt;&gt;""),ROUND((VLOOKUP(AK51,AE6:AI105,5,FALSE)-AO51)/1000,3),IF(AND(NOT(ISNA(VLOOKUP(AK51,AK6:AO50,5,FALSE))),AL51="",AM51&lt;&gt;""),ROUND((VLOOKUP(AK51,AK6:AO50,5,FALSE)-AO51)/1000,3),"")))))))</f>
        <v/>
      </c>
      <c r="AQ51" s="74">
        <f>IF(AQ50="","",AQ50+1)</f>
        <v>745</v>
      </c>
      <c r="AR51" s="86"/>
      <c r="AS51" s="86"/>
      <c r="AT51" s="78" t="str">
        <f>IF(AND(AR51&lt;&gt;"",AS51&lt;&gt;""),ROUND(AR51,3)+ROUND(AT50,3)-ROUND(AS51,3),IF(AND(EXACT(UPPER(AQ51),"TBM"),AR51&lt;&gt;""),ROUND(AR51,3),IF(AR51="",AT50,IF(ISNA(VLOOKUP(AQ51,A6:E105,5,FALSE)),IF(ISNA(VLOOKUP(AQ51,G6:K105,5,FALSE)),IF(ISNA(VLOOKUP(AQ51,M6:Q105,5,FALSE)),IF(ISNA(VLOOKUP(AQ51,S6:W105,5,FALSE)),IF(ISNA(VLOOKUP(AQ51,Y6:AC105,5,FALSE)),IF(ISNA(VLOOKUP(AQ51,AE6:AI105,5,FALSE)),IF(ISNA(VLOOKUP(AQ51,AK6:AO105,5,FALSE)),IF(ISNA(VLOOKUP(AQ51,AQ6:AU50,5,FALSE)),"",ROUND(VLOOKUP(AQ51,AQ6:AU50,5,FALSE),0)/1000+ROUND(AR51,3)),ROUND(VLOOKUP(AQ51,AK6:AO105,5,FALSE),0)/1000+ROUND(AR51,3)),ROUND(VLOOKUP(AQ51,AE6:AI105,5,FALSE),0)/1000+ROUND(AR51,3)),ROUND(VLOOKUP(AQ51,Y6:AC105,5,FALSE),0)/1000+ROUND(AR51,3)),ROUND(VLOOKUP(AQ51,S6:W105,5,FALSE),0)/1000+ROUND(AR51,3)),ROUND(VLOOKUP(AQ51,M6:Q105,5,FALSE),0)/1000+ROUND(AR51,3)),ROUND(VLOOKUP(AQ51,G6:K105,5,FALSE),0)/1000+ROUND(AR51,3)),ROUND(VLOOKUP(AQ51,A6:E105,5,FALSE),0)/1000+ROUND(AR51,3)))))</f>
        <v/>
      </c>
      <c r="AU51" s="87" t="str">
        <f>IF(OR(NOT(EXACT(UPPER(AQ51),"TBM")),AR51=""),IF(AND(AR51&lt;&gt;"",AS51="",AT51&lt;&gt;""),"",IF(AND(AR51="",AS51&lt;&gt;"",AT51&lt;&gt;""),ROUND(ROUND(AT51,3)-ROUND(AS51,3),3)*1000,IF(AND(AR51&lt;&gt;"",AS51&lt;&gt;"",AT51&lt;&gt;""),ROUND(ROUND(AT50,3)-ROUND(AS51,3),3)*1000,""))),"")</f>
        <v/>
      </c>
      <c r="AV51" s="80" t="str">
        <f>IF(AND(NOT(ISNA(VLOOKUP(AQ51,A6:E105,5,FALSE))),AR51="",AS51&lt;&gt;""),ROUND((VLOOKUP(AQ51,A6:E105,5,FALSE)-AU51)/1000,3),IF(AND(NOT(ISNA(VLOOKUP(AQ51,G6:K105,5,FALSE))),AR51="",AS51&lt;&gt;""),ROUND((VLOOKUP(AQ51,G6:K105,5,FALSE)-AU51)/1000,3),IF(AND(NOT(ISNA(VLOOKUP(AQ51,M6:Q105,5,FALSE))),AR51="",AS51&lt;&gt;""),ROUND((VLOOKUP(AQ51,M6:Q105,5,FALSE)-AU51)/1000,3),IF(AND(NOT(ISNA(VLOOKUP(AQ51,S6:W105,5,FALSE))),AR51="",AS51&lt;&gt;""),ROUND((VLOOKUP(AQ51,S6:W105,5,FALSE)-AU51)/1000,3),IF(AND(NOT(ISNA(VLOOKUP(AQ51,Y6:AC105,5,FALSE))),AR51="",AS51&lt;&gt;""),ROUND((VLOOKUP(AQ51,Y6:AC105,5,FALSE)-AU51)/1000,3),IF(AND(NOT(ISNA(VLOOKUP(AQ51,AE6:AI105,5,FALSE))),AR51="",AS51&lt;&gt;""),ROUND((VLOOKUP(AQ51,AE6:AI105,5,FALSE)-AU51)/1000,3),IF(AND(NOT(ISNA(VLOOKUP(AQ51,AK6:AO105,5,FALSE))),AR51="",AS51&lt;&gt;""),ROUND((VLOOKUP(AQ51,AK6:AO105,5,FALSE)-AU51)/1000,3),IF(AND(NOT(ISNA(VLOOKUP(AQ51,AQ6:AU50,5,FALSE))),AR51="",AS51&lt;&gt;""),ROUND((VLOOKUP(AQ51,AQ6:AU50,5,FALSE)-AU51)/1000,3),""))))))))</f>
        <v/>
      </c>
      <c r="AW51" s="74">
        <f>IF(AW50="","",AW50+1)</f>
        <v>845</v>
      </c>
      <c r="AX51" s="86"/>
      <c r="AY51" s="86"/>
      <c r="AZ51" s="78" t="str">
        <f>IF(AND(AX51&lt;&gt;"",AY51&lt;&gt;""),ROUND(AX51,3)+ROUND(AZ50,3)-ROUND(AY51,3),IF(AND(EXACT(UPPER(AW51),"TBM"),AX51&lt;&gt;""),ROUND(AX51,3),IF(AX51="",AZ50,IF(ISNA(VLOOKUP(AW51,A6:E105,5,FALSE)),IF(ISNA(VLOOKUP(AW51,G6:K105,5,FALSE)),IF(ISNA(VLOOKUP(AW51,M6:Q105,5,FALSE)),IF(ISNA(VLOOKUP(AW51,S6:W105,5,FALSE)),IF(ISNA(VLOOKUP(AW51,Y6:AC105,5,FALSE)),IF(ISNA(VLOOKUP(AW51,AE6:AI105,5,FALSE)),IF(ISNA(VLOOKUP(AW51,AK6:AO105,5,FALSE)),IF(ISNA(VLOOKUP(AW51,AQ6:AU105,5,FALSE)),IF(ISNA(VLOOKUP(AW51,AW6:BA50,5,FALSE)),"",ROUND(VLOOKUP(AW51,AW6:BA50,5,FALSE),0)/1000+ROUND(AX51,3)),ROUND(VLOOKUP(AW51,AQ6:AU105,5,FALSE),0)/1000+ROUND(AX51,3)),ROUND(VLOOKUP(AW51,AK6:AO105,5,FALSE),0)/1000+ROUND(AX51,3)),ROUND(VLOOKUP(AW51,AE6:AI105,5,FALSE),0)/1000+ROUND(AX51,3)),ROUND(VLOOKUP(AW51,Y6:AC105,5,FALSE),0)/1000+ROUND(AX51,3)),ROUND(VLOOKUP(AW51,S6:W105,5,FALSE),0)/1000+ROUND(AX51,3)),ROUND(VLOOKUP(AW51,M6:Q105,5,FALSE),0)/1000+ROUND(AX51,3)),ROUND(VLOOKUP(AW51,G6:K105,5,FALSE),0)/1000+ROUND(AX51,3)),ROUND(VLOOKUP(AW51,A6:E105,5,FALSE),0)/1000+ROUND(AX51,3)))))</f>
        <v/>
      </c>
      <c r="BA51" s="87" t="str">
        <f>IF(OR(NOT(EXACT(UPPER(AW51),"TBM")),AX51=""),IF(AND(AX51&lt;&gt;"",AY51="",AZ51&lt;&gt;""),"",IF(AND(AX51="",AY51&lt;&gt;"",AZ51&lt;&gt;""),ROUND(ROUND(AZ51,3)-ROUND(AY51,3),3)*1000,IF(AND(AX51&lt;&gt;"",AY51&lt;&gt;"",AZ51&lt;&gt;""),ROUND(ROUND(AZ50,3)-ROUND(AY51,3),3)*1000,""))),"")</f>
        <v/>
      </c>
      <c r="BB51" s="80" t="str">
        <f>IF(AND(NOT(ISNA(VLOOKUP(AW51,A6:E105,5,FALSE))),AX51="",AY51&lt;&gt;""),ROUND((VLOOKUP(AW51,A6:E105,5,FALSE)-BA51)/1000,3),IF(AND(NOT(ISNA(VLOOKUP(AW51,G6:K105,5,FALSE))),AX51="",AY51&lt;&gt;""),ROUND((VLOOKUP(AW51,G6:K105,5,FALSE)-BA51)/1000,3),IF(AND(NOT(ISNA(VLOOKUP(AW51,M6:Q105,5,FALSE))),AX51="",AY51&lt;&gt;""),ROUND((VLOOKUP(AW51,M6:Q105,5,FALSE)-BA51)/1000,3),IF(AND(NOT(ISNA(VLOOKUP(AW51,S6:W105,5,FALSE))),AX51="",AY51&lt;&gt;""),ROUND((VLOOKUP(AW51,S6:W105,5,FALSE)-BA51)/1000,3),IF(AND(NOT(ISNA(VLOOKUP(AW51,Y6:AC105,5,FALSE))),AX51="",AY51&lt;&gt;""),ROUND((VLOOKUP(AW51,Y6:AC105,5,FALSE)-BA51)/1000,3),IF(AND(NOT(ISNA(VLOOKUP(AW51,AE6:AI105,5,FALSE))),AX51="",AY51&lt;&gt;""),ROUND((VLOOKUP(AW51,AE6:AI105,5,FALSE)-BA51)/1000,3),IF(AND(NOT(ISNA(VLOOKUP(AW51,AK6:AO105,5,FALSE))),AX51="",AY51&lt;&gt;""),ROUND((VLOOKUP(AW51,AK6:AO105,5,FALSE)-BA51)/1000,3),IF(AND(NOT(ISNA(VLOOKUP(AW51,AQ6:AU105,5,FALSE))),AX51="",AY51&lt;&gt;""),ROUND((VLOOKUP(AW51,AQ6:AU105,5,FALSE)-BA51)/1000,3),IF(AND(NOT(ISNA(VLOOKUP(AW51,AW6:BA50,5,FALSE))),AX51="",AY51&lt;&gt;""),ROUND((VLOOKUP(AW51,AW6:BA50,5,FALSE)-BA51)/1000,3),"")))))))))</f>
        <v/>
      </c>
      <c r="BC51" s="74">
        <f>IF(BC50="","",BC50+1)</f>
        <v>945</v>
      </c>
      <c r="BD51" s="86"/>
      <c r="BE51" s="86"/>
      <c r="BF51" s="78" t="str">
        <f>IF(AND(BD51&lt;&gt;"",BE51&lt;&gt;""),ROUND(BD51,3)+ROUND(BF50,3)-ROUND(BE51,3),IF(AND(EXACT(UPPER(BC51),"TBM"),BD51&lt;&gt;""),ROUND(BD51,3),IF(BD51="",BF50,IF(ISNA(VLOOKUP(BC51,A6:E105,5,FALSE)),IF(ISNA(VLOOKUP(BC51,G6:K105,5,FALSE)),IF(ISNA(VLOOKUP(BC51,M6:Q105,5,FALSE)),IF(ISNA(VLOOKUP(BC51,S6:W105,5,FALSE)),IF(ISNA(VLOOKUP(BC51,Y6:AC105,5,FALSE)),IF(ISNA(VLOOKUP(BC51,AE6:AI105,5,FALSE)),IF(ISNA(VLOOKUP(BC51,AK6:AO105,5,FALSE)),IF(ISNA(VLOOKUP(BC51,AQ6:AU105,5,FALSE)),IF(ISNA(VLOOKUP(BC51,AW6:BA105,5,FALSE)),IF(ISNA(VLOOKUP(BC51,BC6:BG50,5,FALSE)),"",ROUND(VLOOKUP(BC51,BC6:BG50,5,FALSE),0)/1000+ROUND(BD51,3)),ROUND(VLOOKUP(BC51,AW6:BA105,5,FALSE),0)/1000+ROUND(BD51,3)),ROUND(VLOOKUP(BC51,AQ6:AU105,5,FALSE),0)/1000+ROUND(BD51,3)),ROUND(VLOOKUP(BC51,AK6:AO105,5,FALSE),0)/1000+ROUND(BD51,3)),ROUND(VLOOKUP(BC51,AE6:AI105,5,FALSE),0)/1000+ROUND(BD51,3)),ROUND(VLOOKUP(BC51,Y6:AC105,5,FALSE),0)/1000+ROUND(BD51,3)),ROUND(VLOOKUP(BC51,S6:W105,5,FALSE),0)/1000+ROUND(BD51,3)),ROUND(VLOOKUP(BC51,M6:Q105,5,FALSE),0)/1000+ROUND(BD51,3)),ROUND(VLOOKUP(BC51,G6:K105,5,FALSE),0)/1000+ROUND(BD51,3)),ROUND(VLOOKUP(BC51,A6:E105,5,FALSE),0)/1000+ROUND(BD51,3)))))</f>
        <v/>
      </c>
      <c r="BG51" s="87" t="str">
        <f>IF(OR(NOT(EXACT(UPPER(BC51),"TBM")),BD51=""),IF(AND(BD51&lt;&gt;"",BE51="",BF51&lt;&gt;""),"",IF(AND(BD51="",BE51&lt;&gt;"",BF51&lt;&gt;""),ROUND(ROUND(BF51,3)-ROUND(BE51,3),3)*1000,IF(AND(BD51&lt;&gt;"",BE51&lt;&gt;"",BF51&lt;&gt;""),ROUND(ROUND(BF50,3)-ROUND(BE51,3),3)*1000,""))),"")</f>
        <v/>
      </c>
      <c r="BH51" s="80" t="str">
        <f>IF(AND(NOT(ISNA(VLOOKUP(BC51,A6:E105,5,FALSE))),BD51="",BE51&lt;&gt;""),ROUND((VLOOKUP(BC51,A6:E105,5,FALSE)-BG51)/1000,3),IF(AND(NOT(ISNA(VLOOKUP(BC51,G6:K105,5,FALSE))),BD51="",BE51&lt;&gt;""),ROUND((VLOOKUP(BC51,G6:K105,5,FALSE)-BG51)/1000,3),IF(AND(NOT(ISNA(VLOOKUP(BC51,M6:Q105,5,FALSE))),BD51="",BE51&lt;&gt;""),ROUND((VLOOKUP(BC51,M6:Q105,5,FALSE)-BG51)/1000,3),IF(AND(NOT(ISNA(VLOOKUP(BC51,S6:W105,5,FALSE))),BD51="",BE51&lt;&gt;""),ROUND((VLOOKUP(BC51,S6:W105,5,FALSE)-BG51)/1000,3),IF(AND(NOT(ISNA(VLOOKUP(BC51,Y6:AC105,5,FALSE))),BD51="",BE51&lt;&gt;""),ROUND((VLOOKUP(BC51,Y6:AC105,5,FALSE)-BG51)/1000,3),IF(AND(NOT(ISNA(VLOOKUP(BC51,AE6:AI105,5,FALSE))),BD51="",BE51&lt;&gt;""),ROUND((VLOOKUP(BC51,AE6:AI105,5,FALSE)-BG51)/1000,3),IF(AND(NOT(ISNA(VLOOKUP(BC51,AK6:AO105,5,FALSE))),BD51="",BE51&lt;&gt;""),ROUND((VLOOKUP(BC51,AK6:AO105,5,FALSE)-BG51)/1000,3),IF(AND(NOT(ISNA(VLOOKUP(BC51,AQ6:AU105,5,FALSE))),BD51="",BE51&lt;&gt;""),ROUND((VLOOKUP(BC51,AQ6:AU105,5,FALSE)-BG51)/1000,3),IF(AND(NOT(ISNA(VLOOKUP(BC51,AW6:BA105,5,FALSE))),BD51="",BE51&lt;&gt;""),ROUND((VLOOKUP(BC51,AW6:BA105,5,FALSE)-BG51)/1000,3),IF(AND(NOT(ISNA(VLOOKUP(BC51,BC6:BG50,5,FALSE))),BD51="",BE51&lt;&gt;""),ROUND((VLOOKUP(BC51,BC6:BG50,5,FALSE)-BG51)/1000,3),""))))))))))</f>
        <v/>
      </c>
    </row>
    <row r="52" spans="1:60" x14ac:dyDescent="0.25">
      <c r="A52" s="19">
        <f t="shared" si="3"/>
        <v>46</v>
      </c>
      <c r="B52" s="39"/>
      <c r="C52" s="39"/>
      <c r="D52" s="15" t="str">
        <f>IF(AND(B52&lt;&gt;"",C52&lt;&gt;""),ROUND(B52,3)+ROUND(D51,3)-ROUND(C52,3),IF(AND(EXACT(UPPER(A52),"TBM"),B52&lt;&gt;""),ROUND(B52,3),IF(B52="",D51,IF(ISNA(VLOOKUP(A52,A6:E51,5,FALSE)),"",ROUND(VLOOKUP(A52,A6:E51,5,FALSE),0)/1000+ROUND(B52,3)))))</f>
        <v/>
      </c>
      <c r="E52" s="21" t="str">
        <f t="shared" si="4"/>
        <v/>
      </c>
      <c r="F52" s="45" t="str">
        <f>IF(AND(NOT(ISNA(VLOOKUP(A52,A6:E51,5,FALSE))),B52="",C52&lt;&gt;""),ROUND((VLOOKUP(A52,A6:E51,5,FALSE)-E52)/1000,3),"")</f>
        <v/>
      </c>
      <c r="G52" s="19">
        <f t="shared" si="1"/>
        <v>146</v>
      </c>
      <c r="H52" s="39"/>
      <c r="I52" s="39"/>
      <c r="J52" s="15" t="str">
        <f>IF(AND(H52&lt;&gt;"",I52&lt;&gt;""),ROUND(H52,3)+ROUND(J51,3)-ROUND(I52,3),IF(AND(EXACT(UPPER(G52),"TBM"),H52&lt;&gt;""),ROUND(H52,3),IF(H52="",J51,IF(ISNA(VLOOKUP(G52,A6:E105,5,FALSE)),IF(ISNA(VLOOKUP(G52,G6:K51,5,FALSE)),"",ROUND(VLOOKUP(G52,G6:K51,5,FALSE),0)/1000+ROUND(H52,3)),ROUND(VLOOKUP(G52,A6:E105,5,FALSE),0)/1000+ROUND(H52,3)))))</f>
        <v/>
      </c>
      <c r="K52" s="18" t="str">
        <f t="shared" si="5"/>
        <v/>
      </c>
      <c r="L52" s="45" t="str">
        <f>IF(AND(NOT(ISNA(VLOOKUP(G52,A6:E105,5,FALSE))),H52="",I52&lt;&gt;""),ROUND((VLOOKUP(G52,A6:E105,5,FALSE)-K52)/1000,3),IF(AND(NOT(ISNA(VLOOKUP(G52,G6:K51,5,FALSE))),H52="",I52&lt;&gt;""),ROUND((VLOOKUP(G52,G6:K51,5,FALSE)-K52)/1000,3),""))</f>
        <v/>
      </c>
      <c r="M52" s="19">
        <f>IF(M51="","",M51+1)</f>
        <v>246</v>
      </c>
      <c r="N52" s="39"/>
      <c r="O52" s="39"/>
      <c r="P52" s="15" t="str">
        <f>IF(AND(N52&lt;&gt;"",O52&lt;&gt;""),ROUND(N52,3)+ROUND(P51,3)-ROUND(O52,3),IF(AND(EXACT(UPPER(M52),"TBM"),N52&lt;&gt;""),ROUND(N52,3),IF(N52="",P51,IF(ISNA(VLOOKUP(M52,A6:E105,5,FALSE)),IF(ISNA(VLOOKUP(M52,G6:K105,5,FALSE)),IF(ISNA(VLOOKUP(M52,M6:Q51,5,FALSE)),"",ROUND(VLOOKUP(M52,M6:Q51,5,FALSE),0)/1000+ROUND(N52,3)),ROUND(VLOOKUP(M52,G6:K105,5,FALSE),0)/1000+ROUND(N52,3)),ROUND(VLOOKUP(M52,A6:E105,5,FALSE),0)/1000+ROUND(N52,3)))))</f>
        <v/>
      </c>
      <c r="Q52" s="18" t="str">
        <f>IF(OR(NOT(EXACT(UPPER(M52),"TBM")),N52=""),IF(AND(N52&lt;&gt;"",O52="",P52&lt;&gt;""),"",IF(AND(N52="",O52&lt;&gt;"",P52&lt;&gt;""),ROUND(ROUND(P52,3)-ROUND(O52,3),3)*1000,IF(AND(N52&lt;&gt;"",O52&lt;&gt;"",P52&lt;&gt;""),ROUND(ROUND(P51,3)-ROUND(O52,3),3)*1000,""))),"")</f>
        <v/>
      </c>
      <c r="R52" s="45" t="str">
        <f>IF(AND(NOT(ISNA(VLOOKUP(M52,A6:E105,5,FALSE))),N52="",O52&lt;&gt;""),ROUND((VLOOKUP(M52,A6:E105,5,FALSE)-Q52)/1000,3),IF(AND(NOT(ISNA(VLOOKUP(M52,G6:K105,5,FALSE))),N52="",O52&lt;&gt;""),ROUND((VLOOKUP(M52,G6:K105,5,FALSE)-Q52)/1000,3),IF(AND(NOT(ISNA(VLOOKUP(M52,M6:Q51,5,FALSE))),N52="",O52&lt;&gt;""),ROUND((VLOOKUP(M52,M6:Q51,5,FALSE)-Q52)/1000,3),"")))</f>
        <v/>
      </c>
      <c r="S52" s="19">
        <f>IF(S51="","",S51+1)</f>
        <v>346</v>
      </c>
      <c r="T52" s="39"/>
      <c r="U52" s="39"/>
      <c r="V52" s="15" t="str">
        <f>IF(AND(T52&lt;&gt;"",U52&lt;&gt;""),ROUND(T52,3)+ROUND(V51,3)-ROUND(U52,3),IF(AND(EXACT(UPPER(S52),"TBM"),T52&lt;&gt;""),ROUND(T52,3),IF(T52="",V51,IF(ISNA(VLOOKUP(S52,A6:E105,5,FALSE)),IF(ISNA(VLOOKUP(S52,G6:K105,5,FALSE)),IF(ISNA(VLOOKUP(S52,M6:Q105,5,FALSE)),IF(ISNA(VLOOKUP(S52,S6:W51,5,FALSE)),"",ROUND(VLOOKUP(S52,S6:W51,5,FALSE),0)/1000+ROUND(T52,3)),ROUND(VLOOKUP(S52,M6:Q105,5,FALSE),0)/1000+ROUND(T52,3)),ROUND(VLOOKUP(S52,G6:K105,5,FALSE),0)/1000+ROUND(T52,3)),ROUND(VLOOKUP(S52,A6:E105,5,FALSE),0)/1000+ROUND(T52,3)))))</f>
        <v/>
      </c>
      <c r="W52" s="18" t="str">
        <f>IF(OR(NOT(EXACT(UPPER(S52),"TBM")),T52=""),IF(AND(T52&lt;&gt;"",U52="",V52&lt;&gt;""),"",IF(AND(T52="",U52&lt;&gt;"",V52&lt;&gt;""),ROUND(ROUND(V52,3)-ROUND(U52,3),3)*1000,IF(AND(T52&lt;&gt;"",U52&lt;&gt;"",V52&lt;&gt;""),ROUND(ROUND(V51,3)-ROUND(U52,3),3)*1000,""))),"")</f>
        <v/>
      </c>
      <c r="X52" s="45" t="str">
        <f>IF(AND(NOT(ISNA(VLOOKUP(S52,A6:E105,5,FALSE))),T52="",U52&lt;&gt;""),ROUND((VLOOKUP(S52,A6:E105,5,FALSE)-W52)/1000,3),IF(AND(NOT(ISNA(VLOOKUP(S52,G6:K105,5,FALSE))),T52="",U52&lt;&gt;""),ROUND((VLOOKUP(S52,G6:K105,5,FALSE)-W52)/1000,3),IF(AND(NOT(ISNA(VLOOKUP(S52,M6:Q105,5,FALSE))),T52="",U52&lt;&gt;""),ROUND((VLOOKUP(S52,M6:Q105,5,FALSE)-W52)/1000,3),IF(AND(NOT(ISNA(VLOOKUP(S52,S6:W51,5,FALSE))),T52="",U52&lt;&gt;""),ROUND((VLOOKUP(S52,S6:W51,5,FALSE)-W52)/1000,3),""))))</f>
        <v/>
      </c>
      <c r="Y52" s="19">
        <f>IF(Y51="","",Y51+1)</f>
        <v>446</v>
      </c>
      <c r="Z52" s="39"/>
      <c r="AA52" s="39"/>
      <c r="AB52" s="15" t="str">
        <f>IF(AND(Z52&lt;&gt;"",AA52&lt;&gt;""),ROUND(Z52,3)+ROUND(AB51,3)-ROUND(AA52,3),IF(AND(EXACT(UPPER(Y52),"TBM"),Z52&lt;&gt;""),ROUND(Z52,3),IF(Z52="",AB51,IF(ISNA(VLOOKUP(Y52,A6:E105,5,FALSE)),IF(ISNA(VLOOKUP(Y52,G6:K105,5,FALSE)),IF(ISNA(VLOOKUP(Y52,M6:Q105,5,FALSE)),IF(ISNA(VLOOKUP(Y52,S6:W105,5,FALSE)),IF(ISNA(VLOOKUP(Y52,Y6:AC51,5,FALSE)),"",ROUND(VLOOKUP(Y52,Y6:AC51,5,FALSE),0)/1000+ROUND(Z52,3)),ROUND(VLOOKUP(Y52,S6:W105,5,FALSE),0)/1000+ROUND(Z52,3)),ROUND(VLOOKUP(Y52,M6:Q105,5,FALSE),0)/1000+ROUND(Z52,3)),ROUND(VLOOKUP(Y52,G6:K105,5,FALSE),0)/1000+ROUND(Z52,3)),ROUND(VLOOKUP(Y52,A6:E105,5,FALSE),0)/1000+ROUND(Z52,3)))))</f>
        <v/>
      </c>
      <c r="AC52" s="18" t="str">
        <f>IF(OR(NOT(EXACT(UPPER(Y52),"TBM")),Z52=""),IF(AND(Z52&lt;&gt;"",AA52="",AB52&lt;&gt;""),"",IF(AND(Z52="",AA52&lt;&gt;"",AB52&lt;&gt;""),ROUND(ROUND(AB52,3)-ROUND(AA52,3),3)*1000,IF(AND(Z52&lt;&gt;"",AA52&lt;&gt;"",AB52&lt;&gt;""),ROUND(ROUND(AB51,3)-ROUND(AA52,3),3)*1000,""))),"")</f>
        <v/>
      </c>
      <c r="AD52" s="45" t="str">
        <f>IF(AND(NOT(ISNA(VLOOKUP(Y52,A6:E105,5,FALSE))),Z52="",AA52&lt;&gt;""),ROUND((VLOOKUP(Y52,A6:E105,5,FALSE)-AC52)/1000,3),IF(AND(NOT(ISNA(VLOOKUP(Y52,G6:K105,5,FALSE))),Z52="",AA52&lt;&gt;""),ROUND((VLOOKUP(Y52,G6:K105,5,FALSE)-AC52)/1000,3),IF(AND(NOT(ISNA(VLOOKUP(Y52,M6:Q105,5,FALSE))),Z52="",AA52&lt;&gt;""),ROUND((VLOOKUP(Y52,M6:Q105,5,FALSE)-AC52)/1000,3),IF(AND(NOT(ISNA(VLOOKUP(Y52,S6:W105,5,FALSE))),Z52="",AA52&lt;&gt;""),ROUND((VLOOKUP(Y52,S6:W105,5,FALSE)-AC52)/1000,3),IF(AND(NOT(ISNA(VLOOKUP(Y52,Y6:AC51,5,FALSE))),Z52="",AA52&lt;&gt;""),ROUND((VLOOKUP(Y52,Y6:AC51,5,FALSE)-AC52)/1000,3),"")))))</f>
        <v/>
      </c>
      <c r="AE52" s="19">
        <f>IF(AE51="","",AE51+1)</f>
        <v>546</v>
      </c>
      <c r="AF52" s="39"/>
      <c r="AG52" s="39"/>
      <c r="AH52" s="15" t="str">
        <f>IF(AND(AF52&lt;&gt;"",AG52&lt;&gt;""),ROUND(AF52,3)+ROUND(AH51,3)-ROUND(AG52,3),IF(AND(EXACT(UPPER(AE52),"TBM"),AF52&lt;&gt;""),ROUND(AF52,3),IF(AF52="",AH51,IF(ISNA(VLOOKUP(AE52,A6:E105,5,FALSE)),IF(ISNA(VLOOKUP(AE52,G6:K105,5,FALSE)),IF(ISNA(VLOOKUP(AE52,M6:Q105,5,FALSE)),IF(ISNA(VLOOKUP(AE52,S6:W105,5,FALSE)),IF(ISNA(VLOOKUP(AE52,Y6:AC105,5,FALSE)),IF(ISNA(VLOOKUP(AE52,AE6:AI51,5,FALSE)),"",ROUND(VLOOKUP(AE52,AE6:AI51,5,FALSE),0)/1000+ROUND(AF52,3)),ROUND(VLOOKUP(AE52,Y6:AC105,5,FALSE),0)/1000+ROUND(AF52,3)),ROUND(VLOOKUP(AE52,S6:W105,5,FALSE),0)/1000+ROUND(AF52,3)),ROUND(VLOOKUP(AE52,M6:Q105,5,FALSE),0)/1000+ROUND(AF52,3)),ROUND(VLOOKUP(AE52,G6:K105,5,FALSE),0)/1000+ROUND(AF52,3)),ROUND(VLOOKUP(AE52,A6:E105,5,FALSE),0)/1000+ROUND(AF52,3)))))</f>
        <v/>
      </c>
      <c r="AI52" s="18" t="str">
        <f>IF(OR(NOT(EXACT(UPPER(AE52),"TBM")),AF52=""),IF(AND(AF52&lt;&gt;"",AG52="",AH52&lt;&gt;""),"",IF(AND(AF52="",AG52&lt;&gt;"",AH52&lt;&gt;""),ROUND(ROUND(AH52,3)-ROUND(AG52,3),3)*1000,IF(AND(AF52&lt;&gt;"",AG52&lt;&gt;"",AH52&lt;&gt;""),ROUND(ROUND(AH51,3)-ROUND(AG52,3),3)*1000,""))),"")</f>
        <v/>
      </c>
      <c r="AJ52" s="45" t="str">
        <f>IF(AND(NOT(ISNA(VLOOKUP(AE52,A6:E105,5,FALSE))),AF52="",AG52&lt;&gt;""),ROUND((VLOOKUP(AE52,A6:E105,5,FALSE)-AI52)/1000,3),IF(AND(NOT(ISNA(VLOOKUP(AE52,G6:K105,5,FALSE))),AF52="",AG52&lt;&gt;""),ROUND((VLOOKUP(AE52,G6:K105,5,FALSE)-AI52)/1000,3),IF(AND(NOT(ISNA(VLOOKUP(AE52,M6:Q105,5,FALSE))),AF52="",AG52&lt;&gt;""),ROUND((VLOOKUP(AE52,M6:Q105,5,FALSE)-AI52)/1000,3),IF(AND(NOT(ISNA(VLOOKUP(AE52,S6:W105,5,FALSE))),AF52="",AG52&lt;&gt;""),ROUND((VLOOKUP(AE52,S6:W105,5,FALSE)-AI52)/1000,3),IF(AND(NOT(ISNA(VLOOKUP(AE52,Y6:AC105,5,FALSE))),AF52="",AG52&lt;&gt;""),ROUND((VLOOKUP(AE52,Y6:AC105,5,FALSE)-AI52)/1000,3),IF(AND(NOT(ISNA(VLOOKUP(AE52,AE6:AI51,5,FALSE))),AF52="",AG52&lt;&gt;""),ROUND((VLOOKUP(AE52,AE6:AI51,5,FALSE)-AI52)/1000,3),""))))))</f>
        <v/>
      </c>
      <c r="AK52" s="19">
        <f>IF(AK51="","",AK51+1)</f>
        <v>646</v>
      </c>
      <c r="AL52" s="39"/>
      <c r="AM52" s="39"/>
      <c r="AN52" s="15" t="str">
        <f>IF(AND(AL52&lt;&gt;"",AM52&lt;&gt;""),ROUND(AL52,3)+ROUND(AN51,3)-ROUND(AM52,3),IF(AND(EXACT(UPPER(AK52),"TBM"),AL52&lt;&gt;""),ROUND(AL52,3),IF(AL52="",AN51,IF(ISNA(VLOOKUP(AK52,A6:E105,5,FALSE)),IF(ISNA(VLOOKUP(AK52,G6:K105,5,FALSE)),IF(ISNA(VLOOKUP(AK52,M6:Q105,5,FALSE)),IF(ISNA(VLOOKUP(AK52,S6:W105,5,FALSE)),IF(ISNA(VLOOKUP(AK52,Y6:AC105,5,FALSE)),IF(ISNA(VLOOKUP(AK52,AE6:AI105,5,FALSE)),IF(ISNA(VLOOKUP(AK52,AK6:AO51,5,FALSE)),"",ROUND(VLOOKUP(AK52,AK6:AO51,5,FALSE),0)/1000+ROUND(AL52,3)),ROUND(VLOOKUP(AK52,AE6:AI105,5,FALSE),0)/1000+ROUND(AL52,3)),ROUND(VLOOKUP(AK52,Y6:AC105,5,FALSE),0)/1000+ROUND(AL52,3)),ROUND(VLOOKUP(AK52,S6:W105,5,FALSE),0)/1000+ROUND(AL52,3)),ROUND(VLOOKUP(AK52,M6:Q105,5,FALSE),0)/1000+ROUND(AL52,3)),ROUND(VLOOKUP(AK52,G6:K105,5,FALSE),0)/1000+ROUND(AL52,3)),ROUND(VLOOKUP(AK52,A6:E105,5,FALSE),0)/1000+ROUND(AL52,3)))))</f>
        <v/>
      </c>
      <c r="AO52" s="18" t="str">
        <f>IF(OR(NOT(EXACT(UPPER(AK52),"TBM")),AL52=""),IF(AND(AL52&lt;&gt;"",AM52="",AN52&lt;&gt;""),"",IF(AND(AL52="",AM52&lt;&gt;"",AN52&lt;&gt;""),ROUND(ROUND(AN52,3)-ROUND(AM52,3),3)*1000,IF(AND(AL52&lt;&gt;"",AM52&lt;&gt;"",AN52&lt;&gt;""),ROUND(ROUND(AN51,3)-ROUND(AM52,3),3)*1000,""))),"")</f>
        <v/>
      </c>
      <c r="AP52" s="45" t="str">
        <f>IF(AND(NOT(ISNA(VLOOKUP(AK52,A6:E105,5,FALSE))),AL52="",AM52&lt;&gt;""),ROUND((VLOOKUP(AK52,A6:E105,5,FALSE)-AO52)/1000,3),IF(AND(NOT(ISNA(VLOOKUP(AK52,G6:K105,5,FALSE))),AL52="",AM52&lt;&gt;""),ROUND((VLOOKUP(AK52,G6:K105,5,FALSE)-AO52)/1000,3),IF(AND(NOT(ISNA(VLOOKUP(AK52,M6:Q105,5,FALSE))),AL52="",AM52&lt;&gt;""),ROUND((VLOOKUP(AK52,M6:Q105,5,FALSE)-AO52)/1000,3),IF(AND(NOT(ISNA(VLOOKUP(AK52,S6:W105,5,FALSE))),AL52="",AM52&lt;&gt;""),ROUND((VLOOKUP(AK52,S6:W105,5,FALSE)-AO52)/1000,3),IF(AND(NOT(ISNA(VLOOKUP(AK52,Y6:AC105,5,FALSE))),AL52="",AM52&lt;&gt;""),ROUND((VLOOKUP(AK52,Y6:AC105,5,FALSE)-AO52)/1000,3),IF(AND(NOT(ISNA(VLOOKUP(AK52,AE6:AI105,5,FALSE))),AL52="",AM52&lt;&gt;""),ROUND((VLOOKUP(AK52,AE6:AI105,5,FALSE)-AO52)/1000,3),IF(AND(NOT(ISNA(VLOOKUP(AK52,AK6:AO51,5,FALSE))),AL52="",AM52&lt;&gt;""),ROUND((VLOOKUP(AK52,AK6:AO51,5,FALSE)-AO52)/1000,3),"")))))))</f>
        <v/>
      </c>
      <c r="AQ52" s="19">
        <f>IF(AQ51="","",AQ51+1)</f>
        <v>746</v>
      </c>
      <c r="AR52" s="39"/>
      <c r="AS52" s="39"/>
      <c r="AT52" s="15" t="str">
        <f>IF(AND(AR52&lt;&gt;"",AS52&lt;&gt;""),ROUND(AR52,3)+ROUND(AT51,3)-ROUND(AS52,3),IF(AND(EXACT(UPPER(AQ52),"TBM"),AR52&lt;&gt;""),ROUND(AR52,3),IF(AR52="",AT51,IF(ISNA(VLOOKUP(AQ52,A6:E105,5,FALSE)),IF(ISNA(VLOOKUP(AQ52,G6:K105,5,FALSE)),IF(ISNA(VLOOKUP(AQ52,M6:Q105,5,FALSE)),IF(ISNA(VLOOKUP(AQ52,S6:W105,5,FALSE)),IF(ISNA(VLOOKUP(AQ52,Y6:AC105,5,FALSE)),IF(ISNA(VLOOKUP(AQ52,AE6:AI105,5,FALSE)),IF(ISNA(VLOOKUP(AQ52,AK6:AO105,5,FALSE)),IF(ISNA(VLOOKUP(AQ52,AQ6:AU51,5,FALSE)),"",ROUND(VLOOKUP(AQ52,AQ6:AU51,5,FALSE),0)/1000+ROUND(AR52,3)),ROUND(VLOOKUP(AQ52,AK6:AO105,5,FALSE),0)/1000+ROUND(AR52,3)),ROUND(VLOOKUP(AQ52,AE6:AI105,5,FALSE),0)/1000+ROUND(AR52,3)),ROUND(VLOOKUP(AQ52,Y6:AC105,5,FALSE),0)/1000+ROUND(AR52,3)),ROUND(VLOOKUP(AQ52,S6:W105,5,FALSE),0)/1000+ROUND(AR52,3)),ROUND(VLOOKUP(AQ52,M6:Q105,5,FALSE),0)/1000+ROUND(AR52,3)),ROUND(VLOOKUP(AQ52,G6:K105,5,FALSE),0)/1000+ROUND(AR52,3)),ROUND(VLOOKUP(AQ52,A6:E105,5,FALSE),0)/1000+ROUND(AR52,3)))))</f>
        <v/>
      </c>
      <c r="AU52" s="18" t="str">
        <f>IF(OR(NOT(EXACT(UPPER(AQ52),"TBM")),AR52=""),IF(AND(AR52&lt;&gt;"",AS52="",AT52&lt;&gt;""),"",IF(AND(AR52="",AS52&lt;&gt;"",AT52&lt;&gt;""),ROUND(ROUND(AT52,3)-ROUND(AS52,3),3)*1000,IF(AND(AR52&lt;&gt;"",AS52&lt;&gt;"",AT52&lt;&gt;""),ROUND(ROUND(AT51,3)-ROUND(AS52,3),3)*1000,""))),"")</f>
        <v/>
      </c>
      <c r="AV52" s="45" t="str">
        <f>IF(AND(NOT(ISNA(VLOOKUP(AQ52,A6:E105,5,FALSE))),AR52="",AS52&lt;&gt;""),ROUND((VLOOKUP(AQ52,A6:E105,5,FALSE)-AU52)/1000,3),IF(AND(NOT(ISNA(VLOOKUP(AQ52,G6:K105,5,FALSE))),AR52="",AS52&lt;&gt;""),ROUND((VLOOKUP(AQ52,G6:K105,5,FALSE)-AU52)/1000,3),IF(AND(NOT(ISNA(VLOOKUP(AQ52,M6:Q105,5,FALSE))),AR52="",AS52&lt;&gt;""),ROUND((VLOOKUP(AQ52,M6:Q105,5,FALSE)-AU52)/1000,3),IF(AND(NOT(ISNA(VLOOKUP(AQ52,S6:W105,5,FALSE))),AR52="",AS52&lt;&gt;""),ROUND((VLOOKUP(AQ52,S6:W105,5,FALSE)-AU52)/1000,3),IF(AND(NOT(ISNA(VLOOKUP(AQ52,Y6:AC105,5,FALSE))),AR52="",AS52&lt;&gt;""),ROUND((VLOOKUP(AQ52,Y6:AC105,5,FALSE)-AU52)/1000,3),IF(AND(NOT(ISNA(VLOOKUP(AQ52,AE6:AI105,5,FALSE))),AR52="",AS52&lt;&gt;""),ROUND((VLOOKUP(AQ52,AE6:AI105,5,FALSE)-AU52)/1000,3),IF(AND(NOT(ISNA(VLOOKUP(AQ52,AK6:AO105,5,FALSE))),AR52="",AS52&lt;&gt;""),ROUND((VLOOKUP(AQ52,AK6:AO105,5,FALSE)-AU52)/1000,3),IF(AND(NOT(ISNA(VLOOKUP(AQ52,AQ6:AU51,5,FALSE))),AR52="",AS52&lt;&gt;""),ROUND((VLOOKUP(AQ52,AQ6:AU51,5,FALSE)-AU52)/1000,3),""))))))))</f>
        <v/>
      </c>
      <c r="AW52" s="19">
        <f>IF(AW51="","",AW51+1)</f>
        <v>846</v>
      </c>
      <c r="AX52" s="39"/>
      <c r="AY52" s="39"/>
      <c r="AZ52" s="15" t="str">
        <f>IF(AND(AX52&lt;&gt;"",AY52&lt;&gt;""),ROUND(AX52,3)+ROUND(AZ51,3)-ROUND(AY52,3),IF(AND(EXACT(UPPER(AW52),"TBM"),AX52&lt;&gt;""),ROUND(AX52,3),IF(AX52="",AZ51,IF(ISNA(VLOOKUP(AW52,A6:E105,5,FALSE)),IF(ISNA(VLOOKUP(AW52,G6:K105,5,FALSE)),IF(ISNA(VLOOKUP(AW52,M6:Q105,5,FALSE)),IF(ISNA(VLOOKUP(AW52,S6:W105,5,FALSE)),IF(ISNA(VLOOKUP(AW52,Y6:AC105,5,FALSE)),IF(ISNA(VLOOKUP(AW52,AE6:AI105,5,FALSE)),IF(ISNA(VLOOKUP(AW52,AK6:AO105,5,FALSE)),IF(ISNA(VLOOKUP(AW52,AQ6:AU105,5,FALSE)),IF(ISNA(VLOOKUP(AW52,AW6:BA51,5,FALSE)),"",ROUND(VLOOKUP(AW52,AW6:BA51,5,FALSE),0)/1000+ROUND(AX52,3)),ROUND(VLOOKUP(AW52,AQ6:AU105,5,FALSE),0)/1000+ROUND(AX52,3)),ROUND(VLOOKUP(AW52,AK6:AO105,5,FALSE),0)/1000+ROUND(AX52,3)),ROUND(VLOOKUP(AW52,AE6:AI105,5,FALSE),0)/1000+ROUND(AX52,3)),ROUND(VLOOKUP(AW52,Y6:AC105,5,FALSE),0)/1000+ROUND(AX52,3)),ROUND(VLOOKUP(AW52,S6:W105,5,FALSE),0)/1000+ROUND(AX52,3)),ROUND(VLOOKUP(AW52,M6:Q105,5,FALSE),0)/1000+ROUND(AX52,3)),ROUND(VLOOKUP(AW52,G6:K105,5,FALSE),0)/1000+ROUND(AX52,3)),ROUND(VLOOKUP(AW52,A6:E105,5,FALSE),0)/1000+ROUND(AX52,3)))))</f>
        <v/>
      </c>
      <c r="BA52" s="18" t="str">
        <f>IF(OR(NOT(EXACT(UPPER(AW52),"TBM")),AX52=""),IF(AND(AX52&lt;&gt;"",AY52="",AZ52&lt;&gt;""),"",IF(AND(AX52="",AY52&lt;&gt;"",AZ52&lt;&gt;""),ROUND(ROUND(AZ52,3)-ROUND(AY52,3),3)*1000,IF(AND(AX52&lt;&gt;"",AY52&lt;&gt;"",AZ52&lt;&gt;""),ROUND(ROUND(AZ51,3)-ROUND(AY52,3),3)*1000,""))),"")</f>
        <v/>
      </c>
      <c r="BB52" s="45" t="str">
        <f>IF(AND(NOT(ISNA(VLOOKUP(AW52,A6:E105,5,FALSE))),AX52="",AY52&lt;&gt;""),ROUND((VLOOKUP(AW52,A6:E105,5,FALSE)-BA52)/1000,3),IF(AND(NOT(ISNA(VLOOKUP(AW52,G6:K105,5,FALSE))),AX52="",AY52&lt;&gt;""),ROUND((VLOOKUP(AW52,G6:K105,5,FALSE)-BA52)/1000,3),IF(AND(NOT(ISNA(VLOOKUP(AW52,M6:Q105,5,FALSE))),AX52="",AY52&lt;&gt;""),ROUND((VLOOKUP(AW52,M6:Q105,5,FALSE)-BA52)/1000,3),IF(AND(NOT(ISNA(VLOOKUP(AW52,S6:W105,5,FALSE))),AX52="",AY52&lt;&gt;""),ROUND((VLOOKUP(AW52,S6:W105,5,FALSE)-BA52)/1000,3),IF(AND(NOT(ISNA(VLOOKUP(AW52,Y6:AC105,5,FALSE))),AX52="",AY52&lt;&gt;""),ROUND((VLOOKUP(AW52,Y6:AC105,5,FALSE)-BA52)/1000,3),IF(AND(NOT(ISNA(VLOOKUP(AW52,AE6:AI105,5,FALSE))),AX52="",AY52&lt;&gt;""),ROUND((VLOOKUP(AW52,AE6:AI105,5,FALSE)-BA52)/1000,3),IF(AND(NOT(ISNA(VLOOKUP(AW52,AK6:AO105,5,FALSE))),AX52="",AY52&lt;&gt;""),ROUND((VLOOKUP(AW52,AK6:AO105,5,FALSE)-BA52)/1000,3),IF(AND(NOT(ISNA(VLOOKUP(AW52,AQ6:AU105,5,FALSE))),AX52="",AY52&lt;&gt;""),ROUND((VLOOKUP(AW52,AQ6:AU105,5,FALSE)-BA52)/1000,3),IF(AND(NOT(ISNA(VLOOKUP(AW52,AW6:BA51,5,FALSE))),AX52="",AY52&lt;&gt;""),ROUND((VLOOKUP(AW52,AW6:BA51,5,FALSE)-BA52)/1000,3),"")))))))))</f>
        <v/>
      </c>
      <c r="BC52" s="19">
        <f>IF(BC51="","",BC51+1)</f>
        <v>946</v>
      </c>
      <c r="BD52" s="39"/>
      <c r="BE52" s="39"/>
      <c r="BF52" s="15" t="str">
        <f>IF(AND(BD52&lt;&gt;"",BE52&lt;&gt;""),ROUND(BD52,3)+ROUND(BF51,3)-ROUND(BE52,3),IF(AND(EXACT(UPPER(BC52),"TBM"),BD52&lt;&gt;""),ROUND(BD52,3),IF(BD52="",BF51,IF(ISNA(VLOOKUP(BC52,A6:E105,5,FALSE)),IF(ISNA(VLOOKUP(BC52,G6:K105,5,FALSE)),IF(ISNA(VLOOKUP(BC52,M6:Q105,5,FALSE)),IF(ISNA(VLOOKUP(BC52,S6:W105,5,FALSE)),IF(ISNA(VLOOKUP(BC52,Y6:AC105,5,FALSE)),IF(ISNA(VLOOKUP(BC52,AE6:AI105,5,FALSE)),IF(ISNA(VLOOKUP(BC52,AK6:AO105,5,FALSE)),IF(ISNA(VLOOKUP(BC52,AQ6:AU105,5,FALSE)),IF(ISNA(VLOOKUP(BC52,AW6:BA105,5,FALSE)),IF(ISNA(VLOOKUP(BC52,BC6:BG51,5,FALSE)),"",ROUND(VLOOKUP(BC52,BC6:BG51,5,FALSE),0)/1000+ROUND(BD52,3)),ROUND(VLOOKUP(BC52,AW6:BA105,5,FALSE),0)/1000+ROUND(BD52,3)),ROUND(VLOOKUP(BC52,AQ6:AU105,5,FALSE),0)/1000+ROUND(BD52,3)),ROUND(VLOOKUP(BC52,AK6:AO105,5,FALSE),0)/1000+ROUND(BD52,3)),ROUND(VLOOKUP(BC52,AE6:AI105,5,FALSE),0)/1000+ROUND(BD52,3)),ROUND(VLOOKUP(BC52,Y6:AC105,5,FALSE),0)/1000+ROUND(BD52,3)),ROUND(VLOOKUP(BC52,S6:W105,5,FALSE),0)/1000+ROUND(BD52,3)),ROUND(VLOOKUP(BC52,M6:Q105,5,FALSE),0)/1000+ROUND(BD52,3)),ROUND(VLOOKUP(BC52,G6:K105,5,FALSE),0)/1000+ROUND(BD52,3)),ROUND(VLOOKUP(BC52,A6:E105,5,FALSE),0)/1000+ROUND(BD52,3)))))</f>
        <v/>
      </c>
      <c r="BG52" s="18" t="str">
        <f>IF(OR(NOT(EXACT(UPPER(BC52),"TBM")),BD52=""),IF(AND(BD52&lt;&gt;"",BE52="",BF52&lt;&gt;""),"",IF(AND(BD52="",BE52&lt;&gt;"",BF52&lt;&gt;""),ROUND(ROUND(BF52,3)-ROUND(BE52,3),3)*1000,IF(AND(BD52&lt;&gt;"",BE52&lt;&gt;"",BF52&lt;&gt;""),ROUND(ROUND(BF51,3)-ROUND(BE52,3),3)*1000,""))),"")</f>
        <v/>
      </c>
      <c r="BH52" s="45" t="str">
        <f>IF(AND(NOT(ISNA(VLOOKUP(BC52,A6:E105,5,FALSE))),BD52="",BE52&lt;&gt;""),ROUND((VLOOKUP(BC52,A6:E105,5,FALSE)-BG52)/1000,3),IF(AND(NOT(ISNA(VLOOKUP(BC52,G6:K105,5,FALSE))),BD52="",BE52&lt;&gt;""),ROUND((VLOOKUP(BC52,G6:K105,5,FALSE)-BG52)/1000,3),IF(AND(NOT(ISNA(VLOOKUP(BC52,M6:Q105,5,FALSE))),BD52="",BE52&lt;&gt;""),ROUND((VLOOKUP(BC52,M6:Q105,5,FALSE)-BG52)/1000,3),IF(AND(NOT(ISNA(VLOOKUP(BC52,S6:W105,5,FALSE))),BD52="",BE52&lt;&gt;""),ROUND((VLOOKUP(BC52,S6:W105,5,FALSE)-BG52)/1000,3),IF(AND(NOT(ISNA(VLOOKUP(BC52,Y6:AC105,5,FALSE))),BD52="",BE52&lt;&gt;""),ROUND((VLOOKUP(BC52,Y6:AC105,5,FALSE)-BG52)/1000,3),IF(AND(NOT(ISNA(VLOOKUP(BC52,AE6:AI105,5,FALSE))),BD52="",BE52&lt;&gt;""),ROUND((VLOOKUP(BC52,AE6:AI105,5,FALSE)-BG52)/1000,3),IF(AND(NOT(ISNA(VLOOKUP(BC52,AK6:AO105,5,FALSE))),BD52="",BE52&lt;&gt;""),ROUND((VLOOKUP(BC52,AK6:AO105,5,FALSE)-BG52)/1000,3),IF(AND(NOT(ISNA(VLOOKUP(BC52,AQ6:AU105,5,FALSE))),BD52="",BE52&lt;&gt;""),ROUND((VLOOKUP(BC52,AQ6:AU105,5,FALSE)-BG52)/1000,3),IF(AND(NOT(ISNA(VLOOKUP(BC52,AW6:BA105,5,FALSE))),BD52="",BE52&lt;&gt;""),ROUND((VLOOKUP(BC52,AW6:BA105,5,FALSE)-BG52)/1000,3),IF(AND(NOT(ISNA(VLOOKUP(BC52,BC6:BG51,5,FALSE))),BD52="",BE52&lt;&gt;""),ROUND((VLOOKUP(BC52,BC6:BG51,5,FALSE)-BG52)/1000,3),""))))))))))</f>
        <v/>
      </c>
    </row>
    <row r="53" spans="1:60" x14ac:dyDescent="0.25">
      <c r="A53" s="19">
        <f t="shared" si="3"/>
        <v>47</v>
      </c>
      <c r="B53" s="43"/>
      <c r="C53" s="43"/>
      <c r="D53" s="15" t="str">
        <f>IF(AND(B53&lt;&gt;"",C53&lt;&gt;""),ROUND(B53,3)+ROUND(D52,3)-ROUND(C53,3),IF(AND(EXACT(UPPER(A53),"TBM"),B53&lt;&gt;""),ROUND(B53,3),IF(B53="",D52,IF(ISNA(VLOOKUP(A53,A6:E52,5,FALSE)),"",ROUND(VLOOKUP(A53,A6:E52,5,FALSE),0)/1000+ROUND(B53,3)))))</f>
        <v/>
      </c>
      <c r="E53" s="22" t="str">
        <f t="shared" si="4"/>
        <v/>
      </c>
      <c r="F53" s="44" t="str">
        <f>IF(AND(NOT(ISNA(VLOOKUP(A53,A6:E52,5,FALSE))),B53="",C53&lt;&gt;""),ROUND((VLOOKUP(A53,A6:E52,5,FALSE)-E53)/1000,3),"")</f>
        <v/>
      </c>
      <c r="G53" s="19">
        <f t="shared" si="1"/>
        <v>147</v>
      </c>
      <c r="H53" s="43"/>
      <c r="I53" s="43"/>
      <c r="J53" s="15" t="str">
        <f>IF(AND(H53&lt;&gt;"",I53&lt;&gt;""),ROUND(H53,3)+ROUND(J52,3)-ROUND(I53,3),IF(AND(EXACT(UPPER(G53),"TBM"),H53&lt;&gt;""),ROUND(H53,3),IF(H53="",J52,IF(ISNA(VLOOKUP(G53,A6:E105,5,FALSE)),IF(ISNA(VLOOKUP(G53,G6:K52,5,FALSE)),"",ROUND(VLOOKUP(G53,G6:K52,5,FALSE),0)/1000+ROUND(H53,3)),ROUND(VLOOKUP(G53,A6:E105,5,FALSE),0)/1000+ROUND(H53,3)))))</f>
        <v/>
      </c>
      <c r="K53" s="18" t="str">
        <f t="shared" si="5"/>
        <v/>
      </c>
      <c r="L53" s="44" t="str">
        <f>IF(AND(NOT(ISNA(VLOOKUP(G53,A6:E105,5,FALSE))),H53="",I53&lt;&gt;""),ROUND((VLOOKUP(G53,A6:E105,5,FALSE)-K53)/1000,3),IF(AND(NOT(ISNA(VLOOKUP(G53,G6:K52,5,FALSE))),H53="",I53&lt;&gt;""),ROUND((VLOOKUP(G53,G6:K52,5,FALSE)-K53)/1000,3),""))</f>
        <v/>
      </c>
      <c r="M53" s="19">
        <f>IF(M52="","",M52+1)</f>
        <v>247</v>
      </c>
      <c r="N53" s="43"/>
      <c r="O53" s="43"/>
      <c r="P53" s="15" t="str">
        <f>IF(AND(N53&lt;&gt;"",O53&lt;&gt;""),ROUND(N53,3)+ROUND(P52,3)-ROUND(O53,3),IF(AND(EXACT(UPPER(M53),"TBM"),N53&lt;&gt;""),ROUND(N53,3),IF(N53="",P52,IF(ISNA(VLOOKUP(M53,A6:E105,5,FALSE)),IF(ISNA(VLOOKUP(M53,G6:K105,5,FALSE)),IF(ISNA(VLOOKUP(M53,M6:Q52,5,FALSE)),"",ROUND(VLOOKUP(M53,M6:Q52,5,FALSE),0)/1000+ROUND(N53,3)),ROUND(VLOOKUP(M53,G6:K105,5,FALSE),0)/1000+ROUND(N53,3)),ROUND(VLOOKUP(M53,A6:E105,5,FALSE),0)/1000+ROUND(N53,3)))))</f>
        <v/>
      </c>
      <c r="Q53" s="18" t="str">
        <f>IF(OR(NOT(EXACT(UPPER(M53),"TBM")),N53=""),IF(AND(N53&lt;&gt;"",O53="",P53&lt;&gt;""),"",IF(AND(N53="",O53&lt;&gt;"",P53&lt;&gt;""),ROUND(ROUND(P53,3)-ROUND(O53,3),3)*1000,IF(AND(N53&lt;&gt;"",O53&lt;&gt;"",P53&lt;&gt;""),ROUND(ROUND(P52,3)-ROUND(O53,3),3)*1000,""))),"")</f>
        <v/>
      </c>
      <c r="R53" s="44" t="str">
        <f>IF(AND(NOT(ISNA(VLOOKUP(M53,A6:E105,5,FALSE))),N53="",O53&lt;&gt;""),ROUND((VLOOKUP(M53,A6:E105,5,FALSE)-Q53)/1000,3),IF(AND(NOT(ISNA(VLOOKUP(M53,G6:K105,5,FALSE))),N53="",O53&lt;&gt;""),ROUND((VLOOKUP(M53,G6:K105,5,FALSE)-Q53)/1000,3),IF(AND(NOT(ISNA(VLOOKUP(M53,M6:Q52,5,FALSE))),N53="",O53&lt;&gt;""),ROUND((VLOOKUP(M53,M6:Q52,5,FALSE)-Q53)/1000,3),"")))</f>
        <v/>
      </c>
      <c r="S53" s="19">
        <f>IF(S52="","",S52+1)</f>
        <v>347</v>
      </c>
      <c r="T53" s="43"/>
      <c r="U53" s="43"/>
      <c r="V53" s="15" t="str">
        <f>IF(AND(T53&lt;&gt;"",U53&lt;&gt;""),ROUND(T53,3)+ROUND(V52,3)-ROUND(U53,3),IF(AND(EXACT(UPPER(S53),"TBM"),T53&lt;&gt;""),ROUND(T53,3),IF(T53="",V52,IF(ISNA(VLOOKUP(S53,A6:E105,5,FALSE)),IF(ISNA(VLOOKUP(S53,G6:K105,5,FALSE)),IF(ISNA(VLOOKUP(S53,M6:Q105,5,FALSE)),IF(ISNA(VLOOKUP(S53,S6:W52,5,FALSE)),"",ROUND(VLOOKUP(S53,S6:W52,5,FALSE),0)/1000+ROUND(T53,3)),ROUND(VLOOKUP(S53,M6:Q105,5,FALSE),0)/1000+ROUND(T53,3)),ROUND(VLOOKUP(S53,G6:K105,5,FALSE),0)/1000+ROUND(T53,3)),ROUND(VLOOKUP(S53,A6:E105,5,FALSE),0)/1000+ROUND(T53,3)))))</f>
        <v/>
      </c>
      <c r="W53" s="18" t="str">
        <f>IF(OR(NOT(EXACT(UPPER(S53),"TBM")),T53=""),IF(AND(T53&lt;&gt;"",U53="",V53&lt;&gt;""),"",IF(AND(T53="",U53&lt;&gt;"",V53&lt;&gt;""),ROUND(ROUND(V53,3)-ROUND(U53,3),3)*1000,IF(AND(T53&lt;&gt;"",U53&lt;&gt;"",V53&lt;&gt;""),ROUND(ROUND(V52,3)-ROUND(U53,3),3)*1000,""))),"")</f>
        <v/>
      </c>
      <c r="X53" s="44" t="str">
        <f>IF(AND(NOT(ISNA(VLOOKUP(S53,A6:E105,5,FALSE))),T53="",U53&lt;&gt;""),ROUND((VLOOKUP(S53,A6:E105,5,FALSE)-W53)/1000,3),IF(AND(NOT(ISNA(VLOOKUP(S53,G6:K105,5,FALSE))),T53="",U53&lt;&gt;""),ROUND((VLOOKUP(S53,G6:K105,5,FALSE)-W53)/1000,3),IF(AND(NOT(ISNA(VLOOKUP(S53,M6:Q105,5,FALSE))),T53="",U53&lt;&gt;""),ROUND((VLOOKUP(S53,M6:Q105,5,FALSE)-W53)/1000,3),IF(AND(NOT(ISNA(VLOOKUP(S53,S6:W52,5,FALSE))),T53="",U53&lt;&gt;""),ROUND((VLOOKUP(S53,S6:W52,5,FALSE)-W53)/1000,3),""))))</f>
        <v/>
      </c>
      <c r="Y53" s="19">
        <f>IF(Y52="","",Y52+1)</f>
        <v>447</v>
      </c>
      <c r="Z53" s="43"/>
      <c r="AA53" s="43"/>
      <c r="AB53" s="15" t="str">
        <f>IF(AND(Z53&lt;&gt;"",AA53&lt;&gt;""),ROUND(Z53,3)+ROUND(AB52,3)-ROUND(AA53,3),IF(AND(EXACT(UPPER(Y53),"TBM"),Z53&lt;&gt;""),ROUND(Z53,3),IF(Z53="",AB52,IF(ISNA(VLOOKUP(Y53,A6:E105,5,FALSE)),IF(ISNA(VLOOKUP(Y53,G6:K105,5,FALSE)),IF(ISNA(VLOOKUP(Y53,M6:Q105,5,FALSE)),IF(ISNA(VLOOKUP(Y53,S6:W105,5,FALSE)),IF(ISNA(VLOOKUP(Y53,Y6:AC52,5,FALSE)),"",ROUND(VLOOKUP(Y53,Y6:AC52,5,FALSE),0)/1000+ROUND(Z53,3)),ROUND(VLOOKUP(Y53,S6:W105,5,FALSE),0)/1000+ROUND(Z53,3)),ROUND(VLOOKUP(Y53,M6:Q105,5,FALSE),0)/1000+ROUND(Z53,3)),ROUND(VLOOKUP(Y53,G6:K105,5,FALSE),0)/1000+ROUND(Z53,3)),ROUND(VLOOKUP(Y53,A6:E105,5,FALSE),0)/1000+ROUND(Z53,3)))))</f>
        <v/>
      </c>
      <c r="AC53" s="18" t="str">
        <f>IF(OR(NOT(EXACT(UPPER(Y53),"TBM")),Z53=""),IF(AND(Z53&lt;&gt;"",AA53="",AB53&lt;&gt;""),"",IF(AND(Z53="",AA53&lt;&gt;"",AB53&lt;&gt;""),ROUND(ROUND(AB53,3)-ROUND(AA53,3),3)*1000,IF(AND(Z53&lt;&gt;"",AA53&lt;&gt;"",AB53&lt;&gt;""),ROUND(ROUND(AB52,3)-ROUND(AA53,3),3)*1000,""))),"")</f>
        <v/>
      </c>
      <c r="AD53" s="44" t="str">
        <f>IF(AND(NOT(ISNA(VLOOKUP(Y53,A6:E105,5,FALSE))),Z53="",AA53&lt;&gt;""),ROUND((VLOOKUP(Y53,A6:E105,5,FALSE)-AC53)/1000,3),IF(AND(NOT(ISNA(VLOOKUP(Y53,G6:K105,5,FALSE))),Z53="",AA53&lt;&gt;""),ROUND((VLOOKUP(Y53,G6:K105,5,FALSE)-AC53)/1000,3),IF(AND(NOT(ISNA(VLOOKUP(Y53,M6:Q105,5,FALSE))),Z53="",AA53&lt;&gt;""),ROUND((VLOOKUP(Y53,M6:Q105,5,FALSE)-AC53)/1000,3),IF(AND(NOT(ISNA(VLOOKUP(Y53,S6:W105,5,FALSE))),Z53="",AA53&lt;&gt;""),ROUND((VLOOKUP(Y53,S6:W105,5,FALSE)-AC53)/1000,3),IF(AND(NOT(ISNA(VLOOKUP(Y53,Y6:AC52,5,FALSE))),Z53="",AA53&lt;&gt;""),ROUND((VLOOKUP(Y53,Y6:AC52,5,FALSE)-AC53)/1000,3),"")))))</f>
        <v/>
      </c>
      <c r="AE53" s="19">
        <f>IF(AE52="","",AE52+1)</f>
        <v>547</v>
      </c>
      <c r="AF53" s="43"/>
      <c r="AG53" s="43"/>
      <c r="AH53" s="15" t="str">
        <f>IF(AND(AF53&lt;&gt;"",AG53&lt;&gt;""),ROUND(AF53,3)+ROUND(AH52,3)-ROUND(AG53,3),IF(AND(EXACT(UPPER(AE53),"TBM"),AF53&lt;&gt;""),ROUND(AF53,3),IF(AF53="",AH52,IF(ISNA(VLOOKUP(AE53,A6:E105,5,FALSE)),IF(ISNA(VLOOKUP(AE53,G6:K105,5,FALSE)),IF(ISNA(VLOOKUP(AE53,M6:Q105,5,FALSE)),IF(ISNA(VLOOKUP(AE53,S6:W105,5,FALSE)),IF(ISNA(VLOOKUP(AE53,Y6:AC105,5,FALSE)),IF(ISNA(VLOOKUP(AE53,AE6:AI52,5,FALSE)),"",ROUND(VLOOKUP(AE53,AE6:AI52,5,FALSE),0)/1000+ROUND(AF53,3)),ROUND(VLOOKUP(AE53,Y6:AC105,5,FALSE),0)/1000+ROUND(AF53,3)),ROUND(VLOOKUP(AE53,S6:W105,5,FALSE),0)/1000+ROUND(AF53,3)),ROUND(VLOOKUP(AE53,M6:Q105,5,FALSE),0)/1000+ROUND(AF53,3)),ROUND(VLOOKUP(AE53,G6:K105,5,FALSE),0)/1000+ROUND(AF53,3)),ROUND(VLOOKUP(AE53,A6:E105,5,FALSE),0)/1000+ROUND(AF53,3)))))</f>
        <v/>
      </c>
      <c r="AI53" s="18" t="str">
        <f>IF(OR(NOT(EXACT(UPPER(AE53),"TBM")),AF53=""),IF(AND(AF53&lt;&gt;"",AG53="",AH53&lt;&gt;""),"",IF(AND(AF53="",AG53&lt;&gt;"",AH53&lt;&gt;""),ROUND(ROUND(AH53,3)-ROUND(AG53,3),3)*1000,IF(AND(AF53&lt;&gt;"",AG53&lt;&gt;"",AH53&lt;&gt;""),ROUND(ROUND(AH52,3)-ROUND(AG53,3),3)*1000,""))),"")</f>
        <v/>
      </c>
      <c r="AJ53" s="44" t="str">
        <f>IF(AND(NOT(ISNA(VLOOKUP(AE53,A6:E105,5,FALSE))),AF53="",AG53&lt;&gt;""),ROUND((VLOOKUP(AE53,A6:E105,5,FALSE)-AI53)/1000,3),IF(AND(NOT(ISNA(VLOOKUP(AE53,G6:K105,5,FALSE))),AF53="",AG53&lt;&gt;""),ROUND((VLOOKUP(AE53,G6:K105,5,FALSE)-AI53)/1000,3),IF(AND(NOT(ISNA(VLOOKUP(AE53,M6:Q105,5,FALSE))),AF53="",AG53&lt;&gt;""),ROUND((VLOOKUP(AE53,M6:Q105,5,FALSE)-AI53)/1000,3),IF(AND(NOT(ISNA(VLOOKUP(AE53,S6:W105,5,FALSE))),AF53="",AG53&lt;&gt;""),ROUND((VLOOKUP(AE53,S6:W105,5,FALSE)-AI53)/1000,3),IF(AND(NOT(ISNA(VLOOKUP(AE53,Y6:AC105,5,FALSE))),AF53="",AG53&lt;&gt;""),ROUND((VLOOKUP(AE53,Y6:AC105,5,FALSE)-AI53)/1000,3),IF(AND(NOT(ISNA(VLOOKUP(AE53,AE6:AI52,5,FALSE))),AF53="",AG53&lt;&gt;""),ROUND((VLOOKUP(AE53,AE6:AI52,5,FALSE)-AI53)/1000,3),""))))))</f>
        <v/>
      </c>
      <c r="AK53" s="19">
        <f>IF(AK52="","",AK52+1)</f>
        <v>647</v>
      </c>
      <c r="AL53" s="43"/>
      <c r="AM53" s="43"/>
      <c r="AN53" s="15" t="str">
        <f>IF(AND(AL53&lt;&gt;"",AM53&lt;&gt;""),ROUND(AL53,3)+ROUND(AN52,3)-ROUND(AM53,3),IF(AND(EXACT(UPPER(AK53),"TBM"),AL53&lt;&gt;""),ROUND(AL53,3),IF(AL53="",AN52,IF(ISNA(VLOOKUP(AK53,A6:E105,5,FALSE)),IF(ISNA(VLOOKUP(AK53,G6:K105,5,FALSE)),IF(ISNA(VLOOKUP(AK53,M6:Q105,5,FALSE)),IF(ISNA(VLOOKUP(AK53,S6:W105,5,FALSE)),IF(ISNA(VLOOKUP(AK53,Y6:AC105,5,FALSE)),IF(ISNA(VLOOKUP(AK53,AE6:AI105,5,FALSE)),IF(ISNA(VLOOKUP(AK53,AK6:AO52,5,FALSE)),"",ROUND(VLOOKUP(AK53,AK6:AO52,5,FALSE),0)/1000+ROUND(AL53,3)),ROUND(VLOOKUP(AK53,AE6:AI105,5,FALSE),0)/1000+ROUND(AL53,3)),ROUND(VLOOKUP(AK53,Y6:AC105,5,FALSE),0)/1000+ROUND(AL53,3)),ROUND(VLOOKUP(AK53,S6:W105,5,FALSE),0)/1000+ROUND(AL53,3)),ROUND(VLOOKUP(AK53,M6:Q105,5,FALSE),0)/1000+ROUND(AL53,3)),ROUND(VLOOKUP(AK53,G6:K105,5,FALSE),0)/1000+ROUND(AL53,3)),ROUND(VLOOKUP(AK53,A6:E105,5,FALSE),0)/1000+ROUND(AL53,3)))))</f>
        <v/>
      </c>
      <c r="AO53" s="18" t="str">
        <f>IF(OR(NOT(EXACT(UPPER(AK53),"TBM")),AL53=""),IF(AND(AL53&lt;&gt;"",AM53="",AN53&lt;&gt;""),"",IF(AND(AL53="",AM53&lt;&gt;"",AN53&lt;&gt;""),ROUND(ROUND(AN53,3)-ROUND(AM53,3),3)*1000,IF(AND(AL53&lt;&gt;"",AM53&lt;&gt;"",AN53&lt;&gt;""),ROUND(ROUND(AN52,3)-ROUND(AM53,3),3)*1000,""))),"")</f>
        <v/>
      </c>
      <c r="AP53" s="44" t="str">
        <f>IF(AND(NOT(ISNA(VLOOKUP(AK53,A6:E105,5,FALSE))),AL53="",AM53&lt;&gt;""),ROUND((VLOOKUP(AK53,A6:E105,5,FALSE)-AO53)/1000,3),IF(AND(NOT(ISNA(VLOOKUP(AK53,G6:K105,5,FALSE))),AL53="",AM53&lt;&gt;""),ROUND((VLOOKUP(AK53,G6:K105,5,FALSE)-AO53)/1000,3),IF(AND(NOT(ISNA(VLOOKUP(AK53,M6:Q105,5,FALSE))),AL53="",AM53&lt;&gt;""),ROUND((VLOOKUP(AK53,M6:Q105,5,FALSE)-AO53)/1000,3),IF(AND(NOT(ISNA(VLOOKUP(AK53,S6:W105,5,FALSE))),AL53="",AM53&lt;&gt;""),ROUND((VLOOKUP(AK53,S6:W105,5,FALSE)-AO53)/1000,3),IF(AND(NOT(ISNA(VLOOKUP(AK53,Y6:AC105,5,FALSE))),AL53="",AM53&lt;&gt;""),ROUND((VLOOKUP(AK53,Y6:AC105,5,FALSE)-AO53)/1000,3),IF(AND(NOT(ISNA(VLOOKUP(AK53,AE6:AI105,5,FALSE))),AL53="",AM53&lt;&gt;""),ROUND((VLOOKUP(AK53,AE6:AI105,5,FALSE)-AO53)/1000,3),IF(AND(NOT(ISNA(VLOOKUP(AK53,AK6:AO52,5,FALSE))),AL53="",AM53&lt;&gt;""),ROUND((VLOOKUP(AK53,AK6:AO52,5,FALSE)-AO53)/1000,3),"")))))))</f>
        <v/>
      </c>
      <c r="AQ53" s="19">
        <f>IF(AQ52="","",AQ52+1)</f>
        <v>747</v>
      </c>
      <c r="AR53" s="43"/>
      <c r="AS53" s="43"/>
      <c r="AT53" s="15" t="str">
        <f>IF(AND(AR53&lt;&gt;"",AS53&lt;&gt;""),ROUND(AR53,3)+ROUND(AT52,3)-ROUND(AS53,3),IF(AND(EXACT(UPPER(AQ53),"TBM"),AR53&lt;&gt;""),ROUND(AR53,3),IF(AR53="",AT52,IF(ISNA(VLOOKUP(AQ53,A6:E105,5,FALSE)),IF(ISNA(VLOOKUP(AQ53,G6:K105,5,FALSE)),IF(ISNA(VLOOKUP(AQ53,M6:Q105,5,FALSE)),IF(ISNA(VLOOKUP(AQ53,S6:W105,5,FALSE)),IF(ISNA(VLOOKUP(AQ53,Y6:AC105,5,FALSE)),IF(ISNA(VLOOKUP(AQ53,AE6:AI105,5,FALSE)),IF(ISNA(VLOOKUP(AQ53,AK6:AO105,5,FALSE)),IF(ISNA(VLOOKUP(AQ53,AQ6:AU52,5,FALSE)),"",ROUND(VLOOKUP(AQ53,AQ6:AU52,5,FALSE),0)/1000+ROUND(AR53,3)),ROUND(VLOOKUP(AQ53,AK6:AO105,5,FALSE),0)/1000+ROUND(AR53,3)),ROUND(VLOOKUP(AQ53,AE6:AI105,5,FALSE),0)/1000+ROUND(AR53,3)),ROUND(VLOOKUP(AQ53,Y6:AC105,5,FALSE),0)/1000+ROUND(AR53,3)),ROUND(VLOOKUP(AQ53,S6:W105,5,FALSE),0)/1000+ROUND(AR53,3)),ROUND(VLOOKUP(AQ53,M6:Q105,5,FALSE),0)/1000+ROUND(AR53,3)),ROUND(VLOOKUP(AQ53,G6:K105,5,FALSE),0)/1000+ROUND(AR53,3)),ROUND(VLOOKUP(AQ53,A6:E105,5,FALSE),0)/1000+ROUND(AR53,3)))))</f>
        <v/>
      </c>
      <c r="AU53" s="18" t="str">
        <f>IF(OR(NOT(EXACT(UPPER(AQ53),"TBM")),AR53=""),IF(AND(AR53&lt;&gt;"",AS53="",AT53&lt;&gt;""),"",IF(AND(AR53="",AS53&lt;&gt;"",AT53&lt;&gt;""),ROUND(ROUND(AT53,3)-ROUND(AS53,3),3)*1000,IF(AND(AR53&lt;&gt;"",AS53&lt;&gt;"",AT53&lt;&gt;""),ROUND(ROUND(AT52,3)-ROUND(AS53,3),3)*1000,""))),"")</f>
        <v/>
      </c>
      <c r="AV53" s="44" t="str">
        <f>IF(AND(NOT(ISNA(VLOOKUP(AQ53,A6:E105,5,FALSE))),AR53="",AS53&lt;&gt;""),ROUND((VLOOKUP(AQ53,A6:E105,5,FALSE)-AU53)/1000,3),IF(AND(NOT(ISNA(VLOOKUP(AQ53,G6:K105,5,FALSE))),AR53="",AS53&lt;&gt;""),ROUND((VLOOKUP(AQ53,G6:K105,5,FALSE)-AU53)/1000,3),IF(AND(NOT(ISNA(VLOOKUP(AQ53,M6:Q105,5,FALSE))),AR53="",AS53&lt;&gt;""),ROUND((VLOOKUP(AQ53,M6:Q105,5,FALSE)-AU53)/1000,3),IF(AND(NOT(ISNA(VLOOKUP(AQ53,S6:W105,5,FALSE))),AR53="",AS53&lt;&gt;""),ROUND((VLOOKUP(AQ53,S6:W105,5,FALSE)-AU53)/1000,3),IF(AND(NOT(ISNA(VLOOKUP(AQ53,Y6:AC105,5,FALSE))),AR53="",AS53&lt;&gt;""),ROUND((VLOOKUP(AQ53,Y6:AC105,5,FALSE)-AU53)/1000,3),IF(AND(NOT(ISNA(VLOOKUP(AQ53,AE6:AI105,5,FALSE))),AR53="",AS53&lt;&gt;""),ROUND((VLOOKUP(AQ53,AE6:AI105,5,FALSE)-AU53)/1000,3),IF(AND(NOT(ISNA(VLOOKUP(AQ53,AK6:AO105,5,FALSE))),AR53="",AS53&lt;&gt;""),ROUND((VLOOKUP(AQ53,AK6:AO105,5,FALSE)-AU53)/1000,3),IF(AND(NOT(ISNA(VLOOKUP(AQ53,AQ6:AU52,5,FALSE))),AR53="",AS53&lt;&gt;""),ROUND((VLOOKUP(AQ53,AQ6:AU52,5,FALSE)-AU53)/1000,3),""))))))))</f>
        <v/>
      </c>
      <c r="AW53" s="19">
        <f>IF(AW52="","",AW52+1)</f>
        <v>847</v>
      </c>
      <c r="AX53" s="43"/>
      <c r="AY53" s="43"/>
      <c r="AZ53" s="15" t="str">
        <f>IF(AND(AX53&lt;&gt;"",AY53&lt;&gt;""),ROUND(AX53,3)+ROUND(AZ52,3)-ROUND(AY53,3),IF(AND(EXACT(UPPER(AW53),"TBM"),AX53&lt;&gt;""),ROUND(AX53,3),IF(AX53="",AZ52,IF(ISNA(VLOOKUP(AW53,A6:E105,5,FALSE)),IF(ISNA(VLOOKUP(AW53,G6:K105,5,FALSE)),IF(ISNA(VLOOKUP(AW53,M6:Q105,5,FALSE)),IF(ISNA(VLOOKUP(AW53,S6:W105,5,FALSE)),IF(ISNA(VLOOKUP(AW53,Y6:AC105,5,FALSE)),IF(ISNA(VLOOKUP(AW53,AE6:AI105,5,FALSE)),IF(ISNA(VLOOKUP(AW53,AK6:AO105,5,FALSE)),IF(ISNA(VLOOKUP(AW53,AQ6:AU105,5,FALSE)),IF(ISNA(VLOOKUP(AW53,AW6:BA52,5,FALSE)),"",ROUND(VLOOKUP(AW53,AW6:BA52,5,FALSE),0)/1000+ROUND(AX53,3)),ROUND(VLOOKUP(AW53,AQ6:AU105,5,FALSE),0)/1000+ROUND(AX53,3)),ROUND(VLOOKUP(AW53,AK6:AO105,5,FALSE),0)/1000+ROUND(AX53,3)),ROUND(VLOOKUP(AW53,AE6:AI105,5,FALSE),0)/1000+ROUND(AX53,3)),ROUND(VLOOKUP(AW53,Y6:AC105,5,FALSE),0)/1000+ROUND(AX53,3)),ROUND(VLOOKUP(AW53,S6:W105,5,FALSE),0)/1000+ROUND(AX53,3)),ROUND(VLOOKUP(AW53,M6:Q105,5,FALSE),0)/1000+ROUND(AX53,3)),ROUND(VLOOKUP(AW53,G6:K105,5,FALSE),0)/1000+ROUND(AX53,3)),ROUND(VLOOKUP(AW53,A6:E105,5,FALSE),0)/1000+ROUND(AX53,3)))))</f>
        <v/>
      </c>
      <c r="BA53" s="18" t="str">
        <f>IF(OR(NOT(EXACT(UPPER(AW53),"TBM")),AX53=""),IF(AND(AX53&lt;&gt;"",AY53="",AZ53&lt;&gt;""),"",IF(AND(AX53="",AY53&lt;&gt;"",AZ53&lt;&gt;""),ROUND(ROUND(AZ53,3)-ROUND(AY53,3),3)*1000,IF(AND(AX53&lt;&gt;"",AY53&lt;&gt;"",AZ53&lt;&gt;""),ROUND(ROUND(AZ52,3)-ROUND(AY53,3),3)*1000,""))),"")</f>
        <v/>
      </c>
      <c r="BB53" s="44" t="str">
        <f>IF(AND(NOT(ISNA(VLOOKUP(AW53,A6:E105,5,FALSE))),AX53="",AY53&lt;&gt;""),ROUND((VLOOKUP(AW53,A6:E105,5,FALSE)-BA53)/1000,3),IF(AND(NOT(ISNA(VLOOKUP(AW53,G6:K105,5,FALSE))),AX53="",AY53&lt;&gt;""),ROUND((VLOOKUP(AW53,G6:K105,5,FALSE)-BA53)/1000,3),IF(AND(NOT(ISNA(VLOOKUP(AW53,M6:Q105,5,FALSE))),AX53="",AY53&lt;&gt;""),ROUND((VLOOKUP(AW53,M6:Q105,5,FALSE)-BA53)/1000,3),IF(AND(NOT(ISNA(VLOOKUP(AW53,S6:W105,5,FALSE))),AX53="",AY53&lt;&gt;""),ROUND((VLOOKUP(AW53,S6:W105,5,FALSE)-BA53)/1000,3),IF(AND(NOT(ISNA(VLOOKUP(AW53,Y6:AC105,5,FALSE))),AX53="",AY53&lt;&gt;""),ROUND((VLOOKUP(AW53,Y6:AC105,5,FALSE)-BA53)/1000,3),IF(AND(NOT(ISNA(VLOOKUP(AW53,AE6:AI105,5,FALSE))),AX53="",AY53&lt;&gt;""),ROUND((VLOOKUP(AW53,AE6:AI105,5,FALSE)-BA53)/1000,3),IF(AND(NOT(ISNA(VLOOKUP(AW53,AK6:AO105,5,FALSE))),AX53="",AY53&lt;&gt;""),ROUND((VLOOKUP(AW53,AK6:AO105,5,FALSE)-BA53)/1000,3),IF(AND(NOT(ISNA(VLOOKUP(AW53,AQ6:AU105,5,FALSE))),AX53="",AY53&lt;&gt;""),ROUND((VLOOKUP(AW53,AQ6:AU105,5,FALSE)-BA53)/1000,3),IF(AND(NOT(ISNA(VLOOKUP(AW53,AW6:BA52,5,FALSE))),AX53="",AY53&lt;&gt;""),ROUND((VLOOKUP(AW53,AW6:BA52,5,FALSE)-BA53)/1000,3),"")))))))))</f>
        <v/>
      </c>
      <c r="BC53" s="19">
        <f>IF(BC52="","",BC52+1)</f>
        <v>947</v>
      </c>
      <c r="BD53" s="43"/>
      <c r="BE53" s="43"/>
      <c r="BF53" s="15" t="str">
        <f>IF(AND(BD53&lt;&gt;"",BE53&lt;&gt;""),ROUND(BD53,3)+ROUND(BF52,3)-ROUND(BE53,3),IF(AND(EXACT(UPPER(BC53),"TBM"),BD53&lt;&gt;""),ROUND(BD53,3),IF(BD53="",BF52,IF(ISNA(VLOOKUP(BC53,A6:E105,5,FALSE)),IF(ISNA(VLOOKUP(BC53,G6:K105,5,FALSE)),IF(ISNA(VLOOKUP(BC53,M6:Q105,5,FALSE)),IF(ISNA(VLOOKUP(BC53,S6:W105,5,FALSE)),IF(ISNA(VLOOKUP(BC53,Y6:AC105,5,FALSE)),IF(ISNA(VLOOKUP(BC53,AE6:AI105,5,FALSE)),IF(ISNA(VLOOKUP(BC53,AK6:AO105,5,FALSE)),IF(ISNA(VLOOKUP(BC53,AQ6:AU105,5,FALSE)),IF(ISNA(VLOOKUP(BC53,AW6:BA105,5,FALSE)),IF(ISNA(VLOOKUP(BC53,BC6:BG52,5,FALSE)),"",ROUND(VLOOKUP(BC53,BC6:BG52,5,FALSE),0)/1000+ROUND(BD53,3)),ROUND(VLOOKUP(BC53,AW6:BA105,5,FALSE),0)/1000+ROUND(BD53,3)),ROUND(VLOOKUP(BC53,AQ6:AU105,5,FALSE),0)/1000+ROUND(BD53,3)),ROUND(VLOOKUP(BC53,AK6:AO105,5,FALSE),0)/1000+ROUND(BD53,3)),ROUND(VLOOKUP(BC53,AE6:AI105,5,FALSE),0)/1000+ROUND(BD53,3)),ROUND(VLOOKUP(BC53,Y6:AC105,5,FALSE),0)/1000+ROUND(BD53,3)),ROUND(VLOOKUP(BC53,S6:W105,5,FALSE),0)/1000+ROUND(BD53,3)),ROUND(VLOOKUP(BC53,M6:Q105,5,FALSE),0)/1000+ROUND(BD53,3)),ROUND(VLOOKUP(BC53,G6:K105,5,FALSE),0)/1000+ROUND(BD53,3)),ROUND(VLOOKUP(BC53,A6:E105,5,FALSE),0)/1000+ROUND(BD53,3)))))</f>
        <v/>
      </c>
      <c r="BG53" s="18" t="str">
        <f>IF(OR(NOT(EXACT(UPPER(BC53),"TBM")),BD53=""),IF(AND(BD53&lt;&gt;"",BE53="",BF53&lt;&gt;""),"",IF(AND(BD53="",BE53&lt;&gt;"",BF53&lt;&gt;""),ROUND(ROUND(BF53,3)-ROUND(BE53,3),3)*1000,IF(AND(BD53&lt;&gt;"",BE53&lt;&gt;"",BF53&lt;&gt;""),ROUND(ROUND(BF52,3)-ROUND(BE53,3),3)*1000,""))),"")</f>
        <v/>
      </c>
      <c r="BH53" s="44" t="str">
        <f>IF(AND(NOT(ISNA(VLOOKUP(BC53,A6:E105,5,FALSE))),BD53="",BE53&lt;&gt;""),ROUND((VLOOKUP(BC53,A6:E105,5,FALSE)-BG53)/1000,3),IF(AND(NOT(ISNA(VLOOKUP(BC53,G6:K105,5,FALSE))),BD53="",BE53&lt;&gt;""),ROUND((VLOOKUP(BC53,G6:K105,5,FALSE)-BG53)/1000,3),IF(AND(NOT(ISNA(VLOOKUP(BC53,M6:Q105,5,FALSE))),BD53="",BE53&lt;&gt;""),ROUND((VLOOKUP(BC53,M6:Q105,5,FALSE)-BG53)/1000,3),IF(AND(NOT(ISNA(VLOOKUP(BC53,S6:W105,5,FALSE))),BD53="",BE53&lt;&gt;""),ROUND((VLOOKUP(BC53,S6:W105,5,FALSE)-BG53)/1000,3),IF(AND(NOT(ISNA(VLOOKUP(BC53,Y6:AC105,5,FALSE))),BD53="",BE53&lt;&gt;""),ROUND((VLOOKUP(BC53,Y6:AC105,5,FALSE)-BG53)/1000,3),IF(AND(NOT(ISNA(VLOOKUP(BC53,AE6:AI105,5,FALSE))),BD53="",BE53&lt;&gt;""),ROUND((VLOOKUP(BC53,AE6:AI105,5,FALSE)-BG53)/1000,3),IF(AND(NOT(ISNA(VLOOKUP(BC53,AK6:AO105,5,FALSE))),BD53="",BE53&lt;&gt;""),ROUND((VLOOKUP(BC53,AK6:AO105,5,FALSE)-BG53)/1000,3),IF(AND(NOT(ISNA(VLOOKUP(BC53,AQ6:AU105,5,FALSE))),BD53="",BE53&lt;&gt;""),ROUND((VLOOKUP(BC53,AQ6:AU105,5,FALSE)-BG53)/1000,3),IF(AND(NOT(ISNA(VLOOKUP(BC53,AW6:BA105,5,FALSE))),BD53="",BE53&lt;&gt;""),ROUND((VLOOKUP(BC53,AW6:BA105,5,FALSE)-BG53)/1000,3),IF(AND(NOT(ISNA(VLOOKUP(BC53,BC6:BG52,5,FALSE))),BD53="",BE53&lt;&gt;""),ROUND((VLOOKUP(BC53,BC6:BG52,5,FALSE)-BG53)/1000,3),""))))))))))</f>
        <v/>
      </c>
    </row>
    <row r="54" spans="1:60" x14ac:dyDescent="0.25">
      <c r="A54" s="19">
        <f t="shared" si="3"/>
        <v>48</v>
      </c>
      <c r="B54" s="39"/>
      <c r="C54" s="39"/>
      <c r="D54" s="15" t="str">
        <f>IF(AND(B54&lt;&gt;"",C54&lt;&gt;""),ROUND(B54,3)+ROUND(D53,3)-ROUND(C54,3),IF(AND(EXACT(UPPER(A54),"TBM"),B54&lt;&gt;""),ROUND(B54,3),IF(B54="",D53,IF(ISNA(VLOOKUP(A54,A6:E53,5,FALSE)),"",ROUND(VLOOKUP(A54,A6:E53,5,FALSE),0)/1000+ROUND(B54,3)))))</f>
        <v/>
      </c>
      <c r="E54" s="21" t="str">
        <f t="shared" si="4"/>
        <v/>
      </c>
      <c r="F54" s="45" t="str">
        <f>IF(AND(NOT(ISNA(VLOOKUP(A54,A6:E53,5,FALSE))),B54="",C54&lt;&gt;""),ROUND((VLOOKUP(A54,A6:E53,5,FALSE)-E54)/1000,3),"")</f>
        <v/>
      </c>
      <c r="G54" s="19">
        <f t="shared" si="1"/>
        <v>148</v>
      </c>
      <c r="H54" s="39"/>
      <c r="I54" s="39"/>
      <c r="J54" s="15" t="str">
        <f>IF(AND(H54&lt;&gt;"",I54&lt;&gt;""),ROUND(H54,3)+ROUND(J53,3)-ROUND(I54,3),IF(AND(EXACT(UPPER(G54),"TBM"),H54&lt;&gt;""),ROUND(H54,3),IF(H54="",J53,IF(ISNA(VLOOKUP(G54,A6:E105,5,FALSE)),IF(ISNA(VLOOKUP(G54,G6:K53,5,FALSE)),"",ROUND(VLOOKUP(G54,G6:K53,5,FALSE),0)/1000+ROUND(H54,3)),ROUND(VLOOKUP(G54,A6:E105,5,FALSE),0)/1000+ROUND(H54,3)))))</f>
        <v/>
      </c>
      <c r="K54" s="18" t="str">
        <f t="shared" si="5"/>
        <v/>
      </c>
      <c r="L54" s="45" t="str">
        <f>IF(AND(NOT(ISNA(VLOOKUP(G54,A6:E105,5,FALSE))),H54="",I54&lt;&gt;""),ROUND((VLOOKUP(G54,A6:E105,5,FALSE)-K54)/1000,3),IF(AND(NOT(ISNA(VLOOKUP(G54,G6:K53,5,FALSE))),H54="",I54&lt;&gt;""),ROUND((VLOOKUP(G54,G6:K53,5,FALSE)-K54)/1000,3),""))</f>
        <v/>
      </c>
      <c r="M54" s="19">
        <f>IF(M53="","",M53+1)</f>
        <v>248</v>
      </c>
      <c r="N54" s="39"/>
      <c r="O54" s="39"/>
      <c r="P54" s="15" t="str">
        <f>IF(AND(N54&lt;&gt;"",O54&lt;&gt;""),ROUND(N54,3)+ROUND(P53,3)-ROUND(O54,3),IF(AND(EXACT(UPPER(M54),"TBM"),N54&lt;&gt;""),ROUND(N54,3),IF(N54="",P53,IF(ISNA(VLOOKUP(M54,A6:E105,5,FALSE)),IF(ISNA(VLOOKUP(M54,G6:K105,5,FALSE)),IF(ISNA(VLOOKUP(M54,M6:Q53,5,FALSE)),"",ROUND(VLOOKUP(M54,M6:Q53,5,FALSE),0)/1000+ROUND(N54,3)),ROUND(VLOOKUP(M54,G6:K105,5,FALSE),0)/1000+ROUND(N54,3)),ROUND(VLOOKUP(M54,A6:E105,5,FALSE),0)/1000+ROUND(N54,3)))))</f>
        <v/>
      </c>
      <c r="Q54" s="18" t="str">
        <f>IF(OR(NOT(EXACT(UPPER(M54),"TBM")),N54=""),IF(AND(N54&lt;&gt;"",O54="",P54&lt;&gt;""),"",IF(AND(N54="",O54&lt;&gt;"",P54&lt;&gt;""),ROUND(ROUND(P54,3)-ROUND(O54,3),3)*1000,IF(AND(N54&lt;&gt;"",O54&lt;&gt;"",P54&lt;&gt;""),ROUND(ROUND(P53,3)-ROUND(O54,3),3)*1000,""))),"")</f>
        <v/>
      </c>
      <c r="R54" s="45" t="str">
        <f>IF(AND(NOT(ISNA(VLOOKUP(M54,A6:E105,5,FALSE))),N54="",O54&lt;&gt;""),ROUND((VLOOKUP(M54,A6:E105,5,FALSE)-Q54)/1000,3),IF(AND(NOT(ISNA(VLOOKUP(M54,G6:K105,5,FALSE))),N54="",O54&lt;&gt;""),ROUND((VLOOKUP(M54,G6:K105,5,FALSE)-Q54)/1000,3),IF(AND(NOT(ISNA(VLOOKUP(M54,M6:Q53,5,FALSE))),N54="",O54&lt;&gt;""),ROUND((VLOOKUP(M54,M6:Q53,5,FALSE)-Q54)/1000,3),"")))</f>
        <v/>
      </c>
      <c r="S54" s="19">
        <f>IF(S53="","",S53+1)</f>
        <v>348</v>
      </c>
      <c r="T54" s="39"/>
      <c r="U54" s="39"/>
      <c r="V54" s="15" t="str">
        <f>IF(AND(T54&lt;&gt;"",U54&lt;&gt;""),ROUND(T54,3)+ROUND(V53,3)-ROUND(U54,3),IF(AND(EXACT(UPPER(S54),"TBM"),T54&lt;&gt;""),ROUND(T54,3),IF(T54="",V53,IF(ISNA(VLOOKUP(S54,A6:E105,5,FALSE)),IF(ISNA(VLOOKUP(S54,G6:K105,5,FALSE)),IF(ISNA(VLOOKUP(S54,M6:Q105,5,FALSE)),IF(ISNA(VLOOKUP(S54,S6:W53,5,FALSE)),"",ROUND(VLOOKUP(S54,S6:W53,5,FALSE),0)/1000+ROUND(T54,3)),ROUND(VLOOKUP(S54,M6:Q105,5,FALSE),0)/1000+ROUND(T54,3)),ROUND(VLOOKUP(S54,G6:K105,5,FALSE),0)/1000+ROUND(T54,3)),ROUND(VLOOKUP(S54,A6:E105,5,FALSE),0)/1000+ROUND(T54,3)))))</f>
        <v/>
      </c>
      <c r="W54" s="18" t="str">
        <f>IF(OR(NOT(EXACT(UPPER(S54),"TBM")),T54=""),IF(AND(T54&lt;&gt;"",U54="",V54&lt;&gt;""),"",IF(AND(T54="",U54&lt;&gt;"",V54&lt;&gt;""),ROUND(ROUND(V54,3)-ROUND(U54,3),3)*1000,IF(AND(T54&lt;&gt;"",U54&lt;&gt;"",V54&lt;&gt;""),ROUND(ROUND(V53,3)-ROUND(U54,3),3)*1000,""))),"")</f>
        <v/>
      </c>
      <c r="X54" s="45" t="str">
        <f>IF(AND(NOT(ISNA(VLOOKUP(S54,A6:E105,5,FALSE))),T54="",U54&lt;&gt;""),ROUND((VLOOKUP(S54,A6:E105,5,FALSE)-W54)/1000,3),IF(AND(NOT(ISNA(VLOOKUP(S54,G6:K105,5,FALSE))),T54="",U54&lt;&gt;""),ROUND((VLOOKUP(S54,G6:K105,5,FALSE)-W54)/1000,3),IF(AND(NOT(ISNA(VLOOKUP(S54,M6:Q105,5,FALSE))),T54="",U54&lt;&gt;""),ROUND((VLOOKUP(S54,M6:Q105,5,FALSE)-W54)/1000,3),IF(AND(NOT(ISNA(VLOOKUP(S54,S6:W53,5,FALSE))),T54="",U54&lt;&gt;""),ROUND((VLOOKUP(S54,S6:W53,5,FALSE)-W54)/1000,3),""))))</f>
        <v/>
      </c>
      <c r="Y54" s="19">
        <f>IF(Y53="","",Y53+1)</f>
        <v>448</v>
      </c>
      <c r="Z54" s="39"/>
      <c r="AA54" s="39"/>
      <c r="AB54" s="15" t="str">
        <f>IF(AND(Z54&lt;&gt;"",AA54&lt;&gt;""),ROUND(Z54,3)+ROUND(AB53,3)-ROUND(AA54,3),IF(AND(EXACT(UPPER(Y54),"TBM"),Z54&lt;&gt;""),ROUND(Z54,3),IF(Z54="",AB53,IF(ISNA(VLOOKUP(Y54,A6:E105,5,FALSE)),IF(ISNA(VLOOKUP(Y54,G6:K105,5,FALSE)),IF(ISNA(VLOOKUP(Y54,M6:Q105,5,FALSE)),IF(ISNA(VLOOKUP(Y54,S6:W105,5,FALSE)),IF(ISNA(VLOOKUP(Y54,Y6:AC53,5,FALSE)),"",ROUND(VLOOKUP(Y54,Y6:AC53,5,FALSE),0)/1000+ROUND(Z54,3)),ROUND(VLOOKUP(Y54,S6:W105,5,FALSE),0)/1000+ROUND(Z54,3)),ROUND(VLOOKUP(Y54,M6:Q105,5,FALSE),0)/1000+ROUND(Z54,3)),ROUND(VLOOKUP(Y54,G6:K105,5,FALSE),0)/1000+ROUND(Z54,3)),ROUND(VLOOKUP(Y54,A6:E105,5,FALSE),0)/1000+ROUND(Z54,3)))))</f>
        <v/>
      </c>
      <c r="AC54" s="18" t="str">
        <f>IF(OR(NOT(EXACT(UPPER(Y54),"TBM")),Z54=""),IF(AND(Z54&lt;&gt;"",AA54="",AB54&lt;&gt;""),"",IF(AND(Z54="",AA54&lt;&gt;"",AB54&lt;&gt;""),ROUND(ROUND(AB54,3)-ROUND(AA54,3),3)*1000,IF(AND(Z54&lt;&gt;"",AA54&lt;&gt;"",AB54&lt;&gt;""),ROUND(ROUND(AB53,3)-ROUND(AA54,3),3)*1000,""))),"")</f>
        <v/>
      </c>
      <c r="AD54" s="45" t="str">
        <f>IF(AND(NOT(ISNA(VLOOKUP(Y54,A6:E105,5,FALSE))),Z54="",AA54&lt;&gt;""),ROUND((VLOOKUP(Y54,A6:E105,5,FALSE)-AC54)/1000,3),IF(AND(NOT(ISNA(VLOOKUP(Y54,G6:K105,5,FALSE))),Z54="",AA54&lt;&gt;""),ROUND((VLOOKUP(Y54,G6:K105,5,FALSE)-AC54)/1000,3),IF(AND(NOT(ISNA(VLOOKUP(Y54,M6:Q105,5,FALSE))),Z54="",AA54&lt;&gt;""),ROUND((VLOOKUP(Y54,M6:Q105,5,FALSE)-AC54)/1000,3),IF(AND(NOT(ISNA(VLOOKUP(Y54,S6:W105,5,FALSE))),Z54="",AA54&lt;&gt;""),ROUND((VLOOKUP(Y54,S6:W105,5,FALSE)-AC54)/1000,3),IF(AND(NOT(ISNA(VLOOKUP(Y54,Y6:AC53,5,FALSE))),Z54="",AA54&lt;&gt;""),ROUND((VLOOKUP(Y54,Y6:AC53,5,FALSE)-AC54)/1000,3),"")))))</f>
        <v/>
      </c>
      <c r="AE54" s="19">
        <f>IF(AE53="","",AE53+1)</f>
        <v>548</v>
      </c>
      <c r="AF54" s="39"/>
      <c r="AG54" s="39"/>
      <c r="AH54" s="15" t="str">
        <f>IF(AND(AF54&lt;&gt;"",AG54&lt;&gt;""),ROUND(AF54,3)+ROUND(AH53,3)-ROUND(AG54,3),IF(AND(EXACT(UPPER(AE54),"TBM"),AF54&lt;&gt;""),ROUND(AF54,3),IF(AF54="",AH53,IF(ISNA(VLOOKUP(AE54,A6:E105,5,FALSE)),IF(ISNA(VLOOKUP(AE54,G6:K105,5,FALSE)),IF(ISNA(VLOOKUP(AE54,M6:Q105,5,FALSE)),IF(ISNA(VLOOKUP(AE54,S6:W105,5,FALSE)),IF(ISNA(VLOOKUP(AE54,Y6:AC105,5,FALSE)),IF(ISNA(VLOOKUP(AE54,AE6:AI53,5,FALSE)),"",ROUND(VLOOKUP(AE54,AE6:AI53,5,FALSE),0)/1000+ROUND(AF54,3)),ROUND(VLOOKUP(AE54,Y6:AC105,5,FALSE),0)/1000+ROUND(AF54,3)),ROUND(VLOOKUP(AE54,S6:W105,5,FALSE),0)/1000+ROUND(AF54,3)),ROUND(VLOOKUP(AE54,M6:Q105,5,FALSE),0)/1000+ROUND(AF54,3)),ROUND(VLOOKUP(AE54,G6:K105,5,FALSE),0)/1000+ROUND(AF54,3)),ROUND(VLOOKUP(AE54,A6:E105,5,FALSE),0)/1000+ROUND(AF54,3)))))</f>
        <v/>
      </c>
      <c r="AI54" s="18" t="str">
        <f>IF(OR(NOT(EXACT(UPPER(AE54),"TBM")),AF54=""),IF(AND(AF54&lt;&gt;"",AG54="",AH54&lt;&gt;""),"",IF(AND(AF54="",AG54&lt;&gt;"",AH54&lt;&gt;""),ROUND(ROUND(AH54,3)-ROUND(AG54,3),3)*1000,IF(AND(AF54&lt;&gt;"",AG54&lt;&gt;"",AH54&lt;&gt;""),ROUND(ROUND(AH53,3)-ROUND(AG54,3),3)*1000,""))),"")</f>
        <v/>
      </c>
      <c r="AJ54" s="45" t="str">
        <f>IF(AND(NOT(ISNA(VLOOKUP(AE54,A6:E105,5,FALSE))),AF54="",AG54&lt;&gt;""),ROUND((VLOOKUP(AE54,A6:E105,5,FALSE)-AI54)/1000,3),IF(AND(NOT(ISNA(VLOOKUP(AE54,G6:K105,5,FALSE))),AF54="",AG54&lt;&gt;""),ROUND((VLOOKUP(AE54,G6:K105,5,FALSE)-AI54)/1000,3),IF(AND(NOT(ISNA(VLOOKUP(AE54,M6:Q105,5,FALSE))),AF54="",AG54&lt;&gt;""),ROUND((VLOOKUP(AE54,M6:Q105,5,FALSE)-AI54)/1000,3),IF(AND(NOT(ISNA(VLOOKUP(AE54,S6:W105,5,FALSE))),AF54="",AG54&lt;&gt;""),ROUND((VLOOKUP(AE54,S6:W105,5,FALSE)-AI54)/1000,3),IF(AND(NOT(ISNA(VLOOKUP(AE54,Y6:AC105,5,FALSE))),AF54="",AG54&lt;&gt;""),ROUND((VLOOKUP(AE54,Y6:AC105,5,FALSE)-AI54)/1000,3),IF(AND(NOT(ISNA(VLOOKUP(AE54,AE6:AI53,5,FALSE))),AF54="",AG54&lt;&gt;""),ROUND((VLOOKUP(AE54,AE6:AI53,5,FALSE)-AI54)/1000,3),""))))))</f>
        <v/>
      </c>
      <c r="AK54" s="19">
        <f>IF(AK53="","",AK53+1)</f>
        <v>648</v>
      </c>
      <c r="AL54" s="39"/>
      <c r="AM54" s="39"/>
      <c r="AN54" s="15" t="str">
        <f>IF(AND(AL54&lt;&gt;"",AM54&lt;&gt;""),ROUND(AL54,3)+ROUND(AN53,3)-ROUND(AM54,3),IF(AND(EXACT(UPPER(AK54),"TBM"),AL54&lt;&gt;""),ROUND(AL54,3),IF(AL54="",AN53,IF(ISNA(VLOOKUP(AK54,A6:E105,5,FALSE)),IF(ISNA(VLOOKUP(AK54,G6:K105,5,FALSE)),IF(ISNA(VLOOKUP(AK54,M6:Q105,5,FALSE)),IF(ISNA(VLOOKUP(AK54,S6:W105,5,FALSE)),IF(ISNA(VLOOKUP(AK54,Y6:AC105,5,FALSE)),IF(ISNA(VLOOKUP(AK54,AE6:AI105,5,FALSE)),IF(ISNA(VLOOKUP(AK54,AK6:AO53,5,FALSE)),"",ROUND(VLOOKUP(AK54,AK6:AO53,5,FALSE),0)/1000+ROUND(AL54,3)),ROUND(VLOOKUP(AK54,AE6:AI105,5,FALSE),0)/1000+ROUND(AL54,3)),ROUND(VLOOKUP(AK54,Y6:AC105,5,FALSE),0)/1000+ROUND(AL54,3)),ROUND(VLOOKUP(AK54,S6:W105,5,FALSE),0)/1000+ROUND(AL54,3)),ROUND(VLOOKUP(AK54,M6:Q105,5,FALSE),0)/1000+ROUND(AL54,3)),ROUND(VLOOKUP(AK54,G6:K105,5,FALSE),0)/1000+ROUND(AL54,3)),ROUND(VLOOKUP(AK54,A6:E105,5,FALSE),0)/1000+ROUND(AL54,3)))))</f>
        <v/>
      </c>
      <c r="AO54" s="18" t="str">
        <f>IF(OR(NOT(EXACT(UPPER(AK54),"TBM")),AL54=""),IF(AND(AL54&lt;&gt;"",AM54="",AN54&lt;&gt;""),"",IF(AND(AL54="",AM54&lt;&gt;"",AN54&lt;&gt;""),ROUND(ROUND(AN54,3)-ROUND(AM54,3),3)*1000,IF(AND(AL54&lt;&gt;"",AM54&lt;&gt;"",AN54&lt;&gt;""),ROUND(ROUND(AN53,3)-ROUND(AM54,3),3)*1000,""))),"")</f>
        <v/>
      </c>
      <c r="AP54" s="45" t="str">
        <f>IF(AND(NOT(ISNA(VLOOKUP(AK54,A6:E105,5,FALSE))),AL54="",AM54&lt;&gt;""),ROUND((VLOOKUP(AK54,A6:E105,5,FALSE)-AO54)/1000,3),IF(AND(NOT(ISNA(VLOOKUP(AK54,G6:K105,5,FALSE))),AL54="",AM54&lt;&gt;""),ROUND((VLOOKUP(AK54,G6:K105,5,FALSE)-AO54)/1000,3),IF(AND(NOT(ISNA(VLOOKUP(AK54,M6:Q105,5,FALSE))),AL54="",AM54&lt;&gt;""),ROUND((VLOOKUP(AK54,M6:Q105,5,FALSE)-AO54)/1000,3),IF(AND(NOT(ISNA(VLOOKUP(AK54,S6:W105,5,FALSE))),AL54="",AM54&lt;&gt;""),ROUND((VLOOKUP(AK54,S6:W105,5,FALSE)-AO54)/1000,3),IF(AND(NOT(ISNA(VLOOKUP(AK54,Y6:AC105,5,FALSE))),AL54="",AM54&lt;&gt;""),ROUND((VLOOKUP(AK54,Y6:AC105,5,FALSE)-AO54)/1000,3),IF(AND(NOT(ISNA(VLOOKUP(AK54,AE6:AI105,5,FALSE))),AL54="",AM54&lt;&gt;""),ROUND((VLOOKUP(AK54,AE6:AI105,5,FALSE)-AO54)/1000,3),IF(AND(NOT(ISNA(VLOOKUP(AK54,AK6:AO53,5,FALSE))),AL54="",AM54&lt;&gt;""),ROUND((VLOOKUP(AK54,AK6:AO53,5,FALSE)-AO54)/1000,3),"")))))))</f>
        <v/>
      </c>
      <c r="AQ54" s="19">
        <f>IF(AQ53="","",AQ53+1)</f>
        <v>748</v>
      </c>
      <c r="AR54" s="39"/>
      <c r="AS54" s="39"/>
      <c r="AT54" s="15" t="str">
        <f>IF(AND(AR54&lt;&gt;"",AS54&lt;&gt;""),ROUND(AR54,3)+ROUND(AT53,3)-ROUND(AS54,3),IF(AND(EXACT(UPPER(AQ54),"TBM"),AR54&lt;&gt;""),ROUND(AR54,3),IF(AR54="",AT53,IF(ISNA(VLOOKUP(AQ54,A6:E105,5,FALSE)),IF(ISNA(VLOOKUP(AQ54,G6:K105,5,FALSE)),IF(ISNA(VLOOKUP(AQ54,M6:Q105,5,FALSE)),IF(ISNA(VLOOKUP(AQ54,S6:W105,5,FALSE)),IF(ISNA(VLOOKUP(AQ54,Y6:AC105,5,FALSE)),IF(ISNA(VLOOKUP(AQ54,AE6:AI105,5,FALSE)),IF(ISNA(VLOOKUP(AQ54,AK6:AO105,5,FALSE)),IF(ISNA(VLOOKUP(AQ54,AQ6:AU53,5,FALSE)),"",ROUND(VLOOKUP(AQ54,AQ6:AU53,5,FALSE),0)/1000+ROUND(AR54,3)),ROUND(VLOOKUP(AQ54,AK6:AO105,5,FALSE),0)/1000+ROUND(AR54,3)),ROUND(VLOOKUP(AQ54,AE6:AI105,5,FALSE),0)/1000+ROUND(AR54,3)),ROUND(VLOOKUP(AQ54,Y6:AC105,5,FALSE),0)/1000+ROUND(AR54,3)),ROUND(VLOOKUP(AQ54,S6:W105,5,FALSE),0)/1000+ROUND(AR54,3)),ROUND(VLOOKUP(AQ54,M6:Q105,5,FALSE),0)/1000+ROUND(AR54,3)),ROUND(VLOOKUP(AQ54,G6:K105,5,FALSE),0)/1000+ROUND(AR54,3)),ROUND(VLOOKUP(AQ54,A6:E105,5,FALSE),0)/1000+ROUND(AR54,3)))))</f>
        <v/>
      </c>
      <c r="AU54" s="18" t="str">
        <f>IF(OR(NOT(EXACT(UPPER(AQ54),"TBM")),AR54=""),IF(AND(AR54&lt;&gt;"",AS54="",AT54&lt;&gt;""),"",IF(AND(AR54="",AS54&lt;&gt;"",AT54&lt;&gt;""),ROUND(ROUND(AT54,3)-ROUND(AS54,3),3)*1000,IF(AND(AR54&lt;&gt;"",AS54&lt;&gt;"",AT54&lt;&gt;""),ROUND(ROUND(AT53,3)-ROUND(AS54,3),3)*1000,""))),"")</f>
        <v/>
      </c>
      <c r="AV54" s="45" t="str">
        <f>IF(AND(NOT(ISNA(VLOOKUP(AQ54,A6:E105,5,FALSE))),AR54="",AS54&lt;&gt;""),ROUND((VLOOKUP(AQ54,A6:E105,5,FALSE)-AU54)/1000,3),IF(AND(NOT(ISNA(VLOOKUP(AQ54,G6:K105,5,FALSE))),AR54="",AS54&lt;&gt;""),ROUND((VLOOKUP(AQ54,G6:K105,5,FALSE)-AU54)/1000,3),IF(AND(NOT(ISNA(VLOOKUP(AQ54,M6:Q105,5,FALSE))),AR54="",AS54&lt;&gt;""),ROUND((VLOOKUP(AQ54,M6:Q105,5,FALSE)-AU54)/1000,3),IF(AND(NOT(ISNA(VLOOKUP(AQ54,S6:W105,5,FALSE))),AR54="",AS54&lt;&gt;""),ROUND((VLOOKUP(AQ54,S6:W105,5,FALSE)-AU54)/1000,3),IF(AND(NOT(ISNA(VLOOKUP(AQ54,Y6:AC105,5,FALSE))),AR54="",AS54&lt;&gt;""),ROUND((VLOOKUP(AQ54,Y6:AC105,5,FALSE)-AU54)/1000,3),IF(AND(NOT(ISNA(VLOOKUP(AQ54,AE6:AI105,5,FALSE))),AR54="",AS54&lt;&gt;""),ROUND((VLOOKUP(AQ54,AE6:AI105,5,FALSE)-AU54)/1000,3),IF(AND(NOT(ISNA(VLOOKUP(AQ54,AK6:AO105,5,FALSE))),AR54="",AS54&lt;&gt;""),ROUND((VLOOKUP(AQ54,AK6:AO105,5,FALSE)-AU54)/1000,3),IF(AND(NOT(ISNA(VLOOKUP(AQ54,AQ6:AU53,5,FALSE))),AR54="",AS54&lt;&gt;""),ROUND((VLOOKUP(AQ54,AQ6:AU53,5,FALSE)-AU54)/1000,3),""))))))))</f>
        <v/>
      </c>
      <c r="AW54" s="19">
        <f>IF(AW53="","",AW53+1)</f>
        <v>848</v>
      </c>
      <c r="AX54" s="39"/>
      <c r="AY54" s="39"/>
      <c r="AZ54" s="15" t="str">
        <f>IF(AND(AX54&lt;&gt;"",AY54&lt;&gt;""),ROUND(AX54,3)+ROUND(AZ53,3)-ROUND(AY54,3),IF(AND(EXACT(UPPER(AW54),"TBM"),AX54&lt;&gt;""),ROUND(AX54,3),IF(AX54="",AZ53,IF(ISNA(VLOOKUP(AW54,A6:E105,5,FALSE)),IF(ISNA(VLOOKUP(AW54,G6:K105,5,FALSE)),IF(ISNA(VLOOKUP(AW54,M6:Q105,5,FALSE)),IF(ISNA(VLOOKUP(AW54,S6:W105,5,FALSE)),IF(ISNA(VLOOKUP(AW54,Y6:AC105,5,FALSE)),IF(ISNA(VLOOKUP(AW54,AE6:AI105,5,FALSE)),IF(ISNA(VLOOKUP(AW54,AK6:AO105,5,FALSE)),IF(ISNA(VLOOKUP(AW54,AQ6:AU105,5,FALSE)),IF(ISNA(VLOOKUP(AW54,AW6:BA53,5,FALSE)),"",ROUND(VLOOKUP(AW54,AW6:BA53,5,FALSE),0)/1000+ROUND(AX54,3)),ROUND(VLOOKUP(AW54,AQ6:AU105,5,FALSE),0)/1000+ROUND(AX54,3)),ROUND(VLOOKUP(AW54,AK6:AO105,5,FALSE),0)/1000+ROUND(AX54,3)),ROUND(VLOOKUP(AW54,AE6:AI105,5,FALSE),0)/1000+ROUND(AX54,3)),ROUND(VLOOKUP(AW54,Y6:AC105,5,FALSE),0)/1000+ROUND(AX54,3)),ROUND(VLOOKUP(AW54,S6:W105,5,FALSE),0)/1000+ROUND(AX54,3)),ROUND(VLOOKUP(AW54,M6:Q105,5,FALSE),0)/1000+ROUND(AX54,3)),ROUND(VLOOKUP(AW54,G6:K105,5,FALSE),0)/1000+ROUND(AX54,3)),ROUND(VLOOKUP(AW54,A6:E105,5,FALSE),0)/1000+ROUND(AX54,3)))))</f>
        <v/>
      </c>
      <c r="BA54" s="18" t="str">
        <f>IF(OR(NOT(EXACT(UPPER(AW54),"TBM")),AX54=""),IF(AND(AX54&lt;&gt;"",AY54="",AZ54&lt;&gt;""),"",IF(AND(AX54="",AY54&lt;&gt;"",AZ54&lt;&gt;""),ROUND(ROUND(AZ54,3)-ROUND(AY54,3),3)*1000,IF(AND(AX54&lt;&gt;"",AY54&lt;&gt;"",AZ54&lt;&gt;""),ROUND(ROUND(AZ53,3)-ROUND(AY54,3),3)*1000,""))),"")</f>
        <v/>
      </c>
      <c r="BB54" s="45" t="str">
        <f>IF(AND(NOT(ISNA(VLOOKUP(AW54,A6:E105,5,FALSE))),AX54="",AY54&lt;&gt;""),ROUND((VLOOKUP(AW54,A6:E105,5,FALSE)-BA54)/1000,3),IF(AND(NOT(ISNA(VLOOKUP(AW54,G6:K105,5,FALSE))),AX54="",AY54&lt;&gt;""),ROUND((VLOOKUP(AW54,G6:K105,5,FALSE)-BA54)/1000,3),IF(AND(NOT(ISNA(VLOOKUP(AW54,M6:Q105,5,FALSE))),AX54="",AY54&lt;&gt;""),ROUND((VLOOKUP(AW54,M6:Q105,5,FALSE)-BA54)/1000,3),IF(AND(NOT(ISNA(VLOOKUP(AW54,S6:W105,5,FALSE))),AX54="",AY54&lt;&gt;""),ROUND((VLOOKUP(AW54,S6:W105,5,FALSE)-BA54)/1000,3),IF(AND(NOT(ISNA(VLOOKUP(AW54,Y6:AC105,5,FALSE))),AX54="",AY54&lt;&gt;""),ROUND((VLOOKUP(AW54,Y6:AC105,5,FALSE)-BA54)/1000,3),IF(AND(NOT(ISNA(VLOOKUP(AW54,AE6:AI105,5,FALSE))),AX54="",AY54&lt;&gt;""),ROUND((VLOOKUP(AW54,AE6:AI105,5,FALSE)-BA54)/1000,3),IF(AND(NOT(ISNA(VLOOKUP(AW54,AK6:AO105,5,FALSE))),AX54="",AY54&lt;&gt;""),ROUND((VLOOKUP(AW54,AK6:AO105,5,FALSE)-BA54)/1000,3),IF(AND(NOT(ISNA(VLOOKUP(AW54,AQ6:AU105,5,FALSE))),AX54="",AY54&lt;&gt;""),ROUND((VLOOKUP(AW54,AQ6:AU105,5,FALSE)-BA54)/1000,3),IF(AND(NOT(ISNA(VLOOKUP(AW54,AW6:BA53,5,FALSE))),AX54="",AY54&lt;&gt;""),ROUND((VLOOKUP(AW54,AW6:BA53,5,FALSE)-BA54)/1000,3),"")))))))))</f>
        <v/>
      </c>
      <c r="BC54" s="19">
        <f>IF(BC53="","",BC53+1)</f>
        <v>948</v>
      </c>
      <c r="BD54" s="39"/>
      <c r="BE54" s="39"/>
      <c r="BF54" s="15" t="str">
        <f>IF(AND(BD54&lt;&gt;"",BE54&lt;&gt;""),ROUND(BD54,3)+ROUND(BF53,3)-ROUND(BE54,3),IF(AND(EXACT(UPPER(BC54),"TBM"),BD54&lt;&gt;""),ROUND(BD54,3),IF(BD54="",BF53,IF(ISNA(VLOOKUP(BC54,A6:E105,5,FALSE)),IF(ISNA(VLOOKUP(BC54,G6:K105,5,FALSE)),IF(ISNA(VLOOKUP(BC54,M6:Q105,5,FALSE)),IF(ISNA(VLOOKUP(BC54,S6:W105,5,FALSE)),IF(ISNA(VLOOKUP(BC54,Y6:AC105,5,FALSE)),IF(ISNA(VLOOKUP(BC54,AE6:AI105,5,FALSE)),IF(ISNA(VLOOKUP(BC54,AK6:AO105,5,FALSE)),IF(ISNA(VLOOKUP(BC54,AQ6:AU105,5,FALSE)),IF(ISNA(VLOOKUP(BC54,AW6:BA105,5,FALSE)),IF(ISNA(VLOOKUP(BC54,BC6:BG53,5,FALSE)),"",ROUND(VLOOKUP(BC54,BC6:BG53,5,FALSE),0)/1000+ROUND(BD54,3)),ROUND(VLOOKUP(BC54,AW6:BA105,5,FALSE),0)/1000+ROUND(BD54,3)),ROUND(VLOOKUP(BC54,AQ6:AU105,5,FALSE),0)/1000+ROUND(BD54,3)),ROUND(VLOOKUP(BC54,AK6:AO105,5,FALSE),0)/1000+ROUND(BD54,3)),ROUND(VLOOKUP(BC54,AE6:AI105,5,FALSE),0)/1000+ROUND(BD54,3)),ROUND(VLOOKUP(BC54,Y6:AC105,5,FALSE),0)/1000+ROUND(BD54,3)),ROUND(VLOOKUP(BC54,S6:W105,5,FALSE),0)/1000+ROUND(BD54,3)),ROUND(VLOOKUP(BC54,M6:Q105,5,FALSE),0)/1000+ROUND(BD54,3)),ROUND(VLOOKUP(BC54,G6:K105,5,FALSE),0)/1000+ROUND(BD54,3)),ROUND(VLOOKUP(BC54,A6:E105,5,FALSE),0)/1000+ROUND(BD54,3)))))</f>
        <v/>
      </c>
      <c r="BG54" s="18" t="str">
        <f>IF(OR(NOT(EXACT(UPPER(BC54),"TBM")),BD54=""),IF(AND(BD54&lt;&gt;"",BE54="",BF54&lt;&gt;""),"",IF(AND(BD54="",BE54&lt;&gt;"",BF54&lt;&gt;""),ROUND(ROUND(BF54,3)-ROUND(BE54,3),3)*1000,IF(AND(BD54&lt;&gt;"",BE54&lt;&gt;"",BF54&lt;&gt;""),ROUND(ROUND(BF53,3)-ROUND(BE54,3),3)*1000,""))),"")</f>
        <v/>
      </c>
      <c r="BH54" s="45" t="str">
        <f>IF(AND(NOT(ISNA(VLOOKUP(BC54,A6:E105,5,FALSE))),BD54="",BE54&lt;&gt;""),ROUND((VLOOKUP(BC54,A6:E105,5,FALSE)-BG54)/1000,3),IF(AND(NOT(ISNA(VLOOKUP(BC54,G6:K105,5,FALSE))),BD54="",BE54&lt;&gt;""),ROUND((VLOOKUP(BC54,G6:K105,5,FALSE)-BG54)/1000,3),IF(AND(NOT(ISNA(VLOOKUP(BC54,M6:Q105,5,FALSE))),BD54="",BE54&lt;&gt;""),ROUND((VLOOKUP(BC54,M6:Q105,5,FALSE)-BG54)/1000,3),IF(AND(NOT(ISNA(VLOOKUP(BC54,S6:W105,5,FALSE))),BD54="",BE54&lt;&gt;""),ROUND((VLOOKUP(BC54,S6:W105,5,FALSE)-BG54)/1000,3),IF(AND(NOT(ISNA(VLOOKUP(BC54,Y6:AC105,5,FALSE))),BD54="",BE54&lt;&gt;""),ROUND((VLOOKUP(BC54,Y6:AC105,5,FALSE)-BG54)/1000,3),IF(AND(NOT(ISNA(VLOOKUP(BC54,AE6:AI105,5,FALSE))),BD54="",BE54&lt;&gt;""),ROUND((VLOOKUP(BC54,AE6:AI105,5,FALSE)-BG54)/1000,3),IF(AND(NOT(ISNA(VLOOKUP(BC54,AK6:AO105,5,FALSE))),BD54="",BE54&lt;&gt;""),ROUND((VLOOKUP(BC54,AK6:AO105,5,FALSE)-BG54)/1000,3),IF(AND(NOT(ISNA(VLOOKUP(BC54,AQ6:AU105,5,FALSE))),BD54="",BE54&lt;&gt;""),ROUND((VLOOKUP(BC54,AQ6:AU105,5,FALSE)-BG54)/1000,3),IF(AND(NOT(ISNA(VLOOKUP(BC54,AW6:BA105,5,FALSE))),BD54="",BE54&lt;&gt;""),ROUND((VLOOKUP(BC54,AW6:BA105,5,FALSE)-BG54)/1000,3),IF(AND(NOT(ISNA(VLOOKUP(BC54,BC6:BG53,5,FALSE))),BD54="",BE54&lt;&gt;""),ROUND((VLOOKUP(BC54,BC6:BG53,5,FALSE)-BG54)/1000,3),""))))))))))</f>
        <v/>
      </c>
    </row>
    <row r="55" spans="1:60" x14ac:dyDescent="0.25">
      <c r="A55" s="81">
        <f t="shared" si="3"/>
        <v>49</v>
      </c>
      <c r="B55" s="82"/>
      <c r="C55" s="82"/>
      <c r="D55" s="83" t="str">
        <f>IF(AND(B55&lt;&gt;"",C55&lt;&gt;""),ROUND(B55,3)+ROUND(D54,3)-ROUND(C55,3),IF(AND(EXACT(UPPER(A55),"TBM"),B55&lt;&gt;""),ROUND(B55,3),IF(B55="",D54,IF(ISNA(VLOOKUP(A55,A6:E54,5,FALSE)),"",ROUND(VLOOKUP(A55,A6:E54,5,FALSE),0)/1000+ROUND(B55,3)))))</f>
        <v/>
      </c>
      <c r="E55" s="88" t="str">
        <f t="shared" si="4"/>
        <v/>
      </c>
      <c r="F55" s="85" t="str">
        <f>IF(AND(NOT(ISNA(VLOOKUP(A55,A6:E54,5,FALSE))),B55="",C55&lt;&gt;""),ROUND((VLOOKUP(A55,A6:E54,5,FALSE)-E55)/1000,3),"")</f>
        <v/>
      </c>
      <c r="G55" s="81">
        <f t="shared" si="1"/>
        <v>149</v>
      </c>
      <c r="H55" s="82"/>
      <c r="I55" s="82"/>
      <c r="J55" s="83" t="str">
        <f>IF(AND(H55&lt;&gt;"",I55&lt;&gt;""),ROUND(H55,3)+ROUND(J54,3)-ROUND(I55,3),IF(AND(EXACT(UPPER(G55),"TBM"),H55&lt;&gt;""),ROUND(H55,3),IF(H55="",J54,IF(ISNA(VLOOKUP(G55,A6:E105,5,FALSE)),IF(ISNA(VLOOKUP(G55,G6:K54,5,FALSE)),"",ROUND(VLOOKUP(G55,G6:K54,5,FALSE),0)/1000+ROUND(H55,3)),ROUND(VLOOKUP(G55,A6:E105,5,FALSE),0)/1000+ROUND(H55,3)))))</f>
        <v/>
      </c>
      <c r="K55" s="95" t="str">
        <f t="shared" si="5"/>
        <v/>
      </c>
      <c r="L55" s="85" t="str">
        <f>IF(AND(NOT(ISNA(VLOOKUP(G55,A6:E105,5,FALSE))),H55="",I55&lt;&gt;""),ROUND((VLOOKUP(G55,A6:E105,5,FALSE)-K55)/1000,3),IF(AND(NOT(ISNA(VLOOKUP(G55,G6:K54,5,FALSE))),H55="",I55&lt;&gt;""),ROUND((VLOOKUP(G55,G6:K54,5,FALSE)-K55)/1000,3),""))</f>
        <v/>
      </c>
      <c r="M55" s="81">
        <f>IF(M54="","",M54+1)</f>
        <v>249</v>
      </c>
      <c r="N55" s="82"/>
      <c r="O55" s="82"/>
      <c r="P55" s="83" t="str">
        <f>IF(AND(N55&lt;&gt;"",O55&lt;&gt;""),ROUND(N55,3)+ROUND(P54,3)-ROUND(O55,3),IF(AND(EXACT(UPPER(M55),"TBM"),N55&lt;&gt;""),ROUND(N55,3),IF(N55="",P54,IF(ISNA(VLOOKUP(M55,A6:E105,5,FALSE)),IF(ISNA(VLOOKUP(M55,G6:K105,5,FALSE)),IF(ISNA(VLOOKUP(M55,M6:Q54,5,FALSE)),"",ROUND(VLOOKUP(M55,M6:Q54,5,FALSE),0)/1000+ROUND(N55,3)),ROUND(VLOOKUP(M55,G6:K105,5,FALSE),0)/1000+ROUND(N55,3)),ROUND(VLOOKUP(M55,A6:E105,5,FALSE),0)/1000+ROUND(N55,3)))))</f>
        <v/>
      </c>
      <c r="Q55" s="95" t="str">
        <f>IF(OR(NOT(EXACT(UPPER(M55),"TBM")),N55=""),IF(AND(N55&lt;&gt;"",O55="",P55&lt;&gt;""),"",IF(AND(N55="",O55&lt;&gt;"",P55&lt;&gt;""),ROUND(ROUND(P55,3)-ROUND(O55,3),3)*1000,IF(AND(N55&lt;&gt;"",O55&lt;&gt;"",P55&lt;&gt;""),ROUND(ROUND(P54,3)-ROUND(O55,3),3)*1000,""))),"")</f>
        <v/>
      </c>
      <c r="R55" s="85" t="str">
        <f>IF(AND(NOT(ISNA(VLOOKUP(M55,A6:E105,5,FALSE))),N55="",O55&lt;&gt;""),ROUND((VLOOKUP(M55,A6:E105,5,FALSE)-Q55)/1000,3),IF(AND(NOT(ISNA(VLOOKUP(M55,G6:K105,5,FALSE))),N55="",O55&lt;&gt;""),ROUND((VLOOKUP(M55,G6:K105,5,FALSE)-Q55)/1000,3),IF(AND(NOT(ISNA(VLOOKUP(M55,M6:Q54,5,FALSE))),N55="",O55&lt;&gt;""),ROUND((VLOOKUP(M55,M6:Q54,5,FALSE)-Q55)/1000,3),"")))</f>
        <v/>
      </c>
      <c r="S55" s="81">
        <f>IF(S54="","",S54+1)</f>
        <v>349</v>
      </c>
      <c r="T55" s="82"/>
      <c r="U55" s="82"/>
      <c r="V55" s="83" t="str">
        <f>IF(AND(T55&lt;&gt;"",U55&lt;&gt;""),ROUND(T55,3)+ROUND(V54,3)-ROUND(U55,3),IF(AND(EXACT(UPPER(S55),"TBM"),T55&lt;&gt;""),ROUND(T55,3),IF(T55="",V54,IF(ISNA(VLOOKUP(S55,A6:E105,5,FALSE)),IF(ISNA(VLOOKUP(S55,G6:K105,5,FALSE)),IF(ISNA(VLOOKUP(S55,M6:Q105,5,FALSE)),IF(ISNA(VLOOKUP(S55,S6:W54,5,FALSE)),"",ROUND(VLOOKUP(S55,S6:W54,5,FALSE),0)/1000+ROUND(T55,3)),ROUND(VLOOKUP(S55,M6:Q105,5,FALSE),0)/1000+ROUND(T55,3)),ROUND(VLOOKUP(S55,G6:K105,5,FALSE),0)/1000+ROUND(T55,3)),ROUND(VLOOKUP(S55,A6:E105,5,FALSE),0)/1000+ROUND(T55,3)))))</f>
        <v/>
      </c>
      <c r="W55" s="95" t="str">
        <f>IF(OR(NOT(EXACT(UPPER(S55),"TBM")),T55=""),IF(AND(T55&lt;&gt;"",U55="",V55&lt;&gt;""),"",IF(AND(T55="",U55&lt;&gt;"",V55&lt;&gt;""),ROUND(ROUND(V55,3)-ROUND(U55,3),3)*1000,IF(AND(T55&lt;&gt;"",U55&lt;&gt;"",V55&lt;&gt;""),ROUND(ROUND(V54,3)-ROUND(U55,3),3)*1000,""))),"")</f>
        <v/>
      </c>
      <c r="X55" s="85" t="str">
        <f>IF(AND(NOT(ISNA(VLOOKUP(S55,A6:E105,5,FALSE))),T55="",U55&lt;&gt;""),ROUND((VLOOKUP(S55,A6:E105,5,FALSE)-W55)/1000,3),IF(AND(NOT(ISNA(VLOOKUP(S55,G6:K105,5,FALSE))),T55="",U55&lt;&gt;""),ROUND((VLOOKUP(S55,G6:K105,5,FALSE)-W55)/1000,3),IF(AND(NOT(ISNA(VLOOKUP(S55,M6:Q105,5,FALSE))),T55="",U55&lt;&gt;""),ROUND((VLOOKUP(S55,M6:Q105,5,FALSE)-W55)/1000,3),IF(AND(NOT(ISNA(VLOOKUP(S55,S6:W54,5,FALSE))),T55="",U55&lt;&gt;""),ROUND((VLOOKUP(S55,S6:W54,5,FALSE)-W55)/1000,3),""))))</f>
        <v/>
      </c>
      <c r="Y55" s="81">
        <f>IF(Y54="","",Y54+1)</f>
        <v>449</v>
      </c>
      <c r="Z55" s="82"/>
      <c r="AA55" s="82"/>
      <c r="AB55" s="83" t="str">
        <f>IF(AND(Z55&lt;&gt;"",AA55&lt;&gt;""),ROUND(Z55,3)+ROUND(AB54,3)-ROUND(AA55,3),IF(AND(EXACT(UPPER(Y55),"TBM"),Z55&lt;&gt;""),ROUND(Z55,3),IF(Z55="",AB54,IF(ISNA(VLOOKUP(Y55,A6:E105,5,FALSE)),IF(ISNA(VLOOKUP(Y55,G6:K105,5,FALSE)),IF(ISNA(VLOOKUP(Y55,M6:Q105,5,FALSE)),IF(ISNA(VLOOKUP(Y55,S6:W105,5,FALSE)),IF(ISNA(VLOOKUP(Y55,Y6:AC54,5,FALSE)),"",ROUND(VLOOKUP(Y55,Y6:AC54,5,FALSE),0)/1000+ROUND(Z55,3)),ROUND(VLOOKUP(Y55,S6:W105,5,FALSE),0)/1000+ROUND(Z55,3)),ROUND(VLOOKUP(Y55,M6:Q105,5,FALSE),0)/1000+ROUND(Z55,3)),ROUND(VLOOKUP(Y55,G6:K105,5,FALSE),0)/1000+ROUND(Z55,3)),ROUND(VLOOKUP(Y55,A6:E105,5,FALSE),0)/1000+ROUND(Z55,3)))))</f>
        <v/>
      </c>
      <c r="AC55" s="95" t="str">
        <f>IF(OR(NOT(EXACT(UPPER(Y55),"TBM")),Z55=""),IF(AND(Z55&lt;&gt;"",AA55="",AB55&lt;&gt;""),"",IF(AND(Z55="",AA55&lt;&gt;"",AB55&lt;&gt;""),ROUND(ROUND(AB55,3)-ROUND(AA55,3),3)*1000,IF(AND(Z55&lt;&gt;"",AA55&lt;&gt;"",AB55&lt;&gt;""),ROUND(ROUND(AB54,3)-ROUND(AA55,3),3)*1000,""))),"")</f>
        <v/>
      </c>
      <c r="AD55" s="85" t="str">
        <f>IF(AND(NOT(ISNA(VLOOKUP(Y55,A6:E105,5,FALSE))),Z55="",AA55&lt;&gt;""),ROUND((VLOOKUP(Y55,A6:E105,5,FALSE)-AC55)/1000,3),IF(AND(NOT(ISNA(VLOOKUP(Y55,G6:K105,5,FALSE))),Z55="",AA55&lt;&gt;""),ROUND((VLOOKUP(Y55,G6:K105,5,FALSE)-AC55)/1000,3),IF(AND(NOT(ISNA(VLOOKUP(Y55,M6:Q105,5,FALSE))),Z55="",AA55&lt;&gt;""),ROUND((VLOOKUP(Y55,M6:Q105,5,FALSE)-AC55)/1000,3),IF(AND(NOT(ISNA(VLOOKUP(Y55,S6:W105,5,FALSE))),Z55="",AA55&lt;&gt;""),ROUND((VLOOKUP(Y55,S6:W105,5,FALSE)-AC55)/1000,3),IF(AND(NOT(ISNA(VLOOKUP(Y55,Y6:AC54,5,FALSE))),Z55="",AA55&lt;&gt;""),ROUND((VLOOKUP(Y55,Y6:AC54,5,FALSE)-AC55)/1000,3),"")))))</f>
        <v/>
      </c>
      <c r="AE55" s="81">
        <f>IF(AE54="","",AE54+1)</f>
        <v>549</v>
      </c>
      <c r="AF55" s="82"/>
      <c r="AG55" s="82"/>
      <c r="AH55" s="83" t="str">
        <f>IF(AND(AF55&lt;&gt;"",AG55&lt;&gt;""),ROUND(AF55,3)+ROUND(AH54,3)-ROUND(AG55,3),IF(AND(EXACT(UPPER(AE55),"TBM"),AF55&lt;&gt;""),ROUND(AF55,3),IF(AF55="",AH54,IF(ISNA(VLOOKUP(AE55,A6:E105,5,FALSE)),IF(ISNA(VLOOKUP(AE55,G6:K105,5,FALSE)),IF(ISNA(VLOOKUP(AE55,M6:Q105,5,FALSE)),IF(ISNA(VLOOKUP(AE55,S6:W105,5,FALSE)),IF(ISNA(VLOOKUP(AE55,Y6:AC105,5,FALSE)),IF(ISNA(VLOOKUP(AE55,AE6:AI54,5,FALSE)),"",ROUND(VLOOKUP(AE55,AE6:AI54,5,FALSE),0)/1000+ROUND(AF55,3)),ROUND(VLOOKUP(AE55,Y6:AC105,5,FALSE),0)/1000+ROUND(AF55,3)),ROUND(VLOOKUP(AE55,S6:W105,5,FALSE),0)/1000+ROUND(AF55,3)),ROUND(VLOOKUP(AE55,M6:Q105,5,FALSE),0)/1000+ROUND(AF55,3)),ROUND(VLOOKUP(AE55,G6:K105,5,FALSE),0)/1000+ROUND(AF55,3)),ROUND(VLOOKUP(AE55,A6:E105,5,FALSE),0)/1000+ROUND(AF55,3)))))</f>
        <v/>
      </c>
      <c r="AI55" s="95" t="str">
        <f>IF(OR(NOT(EXACT(UPPER(AE55),"TBM")),AF55=""),IF(AND(AF55&lt;&gt;"",AG55="",AH55&lt;&gt;""),"",IF(AND(AF55="",AG55&lt;&gt;"",AH55&lt;&gt;""),ROUND(ROUND(AH55,3)-ROUND(AG55,3),3)*1000,IF(AND(AF55&lt;&gt;"",AG55&lt;&gt;"",AH55&lt;&gt;""),ROUND(ROUND(AH54,3)-ROUND(AG55,3),3)*1000,""))),"")</f>
        <v/>
      </c>
      <c r="AJ55" s="85" t="str">
        <f>IF(AND(NOT(ISNA(VLOOKUP(AE55,A6:E105,5,FALSE))),AF55="",AG55&lt;&gt;""),ROUND((VLOOKUP(AE55,A6:E105,5,FALSE)-AI55)/1000,3),IF(AND(NOT(ISNA(VLOOKUP(AE55,G6:K105,5,FALSE))),AF55="",AG55&lt;&gt;""),ROUND((VLOOKUP(AE55,G6:K105,5,FALSE)-AI55)/1000,3),IF(AND(NOT(ISNA(VLOOKUP(AE55,M6:Q105,5,FALSE))),AF55="",AG55&lt;&gt;""),ROUND((VLOOKUP(AE55,M6:Q105,5,FALSE)-AI55)/1000,3),IF(AND(NOT(ISNA(VLOOKUP(AE55,S6:W105,5,FALSE))),AF55="",AG55&lt;&gt;""),ROUND((VLOOKUP(AE55,S6:W105,5,FALSE)-AI55)/1000,3),IF(AND(NOT(ISNA(VLOOKUP(AE55,Y6:AC105,5,FALSE))),AF55="",AG55&lt;&gt;""),ROUND((VLOOKUP(AE55,Y6:AC105,5,FALSE)-AI55)/1000,3),IF(AND(NOT(ISNA(VLOOKUP(AE55,AE6:AI54,5,FALSE))),AF55="",AG55&lt;&gt;""),ROUND((VLOOKUP(AE55,AE6:AI54,5,FALSE)-AI55)/1000,3),""))))))</f>
        <v/>
      </c>
      <c r="AK55" s="81">
        <f>IF(AK54="","",AK54+1)</f>
        <v>649</v>
      </c>
      <c r="AL55" s="82"/>
      <c r="AM55" s="82"/>
      <c r="AN55" s="83" t="str">
        <f>IF(AND(AL55&lt;&gt;"",AM55&lt;&gt;""),ROUND(AL55,3)+ROUND(AN54,3)-ROUND(AM55,3),IF(AND(EXACT(UPPER(AK55),"TBM"),AL55&lt;&gt;""),ROUND(AL55,3),IF(AL55="",AN54,IF(ISNA(VLOOKUP(AK55,A6:E105,5,FALSE)),IF(ISNA(VLOOKUP(AK55,G6:K105,5,FALSE)),IF(ISNA(VLOOKUP(AK55,M6:Q105,5,FALSE)),IF(ISNA(VLOOKUP(AK55,S6:W105,5,FALSE)),IF(ISNA(VLOOKUP(AK55,Y6:AC105,5,FALSE)),IF(ISNA(VLOOKUP(AK55,AE6:AI105,5,FALSE)),IF(ISNA(VLOOKUP(AK55,AK6:AO54,5,FALSE)),"",ROUND(VLOOKUP(AK55,AK6:AO54,5,FALSE),0)/1000+ROUND(AL55,3)),ROUND(VLOOKUP(AK55,AE6:AI105,5,FALSE),0)/1000+ROUND(AL55,3)),ROUND(VLOOKUP(AK55,Y6:AC105,5,FALSE),0)/1000+ROUND(AL55,3)),ROUND(VLOOKUP(AK55,S6:W105,5,FALSE),0)/1000+ROUND(AL55,3)),ROUND(VLOOKUP(AK55,M6:Q105,5,FALSE),0)/1000+ROUND(AL55,3)),ROUND(VLOOKUP(AK55,G6:K105,5,FALSE),0)/1000+ROUND(AL55,3)),ROUND(VLOOKUP(AK55,A6:E105,5,FALSE),0)/1000+ROUND(AL55,3)))))</f>
        <v/>
      </c>
      <c r="AO55" s="95" t="str">
        <f>IF(OR(NOT(EXACT(UPPER(AK55),"TBM")),AL55=""),IF(AND(AL55&lt;&gt;"",AM55="",AN55&lt;&gt;""),"",IF(AND(AL55="",AM55&lt;&gt;"",AN55&lt;&gt;""),ROUND(ROUND(AN55,3)-ROUND(AM55,3),3)*1000,IF(AND(AL55&lt;&gt;"",AM55&lt;&gt;"",AN55&lt;&gt;""),ROUND(ROUND(AN54,3)-ROUND(AM55,3),3)*1000,""))),"")</f>
        <v/>
      </c>
      <c r="AP55" s="85" t="str">
        <f>IF(AND(NOT(ISNA(VLOOKUP(AK55,A6:E105,5,FALSE))),AL55="",AM55&lt;&gt;""),ROUND((VLOOKUP(AK55,A6:E105,5,FALSE)-AO55)/1000,3),IF(AND(NOT(ISNA(VLOOKUP(AK55,G6:K105,5,FALSE))),AL55="",AM55&lt;&gt;""),ROUND((VLOOKUP(AK55,G6:K105,5,FALSE)-AO55)/1000,3),IF(AND(NOT(ISNA(VLOOKUP(AK55,M6:Q105,5,FALSE))),AL55="",AM55&lt;&gt;""),ROUND((VLOOKUP(AK55,M6:Q105,5,FALSE)-AO55)/1000,3),IF(AND(NOT(ISNA(VLOOKUP(AK55,S6:W105,5,FALSE))),AL55="",AM55&lt;&gt;""),ROUND((VLOOKUP(AK55,S6:W105,5,FALSE)-AO55)/1000,3),IF(AND(NOT(ISNA(VLOOKUP(AK55,Y6:AC105,5,FALSE))),AL55="",AM55&lt;&gt;""),ROUND((VLOOKUP(AK55,Y6:AC105,5,FALSE)-AO55)/1000,3),IF(AND(NOT(ISNA(VLOOKUP(AK55,AE6:AI105,5,FALSE))),AL55="",AM55&lt;&gt;""),ROUND((VLOOKUP(AK55,AE6:AI105,5,FALSE)-AO55)/1000,3),IF(AND(NOT(ISNA(VLOOKUP(AK55,AK6:AO54,5,FALSE))),AL55="",AM55&lt;&gt;""),ROUND((VLOOKUP(AK55,AK6:AO54,5,FALSE)-AO55)/1000,3),"")))))))</f>
        <v/>
      </c>
      <c r="AQ55" s="81">
        <f>IF(AQ54="","",AQ54+1)</f>
        <v>749</v>
      </c>
      <c r="AR55" s="82"/>
      <c r="AS55" s="82"/>
      <c r="AT55" s="83" t="str">
        <f>IF(AND(AR55&lt;&gt;"",AS55&lt;&gt;""),ROUND(AR55,3)+ROUND(AT54,3)-ROUND(AS55,3),IF(AND(EXACT(UPPER(AQ55),"TBM"),AR55&lt;&gt;""),ROUND(AR55,3),IF(AR55="",AT54,IF(ISNA(VLOOKUP(AQ55,A6:E105,5,FALSE)),IF(ISNA(VLOOKUP(AQ55,G6:K105,5,FALSE)),IF(ISNA(VLOOKUP(AQ55,M6:Q105,5,FALSE)),IF(ISNA(VLOOKUP(AQ55,S6:W105,5,FALSE)),IF(ISNA(VLOOKUP(AQ55,Y6:AC105,5,FALSE)),IF(ISNA(VLOOKUP(AQ55,AE6:AI105,5,FALSE)),IF(ISNA(VLOOKUP(AQ55,AK6:AO105,5,FALSE)),IF(ISNA(VLOOKUP(AQ55,AQ6:AU54,5,FALSE)),"",ROUND(VLOOKUP(AQ55,AQ6:AU54,5,FALSE),0)/1000+ROUND(AR55,3)),ROUND(VLOOKUP(AQ55,AK6:AO105,5,FALSE),0)/1000+ROUND(AR55,3)),ROUND(VLOOKUP(AQ55,AE6:AI105,5,FALSE),0)/1000+ROUND(AR55,3)),ROUND(VLOOKUP(AQ55,Y6:AC105,5,FALSE),0)/1000+ROUND(AR55,3)),ROUND(VLOOKUP(AQ55,S6:W105,5,FALSE),0)/1000+ROUND(AR55,3)),ROUND(VLOOKUP(AQ55,M6:Q105,5,FALSE),0)/1000+ROUND(AR55,3)),ROUND(VLOOKUP(AQ55,G6:K105,5,FALSE),0)/1000+ROUND(AR55,3)),ROUND(VLOOKUP(AQ55,A6:E105,5,FALSE),0)/1000+ROUND(AR55,3)))))</f>
        <v/>
      </c>
      <c r="AU55" s="95" t="str">
        <f>IF(OR(NOT(EXACT(UPPER(AQ55),"TBM")),AR55=""),IF(AND(AR55&lt;&gt;"",AS55="",AT55&lt;&gt;""),"",IF(AND(AR55="",AS55&lt;&gt;"",AT55&lt;&gt;""),ROUND(ROUND(AT55,3)-ROUND(AS55,3),3)*1000,IF(AND(AR55&lt;&gt;"",AS55&lt;&gt;"",AT55&lt;&gt;""),ROUND(ROUND(AT54,3)-ROUND(AS55,3),3)*1000,""))),"")</f>
        <v/>
      </c>
      <c r="AV55" s="85" t="str">
        <f>IF(AND(NOT(ISNA(VLOOKUP(AQ55,A6:E105,5,FALSE))),AR55="",AS55&lt;&gt;""),ROUND((VLOOKUP(AQ55,A6:E105,5,FALSE)-AU55)/1000,3),IF(AND(NOT(ISNA(VLOOKUP(AQ55,G6:K105,5,FALSE))),AR55="",AS55&lt;&gt;""),ROUND((VLOOKUP(AQ55,G6:K105,5,FALSE)-AU55)/1000,3),IF(AND(NOT(ISNA(VLOOKUP(AQ55,M6:Q105,5,FALSE))),AR55="",AS55&lt;&gt;""),ROUND((VLOOKUP(AQ55,M6:Q105,5,FALSE)-AU55)/1000,3),IF(AND(NOT(ISNA(VLOOKUP(AQ55,S6:W105,5,FALSE))),AR55="",AS55&lt;&gt;""),ROUND((VLOOKUP(AQ55,S6:W105,5,FALSE)-AU55)/1000,3),IF(AND(NOT(ISNA(VLOOKUP(AQ55,Y6:AC105,5,FALSE))),AR55="",AS55&lt;&gt;""),ROUND((VLOOKUP(AQ55,Y6:AC105,5,FALSE)-AU55)/1000,3),IF(AND(NOT(ISNA(VLOOKUP(AQ55,AE6:AI105,5,FALSE))),AR55="",AS55&lt;&gt;""),ROUND((VLOOKUP(AQ55,AE6:AI105,5,FALSE)-AU55)/1000,3),IF(AND(NOT(ISNA(VLOOKUP(AQ55,AK6:AO105,5,FALSE))),AR55="",AS55&lt;&gt;""),ROUND((VLOOKUP(AQ55,AK6:AO105,5,FALSE)-AU55)/1000,3),IF(AND(NOT(ISNA(VLOOKUP(AQ55,AQ6:AU54,5,FALSE))),AR55="",AS55&lt;&gt;""),ROUND((VLOOKUP(AQ55,AQ6:AU54,5,FALSE)-AU55)/1000,3),""))))))))</f>
        <v/>
      </c>
      <c r="AW55" s="81">
        <f>IF(AW54="","",AW54+1)</f>
        <v>849</v>
      </c>
      <c r="AX55" s="82"/>
      <c r="AY55" s="82"/>
      <c r="AZ55" s="83" t="str">
        <f>IF(AND(AX55&lt;&gt;"",AY55&lt;&gt;""),ROUND(AX55,3)+ROUND(AZ54,3)-ROUND(AY55,3),IF(AND(EXACT(UPPER(AW55),"TBM"),AX55&lt;&gt;""),ROUND(AX55,3),IF(AX55="",AZ54,IF(ISNA(VLOOKUP(AW55,A6:E105,5,FALSE)),IF(ISNA(VLOOKUP(AW55,G6:K105,5,FALSE)),IF(ISNA(VLOOKUP(AW55,M6:Q105,5,FALSE)),IF(ISNA(VLOOKUP(AW55,S6:W105,5,FALSE)),IF(ISNA(VLOOKUP(AW55,Y6:AC105,5,FALSE)),IF(ISNA(VLOOKUP(AW55,AE6:AI105,5,FALSE)),IF(ISNA(VLOOKUP(AW55,AK6:AO105,5,FALSE)),IF(ISNA(VLOOKUP(AW55,AQ6:AU105,5,FALSE)),IF(ISNA(VLOOKUP(AW55,AW6:BA54,5,FALSE)),"",ROUND(VLOOKUP(AW55,AW6:BA54,5,FALSE),0)/1000+ROUND(AX55,3)),ROUND(VLOOKUP(AW55,AQ6:AU105,5,FALSE),0)/1000+ROUND(AX55,3)),ROUND(VLOOKUP(AW55,AK6:AO105,5,FALSE),0)/1000+ROUND(AX55,3)),ROUND(VLOOKUP(AW55,AE6:AI105,5,FALSE),0)/1000+ROUND(AX55,3)),ROUND(VLOOKUP(AW55,Y6:AC105,5,FALSE),0)/1000+ROUND(AX55,3)),ROUND(VLOOKUP(AW55,S6:W105,5,FALSE),0)/1000+ROUND(AX55,3)),ROUND(VLOOKUP(AW55,M6:Q105,5,FALSE),0)/1000+ROUND(AX55,3)),ROUND(VLOOKUP(AW55,G6:K105,5,FALSE),0)/1000+ROUND(AX55,3)),ROUND(VLOOKUP(AW55,A6:E105,5,FALSE),0)/1000+ROUND(AX55,3)))))</f>
        <v/>
      </c>
      <c r="BA55" s="95" t="str">
        <f>IF(OR(NOT(EXACT(UPPER(AW55),"TBM")),AX55=""),IF(AND(AX55&lt;&gt;"",AY55="",AZ55&lt;&gt;""),"",IF(AND(AX55="",AY55&lt;&gt;"",AZ55&lt;&gt;""),ROUND(ROUND(AZ55,3)-ROUND(AY55,3),3)*1000,IF(AND(AX55&lt;&gt;"",AY55&lt;&gt;"",AZ55&lt;&gt;""),ROUND(ROUND(AZ54,3)-ROUND(AY55,3),3)*1000,""))),"")</f>
        <v/>
      </c>
      <c r="BB55" s="85" t="str">
        <f>IF(AND(NOT(ISNA(VLOOKUP(AW55,A6:E105,5,FALSE))),AX55="",AY55&lt;&gt;""),ROUND((VLOOKUP(AW55,A6:E105,5,FALSE)-BA55)/1000,3),IF(AND(NOT(ISNA(VLOOKUP(AW55,G6:K105,5,FALSE))),AX55="",AY55&lt;&gt;""),ROUND((VLOOKUP(AW55,G6:K105,5,FALSE)-BA55)/1000,3),IF(AND(NOT(ISNA(VLOOKUP(AW55,M6:Q105,5,FALSE))),AX55="",AY55&lt;&gt;""),ROUND((VLOOKUP(AW55,M6:Q105,5,FALSE)-BA55)/1000,3),IF(AND(NOT(ISNA(VLOOKUP(AW55,S6:W105,5,FALSE))),AX55="",AY55&lt;&gt;""),ROUND((VLOOKUP(AW55,S6:W105,5,FALSE)-BA55)/1000,3),IF(AND(NOT(ISNA(VLOOKUP(AW55,Y6:AC105,5,FALSE))),AX55="",AY55&lt;&gt;""),ROUND((VLOOKUP(AW55,Y6:AC105,5,FALSE)-BA55)/1000,3),IF(AND(NOT(ISNA(VLOOKUP(AW55,AE6:AI105,5,FALSE))),AX55="",AY55&lt;&gt;""),ROUND((VLOOKUP(AW55,AE6:AI105,5,FALSE)-BA55)/1000,3),IF(AND(NOT(ISNA(VLOOKUP(AW55,AK6:AO105,5,FALSE))),AX55="",AY55&lt;&gt;""),ROUND((VLOOKUP(AW55,AK6:AO105,5,FALSE)-BA55)/1000,3),IF(AND(NOT(ISNA(VLOOKUP(AW55,AQ6:AU105,5,FALSE))),AX55="",AY55&lt;&gt;""),ROUND((VLOOKUP(AW55,AQ6:AU105,5,FALSE)-BA55)/1000,3),IF(AND(NOT(ISNA(VLOOKUP(AW55,AW6:BA54,5,FALSE))),AX55="",AY55&lt;&gt;""),ROUND((VLOOKUP(AW55,AW6:BA54,5,FALSE)-BA55)/1000,3),"")))))))))</f>
        <v/>
      </c>
      <c r="BC55" s="81">
        <f>IF(BC54="","",BC54+1)</f>
        <v>949</v>
      </c>
      <c r="BD55" s="82"/>
      <c r="BE55" s="82"/>
      <c r="BF55" s="83" t="str">
        <f>IF(AND(BD55&lt;&gt;"",BE55&lt;&gt;""),ROUND(BD55,3)+ROUND(BF54,3)-ROUND(BE55,3),IF(AND(EXACT(UPPER(BC55),"TBM"),BD55&lt;&gt;""),ROUND(BD55,3),IF(BD55="",BF54,IF(ISNA(VLOOKUP(BC55,A6:E105,5,FALSE)),IF(ISNA(VLOOKUP(BC55,G6:K105,5,FALSE)),IF(ISNA(VLOOKUP(BC55,M6:Q105,5,FALSE)),IF(ISNA(VLOOKUP(BC55,S6:W105,5,FALSE)),IF(ISNA(VLOOKUP(BC55,Y6:AC105,5,FALSE)),IF(ISNA(VLOOKUP(BC55,AE6:AI105,5,FALSE)),IF(ISNA(VLOOKUP(BC55,AK6:AO105,5,FALSE)),IF(ISNA(VLOOKUP(BC55,AQ6:AU105,5,FALSE)),IF(ISNA(VLOOKUP(BC55,AW6:BA105,5,FALSE)),IF(ISNA(VLOOKUP(BC55,BC6:BG54,5,FALSE)),"",ROUND(VLOOKUP(BC55,BC6:BG54,5,FALSE),0)/1000+ROUND(BD55,3)),ROUND(VLOOKUP(BC55,AW6:BA105,5,FALSE),0)/1000+ROUND(BD55,3)),ROUND(VLOOKUP(BC55,AQ6:AU105,5,FALSE),0)/1000+ROUND(BD55,3)),ROUND(VLOOKUP(BC55,AK6:AO105,5,FALSE),0)/1000+ROUND(BD55,3)),ROUND(VLOOKUP(BC55,AE6:AI105,5,FALSE),0)/1000+ROUND(BD55,3)),ROUND(VLOOKUP(BC55,Y6:AC105,5,FALSE),0)/1000+ROUND(BD55,3)),ROUND(VLOOKUP(BC55,S6:W105,5,FALSE),0)/1000+ROUND(BD55,3)),ROUND(VLOOKUP(BC55,M6:Q105,5,FALSE),0)/1000+ROUND(BD55,3)),ROUND(VLOOKUP(BC55,G6:K105,5,FALSE),0)/1000+ROUND(BD55,3)),ROUND(VLOOKUP(BC55,A6:E105,5,FALSE),0)/1000+ROUND(BD55,3)))))</f>
        <v/>
      </c>
      <c r="BG55" s="95" t="str">
        <f>IF(OR(NOT(EXACT(UPPER(BC55),"TBM")),BD55=""),IF(AND(BD55&lt;&gt;"",BE55="",BF55&lt;&gt;""),"",IF(AND(BD55="",BE55&lt;&gt;"",BF55&lt;&gt;""),ROUND(ROUND(BF55,3)-ROUND(BE55,3),3)*1000,IF(AND(BD55&lt;&gt;"",BE55&lt;&gt;"",BF55&lt;&gt;""),ROUND(ROUND(BF54,3)-ROUND(BE55,3),3)*1000,""))),"")</f>
        <v/>
      </c>
      <c r="BH55" s="85" t="str">
        <f>IF(AND(NOT(ISNA(VLOOKUP(BC55,A6:E105,5,FALSE))),BD55="",BE55&lt;&gt;""),ROUND((VLOOKUP(BC55,A6:E105,5,FALSE)-BG55)/1000,3),IF(AND(NOT(ISNA(VLOOKUP(BC55,G6:K105,5,FALSE))),BD55="",BE55&lt;&gt;""),ROUND((VLOOKUP(BC55,G6:K105,5,FALSE)-BG55)/1000,3),IF(AND(NOT(ISNA(VLOOKUP(BC55,M6:Q105,5,FALSE))),BD55="",BE55&lt;&gt;""),ROUND((VLOOKUP(BC55,M6:Q105,5,FALSE)-BG55)/1000,3),IF(AND(NOT(ISNA(VLOOKUP(BC55,S6:W105,5,FALSE))),BD55="",BE55&lt;&gt;""),ROUND((VLOOKUP(BC55,S6:W105,5,FALSE)-BG55)/1000,3),IF(AND(NOT(ISNA(VLOOKUP(BC55,Y6:AC105,5,FALSE))),BD55="",BE55&lt;&gt;""),ROUND((VLOOKUP(BC55,Y6:AC105,5,FALSE)-BG55)/1000,3),IF(AND(NOT(ISNA(VLOOKUP(BC55,AE6:AI105,5,FALSE))),BD55="",BE55&lt;&gt;""),ROUND((VLOOKUP(BC55,AE6:AI105,5,FALSE)-BG55)/1000,3),IF(AND(NOT(ISNA(VLOOKUP(BC55,AK6:AO105,5,FALSE))),BD55="",BE55&lt;&gt;""),ROUND((VLOOKUP(BC55,AK6:AO105,5,FALSE)-BG55)/1000,3),IF(AND(NOT(ISNA(VLOOKUP(BC55,AQ6:AU105,5,FALSE))),BD55="",BE55&lt;&gt;""),ROUND((VLOOKUP(BC55,AQ6:AU105,5,FALSE)-BG55)/1000,3),IF(AND(NOT(ISNA(VLOOKUP(BC55,AW6:BA105,5,FALSE))),BD55="",BE55&lt;&gt;""),ROUND((VLOOKUP(BC55,AW6:BA105,5,FALSE)-BG55)/1000,3),IF(AND(NOT(ISNA(VLOOKUP(BC55,BC6:BG54,5,FALSE))),BD55="",BE55&lt;&gt;""),ROUND((VLOOKUP(BC55,BC6:BG54,5,FALSE)-BG55)/1000,3),""))))))))))</f>
        <v/>
      </c>
    </row>
    <row r="56" spans="1:60" x14ac:dyDescent="0.25">
      <c r="A56" s="64">
        <f t="shared" si="3"/>
        <v>50</v>
      </c>
      <c r="B56" s="38"/>
      <c r="C56" s="38"/>
      <c r="D56" s="17" t="str">
        <f>IF(AND(B56&lt;&gt;"",C56&lt;&gt;""),ROUND(B56,3)+ROUND(D55,3)-ROUND(C56,3),IF(AND(EXACT(UPPER(A56),"TBM"),B56&lt;&gt;""),ROUND(B56,3),IF(B56="",D55,IF(ISNA(VLOOKUP(A56,A6:E55,5,FALSE)),"",ROUND(VLOOKUP(A56,A6:E55,5,FALSE),0)/1000+ROUND(B56,3)))))</f>
        <v/>
      </c>
      <c r="E56" s="65" t="str">
        <f t="shared" si="4"/>
        <v/>
      </c>
      <c r="F56" s="66" t="str">
        <f>IF(AND(NOT(ISNA(VLOOKUP(A56,A6:E55,5,FALSE))),B56="",C56&lt;&gt;""),ROUND((VLOOKUP(A56,A6:E55,5,FALSE)-E56)/1000,3),"")</f>
        <v/>
      </c>
      <c r="G56" s="64">
        <f t="shared" si="1"/>
        <v>150</v>
      </c>
      <c r="H56" s="38"/>
      <c r="I56" s="38"/>
      <c r="J56" s="17" t="str">
        <f>IF(AND(H56&lt;&gt;"",I56&lt;&gt;""),ROUND(H56,3)+ROUND(J55,3)-ROUND(I56,3),IF(AND(EXACT(UPPER(G56),"TBM"),H56&lt;&gt;""),ROUND(H56,3),IF(H56="",J55,IF(ISNA(VLOOKUP(G56,A6:E105,5,FALSE)),IF(ISNA(VLOOKUP(G56,G6:K55,5,FALSE)),"",ROUND(VLOOKUP(G56,G6:K55,5,FALSE),0)/1000+ROUND(H56,3)),ROUND(VLOOKUP(G56,A6:E105,5,FALSE),0)/1000+ROUND(H56,3)))))</f>
        <v/>
      </c>
      <c r="K56" s="18" t="str">
        <f t="shared" si="5"/>
        <v/>
      </c>
      <c r="L56" s="66" t="str">
        <f>IF(AND(NOT(ISNA(VLOOKUP(G56,A6:E105,5,FALSE))),H56="",I56&lt;&gt;""),ROUND((VLOOKUP(G56,A6:E105,5,FALSE)-K56)/1000,3),IF(AND(NOT(ISNA(VLOOKUP(G56,G6:K55,5,FALSE))),H56="",I56&lt;&gt;""),ROUND((VLOOKUP(G56,G6:K55,5,FALSE)-K56)/1000,3),""))</f>
        <v/>
      </c>
      <c r="M56" s="64">
        <f>IF(M55="","",M55+1)</f>
        <v>250</v>
      </c>
      <c r="N56" s="38"/>
      <c r="O56" s="38"/>
      <c r="P56" s="17" t="str">
        <f>IF(AND(N56&lt;&gt;"",O56&lt;&gt;""),ROUND(N56,3)+ROUND(P55,3)-ROUND(O56,3),IF(AND(EXACT(UPPER(M56),"TBM"),N56&lt;&gt;""),ROUND(N56,3),IF(N56="",P55,IF(ISNA(VLOOKUP(M56,A6:E105,5,FALSE)),IF(ISNA(VLOOKUP(M56,G6:K105,5,FALSE)),IF(ISNA(VLOOKUP(M56,M6:Q55,5,FALSE)),"",ROUND(VLOOKUP(M56,M6:Q55,5,FALSE),0)/1000+ROUND(N56,3)),ROUND(VLOOKUP(M56,G6:K105,5,FALSE),0)/1000+ROUND(N56,3)),ROUND(VLOOKUP(M56,A6:E105,5,FALSE),0)/1000+ROUND(N56,3)))))</f>
        <v/>
      </c>
      <c r="Q56" s="18" t="str">
        <f>IF(OR(NOT(EXACT(UPPER(M56),"TBM")),N56=""),IF(AND(N56&lt;&gt;"",O56="",P56&lt;&gt;""),"",IF(AND(N56="",O56&lt;&gt;"",P56&lt;&gt;""),ROUND(ROUND(P56,3)-ROUND(O56,3),3)*1000,IF(AND(N56&lt;&gt;"",O56&lt;&gt;"",P56&lt;&gt;""),ROUND(ROUND(P55,3)-ROUND(O56,3),3)*1000,""))),"")</f>
        <v/>
      </c>
      <c r="R56" s="66" t="str">
        <f>IF(AND(NOT(ISNA(VLOOKUP(M56,A6:E105,5,FALSE))),N56="",O56&lt;&gt;""),ROUND((VLOOKUP(M56,A6:E105,5,FALSE)-Q56)/1000,3),IF(AND(NOT(ISNA(VLOOKUP(M56,G6:K105,5,FALSE))),N56="",O56&lt;&gt;""),ROUND((VLOOKUP(M56,G6:K105,5,FALSE)-Q56)/1000,3),IF(AND(NOT(ISNA(VLOOKUP(M56,M6:Q55,5,FALSE))),N56="",O56&lt;&gt;""),ROUND((VLOOKUP(M56,M6:Q55,5,FALSE)-Q56)/1000,3),"")))</f>
        <v/>
      </c>
      <c r="S56" s="64">
        <f>IF(S55="","",S55+1)</f>
        <v>350</v>
      </c>
      <c r="T56" s="38"/>
      <c r="U56" s="38"/>
      <c r="V56" s="17" t="str">
        <f>IF(AND(T56&lt;&gt;"",U56&lt;&gt;""),ROUND(T56,3)+ROUND(V55,3)-ROUND(U56,3),IF(AND(EXACT(UPPER(S56),"TBM"),T56&lt;&gt;""),ROUND(T56,3),IF(T56="",V55,IF(ISNA(VLOOKUP(S56,A6:E105,5,FALSE)),IF(ISNA(VLOOKUP(S56,G6:K105,5,FALSE)),IF(ISNA(VLOOKUP(S56,M6:Q105,5,FALSE)),IF(ISNA(VLOOKUP(S56,S6:W55,5,FALSE)),"",ROUND(VLOOKUP(S56,S6:W55,5,FALSE),0)/1000+ROUND(T56,3)),ROUND(VLOOKUP(S56,M6:Q105,5,FALSE),0)/1000+ROUND(T56,3)),ROUND(VLOOKUP(S56,G6:K105,5,FALSE),0)/1000+ROUND(T56,3)),ROUND(VLOOKUP(S56,A6:E105,5,FALSE),0)/1000+ROUND(T56,3)))))</f>
        <v/>
      </c>
      <c r="W56" s="18" t="str">
        <f>IF(OR(NOT(EXACT(UPPER(S56),"TBM")),T56=""),IF(AND(T56&lt;&gt;"",U56="",V56&lt;&gt;""),"",IF(AND(T56="",U56&lt;&gt;"",V56&lt;&gt;""),ROUND(ROUND(V56,3)-ROUND(U56,3),3)*1000,IF(AND(T56&lt;&gt;"",U56&lt;&gt;"",V56&lt;&gt;""),ROUND(ROUND(V55,3)-ROUND(U56,3),3)*1000,""))),"")</f>
        <v/>
      </c>
      <c r="X56" s="66" t="str">
        <f>IF(AND(NOT(ISNA(VLOOKUP(S56,A6:E105,5,FALSE))),T56="",U56&lt;&gt;""),ROUND((VLOOKUP(S56,A6:E105,5,FALSE)-W56)/1000,3),IF(AND(NOT(ISNA(VLOOKUP(S56,G6:K105,5,FALSE))),T56="",U56&lt;&gt;""),ROUND((VLOOKUP(S56,G6:K105,5,FALSE)-W56)/1000,3),IF(AND(NOT(ISNA(VLOOKUP(S56,M6:Q105,5,FALSE))),T56="",U56&lt;&gt;""),ROUND((VLOOKUP(S56,M6:Q105,5,FALSE)-W56)/1000,3),IF(AND(NOT(ISNA(VLOOKUP(S56,S6:W55,5,FALSE))),T56="",U56&lt;&gt;""),ROUND((VLOOKUP(S56,S6:W55,5,FALSE)-W56)/1000,3),""))))</f>
        <v/>
      </c>
      <c r="Y56" s="64">
        <f>IF(Y55="","",Y55+1)</f>
        <v>450</v>
      </c>
      <c r="Z56" s="38"/>
      <c r="AA56" s="38"/>
      <c r="AB56" s="17" t="str">
        <f>IF(AND(Z56&lt;&gt;"",AA56&lt;&gt;""),ROUND(Z56,3)+ROUND(AB55,3)-ROUND(AA56,3),IF(AND(EXACT(UPPER(Y56),"TBM"),Z56&lt;&gt;""),ROUND(Z56,3),IF(Z56="",AB55,IF(ISNA(VLOOKUP(Y56,A6:E105,5,FALSE)),IF(ISNA(VLOOKUP(Y56,G6:K105,5,FALSE)),IF(ISNA(VLOOKUP(Y56,M6:Q105,5,FALSE)),IF(ISNA(VLOOKUP(Y56,S6:W105,5,FALSE)),IF(ISNA(VLOOKUP(Y56,Y6:AC55,5,FALSE)),"",ROUND(VLOOKUP(Y56,Y6:AC55,5,FALSE),0)/1000+ROUND(Z56,3)),ROUND(VLOOKUP(Y56,S6:W105,5,FALSE),0)/1000+ROUND(Z56,3)),ROUND(VLOOKUP(Y56,M6:Q105,5,FALSE),0)/1000+ROUND(Z56,3)),ROUND(VLOOKUP(Y56,G6:K105,5,FALSE),0)/1000+ROUND(Z56,3)),ROUND(VLOOKUP(Y56,A6:E105,5,FALSE),0)/1000+ROUND(Z56,3)))))</f>
        <v/>
      </c>
      <c r="AC56" s="18" t="str">
        <f>IF(OR(NOT(EXACT(UPPER(Y56),"TBM")),Z56=""),IF(AND(Z56&lt;&gt;"",AA56="",AB56&lt;&gt;""),"",IF(AND(Z56="",AA56&lt;&gt;"",AB56&lt;&gt;""),ROUND(ROUND(AB56,3)-ROUND(AA56,3),3)*1000,IF(AND(Z56&lt;&gt;"",AA56&lt;&gt;"",AB56&lt;&gt;""),ROUND(ROUND(AB55,3)-ROUND(AA56,3),3)*1000,""))),"")</f>
        <v/>
      </c>
      <c r="AD56" s="66" t="str">
        <f>IF(AND(NOT(ISNA(VLOOKUP(Y56,A6:E105,5,FALSE))),Z56="",AA56&lt;&gt;""),ROUND((VLOOKUP(Y56,A6:E105,5,FALSE)-AC56)/1000,3),IF(AND(NOT(ISNA(VLOOKUP(Y56,G6:K105,5,FALSE))),Z56="",AA56&lt;&gt;""),ROUND((VLOOKUP(Y56,G6:K105,5,FALSE)-AC56)/1000,3),IF(AND(NOT(ISNA(VLOOKUP(Y56,M6:Q105,5,FALSE))),Z56="",AA56&lt;&gt;""),ROUND((VLOOKUP(Y56,M6:Q105,5,FALSE)-AC56)/1000,3),IF(AND(NOT(ISNA(VLOOKUP(Y56,S6:W105,5,FALSE))),Z56="",AA56&lt;&gt;""),ROUND((VLOOKUP(Y56,S6:W105,5,FALSE)-AC56)/1000,3),IF(AND(NOT(ISNA(VLOOKUP(Y56,Y6:AC55,5,FALSE))),Z56="",AA56&lt;&gt;""),ROUND((VLOOKUP(Y56,Y6:AC55,5,FALSE)-AC56)/1000,3),"")))))</f>
        <v/>
      </c>
      <c r="AE56" s="64">
        <f>IF(AE55="","",AE55+1)</f>
        <v>550</v>
      </c>
      <c r="AF56" s="38"/>
      <c r="AG56" s="38"/>
      <c r="AH56" s="17" t="str">
        <f>IF(AND(AF56&lt;&gt;"",AG56&lt;&gt;""),ROUND(AF56,3)+ROUND(AH55,3)-ROUND(AG56,3),IF(AND(EXACT(UPPER(AE56),"TBM"),AF56&lt;&gt;""),ROUND(AF56,3),IF(AF56="",AH55,IF(ISNA(VLOOKUP(AE56,A6:E105,5,FALSE)),IF(ISNA(VLOOKUP(AE56,G6:K105,5,FALSE)),IF(ISNA(VLOOKUP(AE56,M6:Q105,5,FALSE)),IF(ISNA(VLOOKUP(AE56,S6:W105,5,FALSE)),IF(ISNA(VLOOKUP(AE56,Y6:AC105,5,FALSE)),IF(ISNA(VLOOKUP(AE56,AE6:AI55,5,FALSE)),"",ROUND(VLOOKUP(AE56,AE6:AI55,5,FALSE),0)/1000+ROUND(AF56,3)),ROUND(VLOOKUP(AE56,Y6:AC105,5,FALSE),0)/1000+ROUND(AF56,3)),ROUND(VLOOKUP(AE56,S6:W105,5,FALSE),0)/1000+ROUND(AF56,3)),ROUND(VLOOKUP(AE56,M6:Q105,5,FALSE),0)/1000+ROUND(AF56,3)),ROUND(VLOOKUP(AE56,G6:K105,5,FALSE),0)/1000+ROUND(AF56,3)),ROUND(VLOOKUP(AE56,A6:E105,5,FALSE),0)/1000+ROUND(AF56,3)))))</f>
        <v/>
      </c>
      <c r="AI56" s="18" t="str">
        <f>IF(OR(NOT(EXACT(UPPER(AE56),"TBM")),AF56=""),IF(AND(AF56&lt;&gt;"",AG56="",AH56&lt;&gt;""),"",IF(AND(AF56="",AG56&lt;&gt;"",AH56&lt;&gt;""),ROUND(ROUND(AH56,3)-ROUND(AG56,3),3)*1000,IF(AND(AF56&lt;&gt;"",AG56&lt;&gt;"",AH56&lt;&gt;""),ROUND(ROUND(AH55,3)-ROUND(AG56,3),3)*1000,""))),"")</f>
        <v/>
      </c>
      <c r="AJ56" s="66" t="str">
        <f>IF(AND(NOT(ISNA(VLOOKUP(AE56,A6:E105,5,FALSE))),AF56="",AG56&lt;&gt;""),ROUND((VLOOKUP(AE56,A6:E105,5,FALSE)-AI56)/1000,3),IF(AND(NOT(ISNA(VLOOKUP(AE56,G6:K105,5,FALSE))),AF56="",AG56&lt;&gt;""),ROUND((VLOOKUP(AE56,G6:K105,5,FALSE)-AI56)/1000,3),IF(AND(NOT(ISNA(VLOOKUP(AE56,M6:Q105,5,FALSE))),AF56="",AG56&lt;&gt;""),ROUND((VLOOKUP(AE56,M6:Q105,5,FALSE)-AI56)/1000,3),IF(AND(NOT(ISNA(VLOOKUP(AE56,S6:W105,5,FALSE))),AF56="",AG56&lt;&gt;""),ROUND((VLOOKUP(AE56,S6:W105,5,FALSE)-AI56)/1000,3),IF(AND(NOT(ISNA(VLOOKUP(AE56,Y6:AC105,5,FALSE))),AF56="",AG56&lt;&gt;""),ROUND((VLOOKUP(AE56,Y6:AC105,5,FALSE)-AI56)/1000,3),IF(AND(NOT(ISNA(VLOOKUP(AE56,AE6:AI55,5,FALSE))),AF56="",AG56&lt;&gt;""),ROUND((VLOOKUP(AE56,AE6:AI55,5,FALSE)-AI56)/1000,3),""))))))</f>
        <v/>
      </c>
      <c r="AK56" s="64">
        <f>IF(AK55="","",AK55+1)</f>
        <v>650</v>
      </c>
      <c r="AL56" s="38"/>
      <c r="AM56" s="38"/>
      <c r="AN56" s="17" t="str">
        <f>IF(AND(AL56&lt;&gt;"",AM56&lt;&gt;""),ROUND(AL56,3)+ROUND(AN55,3)-ROUND(AM56,3),IF(AND(EXACT(UPPER(AK56),"TBM"),AL56&lt;&gt;""),ROUND(AL56,3),IF(AL56="",AN55,IF(ISNA(VLOOKUP(AK56,A6:E105,5,FALSE)),IF(ISNA(VLOOKUP(AK56,G6:K105,5,FALSE)),IF(ISNA(VLOOKUP(AK56,M6:Q105,5,FALSE)),IF(ISNA(VLOOKUP(AK56,S6:W105,5,FALSE)),IF(ISNA(VLOOKUP(AK56,Y6:AC105,5,FALSE)),IF(ISNA(VLOOKUP(AK56,AE6:AI105,5,FALSE)),IF(ISNA(VLOOKUP(AK56,AK6:AO55,5,FALSE)),"",ROUND(VLOOKUP(AK56,AK6:AO55,5,FALSE),0)/1000+ROUND(AL56,3)),ROUND(VLOOKUP(AK56,AE6:AI105,5,FALSE),0)/1000+ROUND(AL56,3)),ROUND(VLOOKUP(AK56,Y6:AC105,5,FALSE),0)/1000+ROUND(AL56,3)),ROUND(VLOOKUP(AK56,S6:W105,5,FALSE),0)/1000+ROUND(AL56,3)),ROUND(VLOOKUP(AK56,M6:Q105,5,FALSE),0)/1000+ROUND(AL56,3)),ROUND(VLOOKUP(AK56,G6:K105,5,FALSE),0)/1000+ROUND(AL56,3)),ROUND(VLOOKUP(AK56,A6:E105,5,FALSE),0)/1000+ROUND(AL56,3)))))</f>
        <v/>
      </c>
      <c r="AO56" s="18" t="str">
        <f>IF(OR(NOT(EXACT(UPPER(AK56),"TBM")),AL56=""),IF(AND(AL56&lt;&gt;"",AM56="",AN56&lt;&gt;""),"",IF(AND(AL56="",AM56&lt;&gt;"",AN56&lt;&gt;""),ROUND(ROUND(AN56,3)-ROUND(AM56,3),3)*1000,IF(AND(AL56&lt;&gt;"",AM56&lt;&gt;"",AN56&lt;&gt;""),ROUND(ROUND(AN55,3)-ROUND(AM56,3),3)*1000,""))),"")</f>
        <v/>
      </c>
      <c r="AP56" s="66" t="str">
        <f>IF(AND(NOT(ISNA(VLOOKUP(AK56,A6:E105,5,FALSE))),AL56="",AM56&lt;&gt;""),ROUND((VLOOKUP(AK56,A6:E105,5,FALSE)-AO56)/1000,3),IF(AND(NOT(ISNA(VLOOKUP(AK56,G6:K105,5,FALSE))),AL56="",AM56&lt;&gt;""),ROUND((VLOOKUP(AK56,G6:K105,5,FALSE)-AO56)/1000,3),IF(AND(NOT(ISNA(VLOOKUP(AK56,M6:Q105,5,FALSE))),AL56="",AM56&lt;&gt;""),ROUND((VLOOKUP(AK56,M6:Q105,5,FALSE)-AO56)/1000,3),IF(AND(NOT(ISNA(VLOOKUP(AK56,S6:W105,5,FALSE))),AL56="",AM56&lt;&gt;""),ROUND((VLOOKUP(AK56,S6:W105,5,FALSE)-AO56)/1000,3),IF(AND(NOT(ISNA(VLOOKUP(AK56,Y6:AC105,5,FALSE))),AL56="",AM56&lt;&gt;""),ROUND((VLOOKUP(AK56,Y6:AC105,5,FALSE)-AO56)/1000,3),IF(AND(NOT(ISNA(VLOOKUP(AK56,AE6:AI105,5,FALSE))),AL56="",AM56&lt;&gt;""),ROUND((VLOOKUP(AK56,AE6:AI105,5,FALSE)-AO56)/1000,3),IF(AND(NOT(ISNA(VLOOKUP(AK56,AK6:AO55,5,FALSE))),AL56="",AM56&lt;&gt;""),ROUND((VLOOKUP(AK56,AK6:AO55,5,FALSE)-AO56)/1000,3),"")))))))</f>
        <v/>
      </c>
      <c r="AQ56" s="64">
        <f>IF(AQ55="","",AQ55+1)</f>
        <v>750</v>
      </c>
      <c r="AR56" s="38"/>
      <c r="AS56" s="38"/>
      <c r="AT56" s="17" t="str">
        <f>IF(AND(AR56&lt;&gt;"",AS56&lt;&gt;""),ROUND(AR56,3)+ROUND(AT55,3)-ROUND(AS56,3),IF(AND(EXACT(UPPER(AQ56),"TBM"),AR56&lt;&gt;""),ROUND(AR56,3),IF(AR56="",AT55,IF(ISNA(VLOOKUP(AQ56,A6:E105,5,FALSE)),IF(ISNA(VLOOKUP(AQ56,G6:K105,5,FALSE)),IF(ISNA(VLOOKUP(AQ56,M6:Q105,5,FALSE)),IF(ISNA(VLOOKUP(AQ56,S6:W105,5,FALSE)),IF(ISNA(VLOOKUP(AQ56,Y6:AC105,5,FALSE)),IF(ISNA(VLOOKUP(AQ56,AE6:AI105,5,FALSE)),IF(ISNA(VLOOKUP(AQ56,AK6:AO105,5,FALSE)),IF(ISNA(VLOOKUP(AQ56,AQ6:AU55,5,FALSE)),"",ROUND(VLOOKUP(AQ56,AQ6:AU55,5,FALSE),0)/1000+ROUND(AR56,3)),ROUND(VLOOKUP(AQ56,AK6:AO105,5,FALSE),0)/1000+ROUND(AR56,3)),ROUND(VLOOKUP(AQ56,AE6:AI105,5,FALSE),0)/1000+ROUND(AR56,3)),ROUND(VLOOKUP(AQ56,Y6:AC105,5,FALSE),0)/1000+ROUND(AR56,3)),ROUND(VLOOKUP(AQ56,S6:W105,5,FALSE),0)/1000+ROUND(AR56,3)),ROUND(VLOOKUP(AQ56,M6:Q105,5,FALSE),0)/1000+ROUND(AR56,3)),ROUND(VLOOKUP(AQ56,G6:K105,5,FALSE),0)/1000+ROUND(AR56,3)),ROUND(VLOOKUP(AQ56,A6:E105,5,FALSE),0)/1000+ROUND(AR56,3)))))</f>
        <v/>
      </c>
      <c r="AU56" s="18" t="str">
        <f>IF(OR(NOT(EXACT(UPPER(AQ56),"TBM")),AR56=""),IF(AND(AR56&lt;&gt;"",AS56="",AT56&lt;&gt;""),"",IF(AND(AR56="",AS56&lt;&gt;"",AT56&lt;&gt;""),ROUND(ROUND(AT56,3)-ROUND(AS56,3),3)*1000,IF(AND(AR56&lt;&gt;"",AS56&lt;&gt;"",AT56&lt;&gt;""),ROUND(ROUND(AT55,3)-ROUND(AS56,3),3)*1000,""))),"")</f>
        <v/>
      </c>
      <c r="AV56" s="66" t="str">
        <f>IF(AND(NOT(ISNA(VLOOKUP(AQ56,A6:E105,5,FALSE))),AR56="",AS56&lt;&gt;""),ROUND((VLOOKUP(AQ56,A6:E105,5,FALSE)-AU56)/1000,3),IF(AND(NOT(ISNA(VLOOKUP(AQ56,G6:K105,5,FALSE))),AR56="",AS56&lt;&gt;""),ROUND((VLOOKUP(AQ56,G6:K105,5,FALSE)-AU56)/1000,3),IF(AND(NOT(ISNA(VLOOKUP(AQ56,M6:Q105,5,FALSE))),AR56="",AS56&lt;&gt;""),ROUND((VLOOKUP(AQ56,M6:Q105,5,FALSE)-AU56)/1000,3),IF(AND(NOT(ISNA(VLOOKUP(AQ56,S6:W105,5,FALSE))),AR56="",AS56&lt;&gt;""),ROUND((VLOOKUP(AQ56,S6:W105,5,FALSE)-AU56)/1000,3),IF(AND(NOT(ISNA(VLOOKUP(AQ56,Y6:AC105,5,FALSE))),AR56="",AS56&lt;&gt;""),ROUND((VLOOKUP(AQ56,Y6:AC105,5,FALSE)-AU56)/1000,3),IF(AND(NOT(ISNA(VLOOKUP(AQ56,AE6:AI105,5,FALSE))),AR56="",AS56&lt;&gt;""),ROUND((VLOOKUP(AQ56,AE6:AI105,5,FALSE)-AU56)/1000,3),IF(AND(NOT(ISNA(VLOOKUP(AQ56,AK6:AO105,5,FALSE))),AR56="",AS56&lt;&gt;""),ROUND((VLOOKUP(AQ56,AK6:AO105,5,FALSE)-AU56)/1000,3),IF(AND(NOT(ISNA(VLOOKUP(AQ56,AQ6:AU55,5,FALSE))),AR56="",AS56&lt;&gt;""),ROUND((VLOOKUP(AQ56,AQ6:AU55,5,FALSE)-AU56)/1000,3),""))))))))</f>
        <v/>
      </c>
      <c r="AW56" s="64">
        <f>IF(AW55="","",AW55+1)</f>
        <v>850</v>
      </c>
      <c r="AX56" s="38"/>
      <c r="AY56" s="38"/>
      <c r="AZ56" s="17" t="str">
        <f>IF(AND(AX56&lt;&gt;"",AY56&lt;&gt;""),ROUND(AX56,3)+ROUND(AZ55,3)-ROUND(AY56,3),IF(AND(EXACT(UPPER(AW56),"TBM"),AX56&lt;&gt;""),ROUND(AX56,3),IF(AX56="",AZ55,IF(ISNA(VLOOKUP(AW56,A6:E105,5,FALSE)),IF(ISNA(VLOOKUP(AW56,G6:K105,5,FALSE)),IF(ISNA(VLOOKUP(AW56,M6:Q105,5,FALSE)),IF(ISNA(VLOOKUP(AW56,S6:W105,5,FALSE)),IF(ISNA(VLOOKUP(AW56,Y6:AC105,5,FALSE)),IF(ISNA(VLOOKUP(AW56,AE6:AI105,5,FALSE)),IF(ISNA(VLOOKUP(AW56,AK6:AO105,5,FALSE)),IF(ISNA(VLOOKUP(AW56,AQ6:AU105,5,FALSE)),IF(ISNA(VLOOKUP(AW56,AW6:BA55,5,FALSE)),"",ROUND(VLOOKUP(AW56,AW6:BA55,5,FALSE),0)/1000+ROUND(AX56,3)),ROUND(VLOOKUP(AW56,AQ6:AU105,5,FALSE),0)/1000+ROUND(AX56,3)),ROUND(VLOOKUP(AW56,AK6:AO105,5,FALSE),0)/1000+ROUND(AX56,3)),ROUND(VLOOKUP(AW56,AE6:AI105,5,FALSE),0)/1000+ROUND(AX56,3)),ROUND(VLOOKUP(AW56,Y6:AC105,5,FALSE),0)/1000+ROUND(AX56,3)),ROUND(VLOOKUP(AW56,S6:W105,5,FALSE),0)/1000+ROUND(AX56,3)),ROUND(VLOOKUP(AW56,M6:Q105,5,FALSE),0)/1000+ROUND(AX56,3)),ROUND(VLOOKUP(AW56,G6:K105,5,FALSE),0)/1000+ROUND(AX56,3)),ROUND(VLOOKUP(AW56,A6:E105,5,FALSE),0)/1000+ROUND(AX56,3)))))</f>
        <v/>
      </c>
      <c r="BA56" s="18" t="str">
        <f>IF(OR(NOT(EXACT(UPPER(AW56),"TBM")),AX56=""),IF(AND(AX56&lt;&gt;"",AY56="",AZ56&lt;&gt;""),"",IF(AND(AX56="",AY56&lt;&gt;"",AZ56&lt;&gt;""),ROUND(ROUND(AZ56,3)-ROUND(AY56,3),3)*1000,IF(AND(AX56&lt;&gt;"",AY56&lt;&gt;"",AZ56&lt;&gt;""),ROUND(ROUND(AZ55,3)-ROUND(AY56,3),3)*1000,""))),"")</f>
        <v/>
      </c>
      <c r="BB56" s="66" t="str">
        <f>IF(AND(NOT(ISNA(VLOOKUP(AW56,A6:E105,5,FALSE))),AX56="",AY56&lt;&gt;""),ROUND((VLOOKUP(AW56,A6:E105,5,FALSE)-BA56)/1000,3),IF(AND(NOT(ISNA(VLOOKUP(AW56,G6:K105,5,FALSE))),AX56="",AY56&lt;&gt;""),ROUND((VLOOKUP(AW56,G6:K105,5,FALSE)-BA56)/1000,3),IF(AND(NOT(ISNA(VLOOKUP(AW56,M6:Q105,5,FALSE))),AX56="",AY56&lt;&gt;""),ROUND((VLOOKUP(AW56,M6:Q105,5,FALSE)-BA56)/1000,3),IF(AND(NOT(ISNA(VLOOKUP(AW56,S6:W105,5,FALSE))),AX56="",AY56&lt;&gt;""),ROUND((VLOOKUP(AW56,S6:W105,5,FALSE)-BA56)/1000,3),IF(AND(NOT(ISNA(VLOOKUP(AW56,Y6:AC105,5,FALSE))),AX56="",AY56&lt;&gt;""),ROUND((VLOOKUP(AW56,Y6:AC105,5,FALSE)-BA56)/1000,3),IF(AND(NOT(ISNA(VLOOKUP(AW56,AE6:AI105,5,FALSE))),AX56="",AY56&lt;&gt;""),ROUND((VLOOKUP(AW56,AE6:AI105,5,FALSE)-BA56)/1000,3),IF(AND(NOT(ISNA(VLOOKUP(AW56,AK6:AO105,5,FALSE))),AX56="",AY56&lt;&gt;""),ROUND((VLOOKUP(AW56,AK6:AO105,5,FALSE)-BA56)/1000,3),IF(AND(NOT(ISNA(VLOOKUP(AW56,AQ6:AU105,5,FALSE))),AX56="",AY56&lt;&gt;""),ROUND((VLOOKUP(AW56,AQ6:AU105,5,FALSE)-BA56)/1000,3),IF(AND(NOT(ISNA(VLOOKUP(AW56,AW6:BA55,5,FALSE))),AX56="",AY56&lt;&gt;""),ROUND((VLOOKUP(AW56,AW6:BA55,5,FALSE)-BA56)/1000,3),"")))))))))</f>
        <v/>
      </c>
      <c r="BC56" s="64">
        <f>IF(BC55="","",BC55+1)</f>
        <v>950</v>
      </c>
      <c r="BD56" s="38"/>
      <c r="BE56" s="38"/>
      <c r="BF56" s="17" t="str">
        <f>IF(AND(BD56&lt;&gt;"",BE56&lt;&gt;""),ROUND(BD56,3)+ROUND(BF55,3)-ROUND(BE56,3),IF(AND(EXACT(UPPER(BC56),"TBM"),BD56&lt;&gt;""),ROUND(BD56,3),IF(BD56="",BF55,IF(ISNA(VLOOKUP(BC56,A6:E105,5,FALSE)),IF(ISNA(VLOOKUP(BC56,G6:K105,5,FALSE)),IF(ISNA(VLOOKUP(BC56,M6:Q105,5,FALSE)),IF(ISNA(VLOOKUP(BC56,S6:W105,5,FALSE)),IF(ISNA(VLOOKUP(BC56,Y6:AC105,5,FALSE)),IF(ISNA(VLOOKUP(BC56,AE6:AI105,5,FALSE)),IF(ISNA(VLOOKUP(BC56,AK6:AO105,5,FALSE)),IF(ISNA(VLOOKUP(BC56,AQ6:AU105,5,FALSE)),IF(ISNA(VLOOKUP(BC56,AW6:BA105,5,FALSE)),IF(ISNA(VLOOKUP(BC56,BC6:BG55,5,FALSE)),"",ROUND(VLOOKUP(BC56,BC6:BG55,5,FALSE),0)/1000+ROUND(BD56,3)),ROUND(VLOOKUP(BC56,AW6:BA105,5,FALSE),0)/1000+ROUND(BD56,3)),ROUND(VLOOKUP(BC56,AQ6:AU105,5,FALSE),0)/1000+ROUND(BD56,3)),ROUND(VLOOKUP(BC56,AK6:AO105,5,FALSE),0)/1000+ROUND(BD56,3)),ROUND(VLOOKUP(BC56,AE6:AI105,5,FALSE),0)/1000+ROUND(BD56,3)),ROUND(VLOOKUP(BC56,Y6:AC105,5,FALSE),0)/1000+ROUND(BD56,3)),ROUND(VLOOKUP(BC56,S6:W105,5,FALSE),0)/1000+ROUND(BD56,3)),ROUND(VLOOKUP(BC56,M6:Q105,5,FALSE),0)/1000+ROUND(BD56,3)),ROUND(VLOOKUP(BC56,G6:K105,5,FALSE),0)/1000+ROUND(BD56,3)),ROUND(VLOOKUP(BC56,A6:E105,5,FALSE),0)/1000+ROUND(BD56,3)))))</f>
        <v/>
      </c>
      <c r="BG56" s="18" t="str">
        <f>IF(OR(NOT(EXACT(UPPER(BC56),"TBM")),BD56=""),IF(AND(BD56&lt;&gt;"",BE56="",BF56&lt;&gt;""),"",IF(AND(BD56="",BE56&lt;&gt;"",BF56&lt;&gt;""),ROUND(ROUND(BF56,3)-ROUND(BE56,3),3)*1000,IF(AND(BD56&lt;&gt;"",BE56&lt;&gt;"",BF56&lt;&gt;""),ROUND(ROUND(BF55,3)-ROUND(BE56,3),3)*1000,""))),"")</f>
        <v/>
      </c>
      <c r="BH56" s="66" t="str">
        <f>IF(AND(NOT(ISNA(VLOOKUP(BC56,A6:E105,5,FALSE))),BD56="",BE56&lt;&gt;""),ROUND((VLOOKUP(BC56,A6:E105,5,FALSE)-BG56)/1000,3),IF(AND(NOT(ISNA(VLOOKUP(BC56,G6:K105,5,FALSE))),BD56="",BE56&lt;&gt;""),ROUND((VLOOKUP(BC56,G6:K105,5,FALSE)-BG56)/1000,3),IF(AND(NOT(ISNA(VLOOKUP(BC56,M6:Q105,5,FALSE))),BD56="",BE56&lt;&gt;""),ROUND((VLOOKUP(BC56,M6:Q105,5,FALSE)-BG56)/1000,3),IF(AND(NOT(ISNA(VLOOKUP(BC56,S6:W105,5,FALSE))),BD56="",BE56&lt;&gt;""),ROUND((VLOOKUP(BC56,S6:W105,5,FALSE)-BG56)/1000,3),IF(AND(NOT(ISNA(VLOOKUP(BC56,Y6:AC105,5,FALSE))),BD56="",BE56&lt;&gt;""),ROUND((VLOOKUP(BC56,Y6:AC105,5,FALSE)-BG56)/1000,3),IF(AND(NOT(ISNA(VLOOKUP(BC56,AE6:AI105,5,FALSE))),BD56="",BE56&lt;&gt;""),ROUND((VLOOKUP(BC56,AE6:AI105,5,FALSE)-BG56)/1000,3),IF(AND(NOT(ISNA(VLOOKUP(BC56,AK6:AO105,5,FALSE))),BD56="",BE56&lt;&gt;""),ROUND((VLOOKUP(BC56,AK6:AO105,5,FALSE)-BG56)/1000,3),IF(AND(NOT(ISNA(VLOOKUP(BC56,AQ6:AU105,5,FALSE))),BD56="",BE56&lt;&gt;""),ROUND((VLOOKUP(BC56,AQ6:AU105,5,FALSE)-BG56)/1000,3),IF(AND(NOT(ISNA(VLOOKUP(BC56,AW6:BA105,5,FALSE))),BD56="",BE56&lt;&gt;""),ROUND((VLOOKUP(BC56,AW6:BA105,5,FALSE)-BG56)/1000,3),IF(AND(NOT(ISNA(VLOOKUP(BC56,BC6:BG55,5,FALSE))),BD56="",BE56&lt;&gt;""),ROUND((VLOOKUP(BC56,BC6:BG55,5,FALSE)-BG56)/1000,3),""))))))))))</f>
        <v/>
      </c>
    </row>
    <row r="57" spans="1:60" x14ac:dyDescent="0.25">
      <c r="A57" s="19">
        <f t="shared" si="3"/>
        <v>51</v>
      </c>
      <c r="B57" s="39"/>
      <c r="C57" s="39"/>
      <c r="D57" s="15" t="str">
        <f>IF(AND(B57&lt;&gt;"",C57&lt;&gt;""),ROUND(B57,3)+ROUND(D56,3)-ROUND(C57,3),IF(AND(EXACT(UPPER(A57),"TBM"),B57&lt;&gt;""),ROUND(B57,3),IF(B57="",D56,IF(ISNA(VLOOKUP(A57,A6:E56,5,FALSE)),"",ROUND(VLOOKUP(A57,A6:E56,5,FALSE),0)/1000+ROUND(B57,3)))))</f>
        <v/>
      </c>
      <c r="E57" s="21" t="str">
        <f t="shared" si="4"/>
        <v/>
      </c>
      <c r="F57" s="45" t="str">
        <f>IF(AND(NOT(ISNA(VLOOKUP(A57,A6:E56,5,FALSE))),B57="",C57&lt;&gt;""),ROUND((VLOOKUP(A57,A6:E56,5,FALSE)-E57)/1000,3),"")</f>
        <v/>
      </c>
      <c r="G57" s="19">
        <f t="shared" si="1"/>
        <v>151</v>
      </c>
      <c r="H57" s="39"/>
      <c r="I57" s="39"/>
      <c r="J57" s="15" t="str">
        <f>IF(AND(H57&lt;&gt;"",I57&lt;&gt;""),ROUND(H57,3)+ROUND(J56,3)-ROUND(I57,3),IF(AND(EXACT(UPPER(G57),"TBM"),H57&lt;&gt;""),ROUND(H57,3),IF(H57="",J56,IF(ISNA(VLOOKUP(G57,A6:E105,5,FALSE)),IF(ISNA(VLOOKUP(G57,G6:K56,5,FALSE)),"",ROUND(VLOOKUP(G57,G6:K56,5,FALSE),0)/1000+ROUND(H57,3)),ROUND(VLOOKUP(G57,A6:E105,5,FALSE),0)/1000+ROUND(H57,3)))))</f>
        <v/>
      </c>
      <c r="K57" s="18" t="str">
        <f t="shared" si="5"/>
        <v/>
      </c>
      <c r="L57" s="45" t="str">
        <f>IF(AND(NOT(ISNA(VLOOKUP(G57,A6:E105,5,FALSE))),H57="",I57&lt;&gt;""),ROUND((VLOOKUP(G57,A6:E105,5,FALSE)-K57)/1000,3),IF(AND(NOT(ISNA(VLOOKUP(G57,G6:K56,5,FALSE))),H57="",I57&lt;&gt;""),ROUND((VLOOKUP(G57,G6:K56,5,FALSE)-K57)/1000,3),""))</f>
        <v/>
      </c>
      <c r="M57" s="19">
        <f>IF(M56="","",M56+1)</f>
        <v>251</v>
      </c>
      <c r="N57" s="39"/>
      <c r="O57" s="39"/>
      <c r="P57" s="15" t="str">
        <f>IF(AND(N57&lt;&gt;"",O57&lt;&gt;""),ROUND(N57,3)+ROUND(P56,3)-ROUND(O57,3),IF(AND(EXACT(UPPER(M57),"TBM"),N57&lt;&gt;""),ROUND(N57,3),IF(N57="",P56,IF(ISNA(VLOOKUP(M57,A6:E105,5,FALSE)),IF(ISNA(VLOOKUP(M57,G6:K105,5,FALSE)),IF(ISNA(VLOOKUP(M57,M6:Q56,5,FALSE)),"",ROUND(VLOOKUP(M57,M6:Q56,5,FALSE),0)/1000+ROUND(N57,3)),ROUND(VLOOKUP(M57,G6:K105,5,FALSE),0)/1000+ROUND(N57,3)),ROUND(VLOOKUP(M57,A6:E105,5,FALSE),0)/1000+ROUND(N57,3)))))</f>
        <v/>
      </c>
      <c r="Q57" s="18" t="str">
        <f>IF(OR(NOT(EXACT(UPPER(M57),"TBM")),N57=""),IF(AND(N57&lt;&gt;"",O57="",P57&lt;&gt;""),"",IF(AND(N57="",O57&lt;&gt;"",P57&lt;&gt;""),ROUND(ROUND(P57,3)-ROUND(O57,3),3)*1000,IF(AND(N57&lt;&gt;"",O57&lt;&gt;"",P57&lt;&gt;""),ROUND(ROUND(P56,3)-ROUND(O57,3),3)*1000,""))),"")</f>
        <v/>
      </c>
      <c r="R57" s="45" t="str">
        <f>IF(AND(NOT(ISNA(VLOOKUP(M57,A6:E105,5,FALSE))),N57="",O57&lt;&gt;""),ROUND((VLOOKUP(M57,A6:E105,5,FALSE)-Q57)/1000,3),IF(AND(NOT(ISNA(VLOOKUP(M57,G6:K105,5,FALSE))),N57="",O57&lt;&gt;""),ROUND((VLOOKUP(M57,G6:K105,5,FALSE)-Q57)/1000,3),IF(AND(NOT(ISNA(VLOOKUP(M57,M6:Q56,5,FALSE))),N57="",O57&lt;&gt;""),ROUND((VLOOKUP(M57,M6:Q56,5,FALSE)-Q57)/1000,3),"")))</f>
        <v/>
      </c>
      <c r="S57" s="19">
        <f>IF(S56="","",S56+1)</f>
        <v>351</v>
      </c>
      <c r="T57" s="39"/>
      <c r="U57" s="39"/>
      <c r="V57" s="15" t="str">
        <f>IF(AND(T57&lt;&gt;"",U57&lt;&gt;""),ROUND(T57,3)+ROUND(V56,3)-ROUND(U57,3),IF(AND(EXACT(UPPER(S57),"TBM"),T57&lt;&gt;""),ROUND(T57,3),IF(T57="",V56,IF(ISNA(VLOOKUP(S57,A6:E105,5,FALSE)),IF(ISNA(VLOOKUP(S57,G6:K105,5,FALSE)),IF(ISNA(VLOOKUP(S57,M6:Q105,5,FALSE)),IF(ISNA(VLOOKUP(S57,S6:W56,5,FALSE)),"",ROUND(VLOOKUP(S57,S6:W56,5,FALSE),0)/1000+ROUND(T57,3)),ROUND(VLOOKUP(S57,M6:Q105,5,FALSE),0)/1000+ROUND(T57,3)),ROUND(VLOOKUP(S57,G6:K105,5,FALSE),0)/1000+ROUND(T57,3)),ROUND(VLOOKUP(S57,A6:E105,5,FALSE),0)/1000+ROUND(T57,3)))))</f>
        <v/>
      </c>
      <c r="W57" s="18" t="str">
        <f>IF(OR(NOT(EXACT(UPPER(S57),"TBM")),T57=""),IF(AND(T57&lt;&gt;"",U57="",V57&lt;&gt;""),"",IF(AND(T57="",U57&lt;&gt;"",V57&lt;&gt;""),ROUND(ROUND(V57,3)-ROUND(U57,3),3)*1000,IF(AND(T57&lt;&gt;"",U57&lt;&gt;"",V57&lt;&gt;""),ROUND(ROUND(V56,3)-ROUND(U57,3),3)*1000,""))),"")</f>
        <v/>
      </c>
      <c r="X57" s="45" t="str">
        <f>IF(AND(NOT(ISNA(VLOOKUP(S57,A6:E105,5,FALSE))),T57="",U57&lt;&gt;""),ROUND((VLOOKUP(S57,A6:E105,5,FALSE)-W57)/1000,3),IF(AND(NOT(ISNA(VLOOKUP(S57,G6:K105,5,FALSE))),T57="",U57&lt;&gt;""),ROUND((VLOOKUP(S57,G6:K105,5,FALSE)-W57)/1000,3),IF(AND(NOT(ISNA(VLOOKUP(S57,M6:Q105,5,FALSE))),T57="",U57&lt;&gt;""),ROUND((VLOOKUP(S57,M6:Q105,5,FALSE)-W57)/1000,3),IF(AND(NOT(ISNA(VLOOKUP(S57,S6:W56,5,FALSE))),T57="",U57&lt;&gt;""),ROUND((VLOOKUP(S57,S6:W56,5,FALSE)-W57)/1000,3),""))))</f>
        <v/>
      </c>
      <c r="Y57" s="19">
        <f>IF(Y56="","",Y56+1)</f>
        <v>451</v>
      </c>
      <c r="Z57" s="39"/>
      <c r="AA57" s="39"/>
      <c r="AB57" s="15" t="str">
        <f>IF(AND(Z57&lt;&gt;"",AA57&lt;&gt;""),ROUND(Z57,3)+ROUND(AB56,3)-ROUND(AA57,3),IF(AND(EXACT(UPPER(Y57),"TBM"),Z57&lt;&gt;""),ROUND(Z57,3),IF(Z57="",AB56,IF(ISNA(VLOOKUP(Y57,A6:E105,5,FALSE)),IF(ISNA(VLOOKUP(Y57,G6:K105,5,FALSE)),IF(ISNA(VLOOKUP(Y57,M6:Q105,5,FALSE)),IF(ISNA(VLOOKUP(Y57,S6:W105,5,FALSE)),IF(ISNA(VLOOKUP(Y57,Y6:AC56,5,FALSE)),"",ROUND(VLOOKUP(Y57,Y6:AC56,5,FALSE),0)/1000+ROUND(Z57,3)),ROUND(VLOOKUP(Y57,S6:W105,5,FALSE),0)/1000+ROUND(Z57,3)),ROUND(VLOOKUP(Y57,M6:Q105,5,FALSE),0)/1000+ROUND(Z57,3)),ROUND(VLOOKUP(Y57,G6:K105,5,FALSE),0)/1000+ROUND(Z57,3)),ROUND(VLOOKUP(Y57,A6:E105,5,FALSE),0)/1000+ROUND(Z57,3)))))</f>
        <v/>
      </c>
      <c r="AC57" s="18" t="str">
        <f>IF(OR(NOT(EXACT(UPPER(Y57),"TBM")),Z57=""),IF(AND(Z57&lt;&gt;"",AA57="",AB57&lt;&gt;""),"",IF(AND(Z57="",AA57&lt;&gt;"",AB57&lt;&gt;""),ROUND(ROUND(AB57,3)-ROUND(AA57,3),3)*1000,IF(AND(Z57&lt;&gt;"",AA57&lt;&gt;"",AB57&lt;&gt;""),ROUND(ROUND(AB56,3)-ROUND(AA57,3),3)*1000,""))),"")</f>
        <v/>
      </c>
      <c r="AD57" s="45" t="str">
        <f>IF(AND(NOT(ISNA(VLOOKUP(Y57,A6:E105,5,FALSE))),Z57="",AA57&lt;&gt;""),ROUND((VLOOKUP(Y57,A6:E105,5,FALSE)-AC57)/1000,3),IF(AND(NOT(ISNA(VLOOKUP(Y57,G6:K105,5,FALSE))),Z57="",AA57&lt;&gt;""),ROUND((VLOOKUP(Y57,G6:K105,5,FALSE)-AC57)/1000,3),IF(AND(NOT(ISNA(VLOOKUP(Y57,M6:Q105,5,FALSE))),Z57="",AA57&lt;&gt;""),ROUND((VLOOKUP(Y57,M6:Q105,5,FALSE)-AC57)/1000,3),IF(AND(NOT(ISNA(VLOOKUP(Y57,S6:W105,5,FALSE))),Z57="",AA57&lt;&gt;""),ROUND((VLOOKUP(Y57,S6:W105,5,FALSE)-AC57)/1000,3),IF(AND(NOT(ISNA(VLOOKUP(Y57,Y6:AC56,5,FALSE))),Z57="",AA57&lt;&gt;""),ROUND((VLOOKUP(Y57,Y6:AC56,5,FALSE)-AC57)/1000,3),"")))))</f>
        <v/>
      </c>
      <c r="AE57" s="19">
        <f>IF(AE56="","",AE56+1)</f>
        <v>551</v>
      </c>
      <c r="AF57" s="39"/>
      <c r="AG57" s="39"/>
      <c r="AH57" s="15" t="str">
        <f>IF(AND(AF57&lt;&gt;"",AG57&lt;&gt;""),ROUND(AF57,3)+ROUND(AH56,3)-ROUND(AG57,3),IF(AND(EXACT(UPPER(AE57),"TBM"),AF57&lt;&gt;""),ROUND(AF57,3),IF(AF57="",AH56,IF(ISNA(VLOOKUP(AE57,A6:E105,5,FALSE)),IF(ISNA(VLOOKUP(AE57,G6:K105,5,FALSE)),IF(ISNA(VLOOKUP(AE57,M6:Q105,5,FALSE)),IF(ISNA(VLOOKUP(AE57,S6:W105,5,FALSE)),IF(ISNA(VLOOKUP(AE57,Y6:AC105,5,FALSE)),IF(ISNA(VLOOKUP(AE57,AE6:AI56,5,FALSE)),"",ROUND(VLOOKUP(AE57,AE6:AI56,5,FALSE),0)/1000+ROUND(AF57,3)),ROUND(VLOOKUP(AE57,Y6:AC105,5,FALSE),0)/1000+ROUND(AF57,3)),ROUND(VLOOKUP(AE57,S6:W105,5,FALSE),0)/1000+ROUND(AF57,3)),ROUND(VLOOKUP(AE57,M6:Q105,5,FALSE),0)/1000+ROUND(AF57,3)),ROUND(VLOOKUP(AE57,G6:K105,5,FALSE),0)/1000+ROUND(AF57,3)),ROUND(VLOOKUP(AE57,A6:E105,5,FALSE),0)/1000+ROUND(AF57,3)))))</f>
        <v/>
      </c>
      <c r="AI57" s="18" t="str">
        <f>IF(OR(NOT(EXACT(UPPER(AE57),"TBM")),AF57=""),IF(AND(AF57&lt;&gt;"",AG57="",AH57&lt;&gt;""),"",IF(AND(AF57="",AG57&lt;&gt;"",AH57&lt;&gt;""),ROUND(ROUND(AH57,3)-ROUND(AG57,3),3)*1000,IF(AND(AF57&lt;&gt;"",AG57&lt;&gt;"",AH57&lt;&gt;""),ROUND(ROUND(AH56,3)-ROUND(AG57,3),3)*1000,""))),"")</f>
        <v/>
      </c>
      <c r="AJ57" s="45" t="str">
        <f>IF(AND(NOT(ISNA(VLOOKUP(AE57,A6:E105,5,FALSE))),AF57="",AG57&lt;&gt;""),ROUND((VLOOKUP(AE57,A6:E105,5,FALSE)-AI57)/1000,3),IF(AND(NOT(ISNA(VLOOKUP(AE57,G6:K105,5,FALSE))),AF57="",AG57&lt;&gt;""),ROUND((VLOOKUP(AE57,G6:K105,5,FALSE)-AI57)/1000,3),IF(AND(NOT(ISNA(VLOOKUP(AE57,M6:Q105,5,FALSE))),AF57="",AG57&lt;&gt;""),ROUND((VLOOKUP(AE57,M6:Q105,5,FALSE)-AI57)/1000,3),IF(AND(NOT(ISNA(VLOOKUP(AE57,S6:W105,5,FALSE))),AF57="",AG57&lt;&gt;""),ROUND((VLOOKUP(AE57,S6:W105,5,FALSE)-AI57)/1000,3),IF(AND(NOT(ISNA(VLOOKUP(AE57,Y6:AC105,5,FALSE))),AF57="",AG57&lt;&gt;""),ROUND((VLOOKUP(AE57,Y6:AC105,5,FALSE)-AI57)/1000,3),IF(AND(NOT(ISNA(VLOOKUP(AE57,AE6:AI56,5,FALSE))),AF57="",AG57&lt;&gt;""),ROUND((VLOOKUP(AE57,AE6:AI56,5,FALSE)-AI57)/1000,3),""))))))</f>
        <v/>
      </c>
      <c r="AK57" s="19">
        <f>IF(AK56="","",AK56+1)</f>
        <v>651</v>
      </c>
      <c r="AL57" s="39"/>
      <c r="AM57" s="39"/>
      <c r="AN57" s="15" t="str">
        <f>IF(AND(AL57&lt;&gt;"",AM57&lt;&gt;""),ROUND(AL57,3)+ROUND(AN56,3)-ROUND(AM57,3),IF(AND(EXACT(UPPER(AK57),"TBM"),AL57&lt;&gt;""),ROUND(AL57,3),IF(AL57="",AN56,IF(ISNA(VLOOKUP(AK57,A6:E105,5,FALSE)),IF(ISNA(VLOOKUP(AK57,G6:K105,5,FALSE)),IF(ISNA(VLOOKUP(AK57,M6:Q105,5,FALSE)),IF(ISNA(VLOOKUP(AK57,S6:W105,5,FALSE)),IF(ISNA(VLOOKUP(AK57,Y6:AC105,5,FALSE)),IF(ISNA(VLOOKUP(AK57,AE6:AI105,5,FALSE)),IF(ISNA(VLOOKUP(AK57,AK6:AO56,5,FALSE)),"",ROUND(VLOOKUP(AK57,AK6:AO56,5,FALSE),0)/1000+ROUND(AL57,3)),ROUND(VLOOKUP(AK57,AE6:AI105,5,FALSE),0)/1000+ROUND(AL57,3)),ROUND(VLOOKUP(AK57,Y6:AC105,5,FALSE),0)/1000+ROUND(AL57,3)),ROUND(VLOOKUP(AK57,S6:W105,5,FALSE),0)/1000+ROUND(AL57,3)),ROUND(VLOOKUP(AK57,M6:Q105,5,FALSE),0)/1000+ROUND(AL57,3)),ROUND(VLOOKUP(AK57,G6:K105,5,FALSE),0)/1000+ROUND(AL57,3)),ROUND(VLOOKUP(AK57,A6:E105,5,FALSE),0)/1000+ROUND(AL57,3)))))</f>
        <v/>
      </c>
      <c r="AO57" s="18" t="str">
        <f>IF(OR(NOT(EXACT(UPPER(AK57),"TBM")),AL57=""),IF(AND(AL57&lt;&gt;"",AM57="",AN57&lt;&gt;""),"",IF(AND(AL57="",AM57&lt;&gt;"",AN57&lt;&gt;""),ROUND(ROUND(AN57,3)-ROUND(AM57,3),3)*1000,IF(AND(AL57&lt;&gt;"",AM57&lt;&gt;"",AN57&lt;&gt;""),ROUND(ROUND(AN56,3)-ROUND(AM57,3),3)*1000,""))),"")</f>
        <v/>
      </c>
      <c r="AP57" s="45" t="str">
        <f>IF(AND(NOT(ISNA(VLOOKUP(AK57,A6:E105,5,FALSE))),AL57="",AM57&lt;&gt;""),ROUND((VLOOKUP(AK57,A6:E105,5,FALSE)-AO57)/1000,3),IF(AND(NOT(ISNA(VLOOKUP(AK57,G6:K105,5,FALSE))),AL57="",AM57&lt;&gt;""),ROUND((VLOOKUP(AK57,G6:K105,5,FALSE)-AO57)/1000,3),IF(AND(NOT(ISNA(VLOOKUP(AK57,M6:Q105,5,FALSE))),AL57="",AM57&lt;&gt;""),ROUND((VLOOKUP(AK57,M6:Q105,5,FALSE)-AO57)/1000,3),IF(AND(NOT(ISNA(VLOOKUP(AK57,S6:W105,5,FALSE))),AL57="",AM57&lt;&gt;""),ROUND((VLOOKUP(AK57,S6:W105,5,FALSE)-AO57)/1000,3),IF(AND(NOT(ISNA(VLOOKUP(AK57,Y6:AC105,5,FALSE))),AL57="",AM57&lt;&gt;""),ROUND((VLOOKUP(AK57,Y6:AC105,5,FALSE)-AO57)/1000,3),IF(AND(NOT(ISNA(VLOOKUP(AK57,AE6:AI105,5,FALSE))),AL57="",AM57&lt;&gt;""),ROUND((VLOOKUP(AK57,AE6:AI105,5,FALSE)-AO57)/1000,3),IF(AND(NOT(ISNA(VLOOKUP(AK57,AK6:AO56,5,FALSE))),AL57="",AM57&lt;&gt;""),ROUND((VLOOKUP(AK57,AK6:AO56,5,FALSE)-AO57)/1000,3),"")))))))</f>
        <v/>
      </c>
      <c r="AQ57" s="19">
        <f>IF(AQ56="","",AQ56+1)</f>
        <v>751</v>
      </c>
      <c r="AR57" s="39"/>
      <c r="AS57" s="39"/>
      <c r="AT57" s="15" t="str">
        <f>IF(AND(AR57&lt;&gt;"",AS57&lt;&gt;""),ROUND(AR57,3)+ROUND(AT56,3)-ROUND(AS57,3),IF(AND(EXACT(UPPER(AQ57),"TBM"),AR57&lt;&gt;""),ROUND(AR57,3),IF(AR57="",AT56,IF(ISNA(VLOOKUP(AQ57,A6:E105,5,FALSE)),IF(ISNA(VLOOKUP(AQ57,G6:K105,5,FALSE)),IF(ISNA(VLOOKUP(AQ57,M6:Q105,5,FALSE)),IF(ISNA(VLOOKUP(AQ57,S6:W105,5,FALSE)),IF(ISNA(VLOOKUP(AQ57,Y6:AC105,5,FALSE)),IF(ISNA(VLOOKUP(AQ57,AE6:AI105,5,FALSE)),IF(ISNA(VLOOKUP(AQ57,AK6:AO105,5,FALSE)),IF(ISNA(VLOOKUP(AQ57,AQ6:AU56,5,FALSE)),"",ROUND(VLOOKUP(AQ57,AQ6:AU56,5,FALSE),0)/1000+ROUND(AR57,3)),ROUND(VLOOKUP(AQ57,AK6:AO105,5,FALSE),0)/1000+ROUND(AR57,3)),ROUND(VLOOKUP(AQ57,AE6:AI105,5,FALSE),0)/1000+ROUND(AR57,3)),ROUND(VLOOKUP(AQ57,Y6:AC105,5,FALSE),0)/1000+ROUND(AR57,3)),ROUND(VLOOKUP(AQ57,S6:W105,5,FALSE),0)/1000+ROUND(AR57,3)),ROUND(VLOOKUP(AQ57,M6:Q105,5,FALSE),0)/1000+ROUND(AR57,3)),ROUND(VLOOKUP(AQ57,G6:K105,5,FALSE),0)/1000+ROUND(AR57,3)),ROUND(VLOOKUP(AQ57,A6:E105,5,FALSE),0)/1000+ROUND(AR57,3)))))</f>
        <v/>
      </c>
      <c r="AU57" s="18" t="str">
        <f>IF(OR(NOT(EXACT(UPPER(AQ57),"TBM")),AR57=""),IF(AND(AR57&lt;&gt;"",AS57="",AT57&lt;&gt;""),"",IF(AND(AR57="",AS57&lt;&gt;"",AT57&lt;&gt;""),ROUND(ROUND(AT57,3)-ROUND(AS57,3),3)*1000,IF(AND(AR57&lt;&gt;"",AS57&lt;&gt;"",AT57&lt;&gt;""),ROUND(ROUND(AT56,3)-ROUND(AS57,3),3)*1000,""))),"")</f>
        <v/>
      </c>
      <c r="AV57" s="45" t="str">
        <f>IF(AND(NOT(ISNA(VLOOKUP(AQ57,A6:E105,5,FALSE))),AR57="",AS57&lt;&gt;""),ROUND((VLOOKUP(AQ57,A6:E105,5,FALSE)-AU57)/1000,3),IF(AND(NOT(ISNA(VLOOKUP(AQ57,G6:K105,5,FALSE))),AR57="",AS57&lt;&gt;""),ROUND((VLOOKUP(AQ57,G6:K105,5,FALSE)-AU57)/1000,3),IF(AND(NOT(ISNA(VLOOKUP(AQ57,M6:Q105,5,FALSE))),AR57="",AS57&lt;&gt;""),ROUND((VLOOKUP(AQ57,M6:Q105,5,FALSE)-AU57)/1000,3),IF(AND(NOT(ISNA(VLOOKUP(AQ57,S6:W105,5,FALSE))),AR57="",AS57&lt;&gt;""),ROUND((VLOOKUP(AQ57,S6:W105,5,FALSE)-AU57)/1000,3),IF(AND(NOT(ISNA(VLOOKUP(AQ57,Y6:AC105,5,FALSE))),AR57="",AS57&lt;&gt;""),ROUND((VLOOKUP(AQ57,Y6:AC105,5,FALSE)-AU57)/1000,3),IF(AND(NOT(ISNA(VLOOKUP(AQ57,AE6:AI105,5,FALSE))),AR57="",AS57&lt;&gt;""),ROUND((VLOOKUP(AQ57,AE6:AI105,5,FALSE)-AU57)/1000,3),IF(AND(NOT(ISNA(VLOOKUP(AQ57,AK6:AO105,5,FALSE))),AR57="",AS57&lt;&gt;""),ROUND((VLOOKUP(AQ57,AK6:AO105,5,FALSE)-AU57)/1000,3),IF(AND(NOT(ISNA(VLOOKUP(AQ57,AQ6:AU56,5,FALSE))),AR57="",AS57&lt;&gt;""),ROUND((VLOOKUP(AQ57,AQ6:AU56,5,FALSE)-AU57)/1000,3),""))))))))</f>
        <v/>
      </c>
      <c r="AW57" s="19">
        <f>IF(AW56="","",AW56+1)</f>
        <v>851</v>
      </c>
      <c r="AX57" s="39"/>
      <c r="AY57" s="39"/>
      <c r="AZ57" s="15" t="str">
        <f>IF(AND(AX57&lt;&gt;"",AY57&lt;&gt;""),ROUND(AX57,3)+ROUND(AZ56,3)-ROUND(AY57,3),IF(AND(EXACT(UPPER(AW57),"TBM"),AX57&lt;&gt;""),ROUND(AX57,3),IF(AX57="",AZ56,IF(ISNA(VLOOKUP(AW57,A6:E105,5,FALSE)),IF(ISNA(VLOOKUP(AW57,G6:K105,5,FALSE)),IF(ISNA(VLOOKUP(AW57,M6:Q105,5,FALSE)),IF(ISNA(VLOOKUP(AW57,S6:W105,5,FALSE)),IF(ISNA(VLOOKUP(AW57,Y6:AC105,5,FALSE)),IF(ISNA(VLOOKUP(AW57,AE6:AI105,5,FALSE)),IF(ISNA(VLOOKUP(AW57,AK6:AO105,5,FALSE)),IF(ISNA(VLOOKUP(AW57,AQ6:AU105,5,FALSE)),IF(ISNA(VLOOKUP(AW57,AW6:BA56,5,FALSE)),"",ROUND(VLOOKUP(AW57,AW6:BA56,5,FALSE),0)/1000+ROUND(AX57,3)),ROUND(VLOOKUP(AW57,AQ6:AU105,5,FALSE),0)/1000+ROUND(AX57,3)),ROUND(VLOOKUP(AW57,AK6:AO105,5,FALSE),0)/1000+ROUND(AX57,3)),ROUND(VLOOKUP(AW57,AE6:AI105,5,FALSE),0)/1000+ROUND(AX57,3)),ROUND(VLOOKUP(AW57,Y6:AC105,5,FALSE),0)/1000+ROUND(AX57,3)),ROUND(VLOOKUP(AW57,S6:W105,5,FALSE),0)/1000+ROUND(AX57,3)),ROUND(VLOOKUP(AW57,M6:Q105,5,FALSE),0)/1000+ROUND(AX57,3)),ROUND(VLOOKUP(AW57,G6:K105,5,FALSE),0)/1000+ROUND(AX57,3)),ROUND(VLOOKUP(AW57,A6:E105,5,FALSE),0)/1000+ROUND(AX57,3)))))</f>
        <v/>
      </c>
      <c r="BA57" s="18" t="str">
        <f>IF(OR(NOT(EXACT(UPPER(AW57),"TBM")),AX57=""),IF(AND(AX57&lt;&gt;"",AY57="",AZ57&lt;&gt;""),"",IF(AND(AX57="",AY57&lt;&gt;"",AZ57&lt;&gt;""),ROUND(ROUND(AZ57,3)-ROUND(AY57,3),3)*1000,IF(AND(AX57&lt;&gt;"",AY57&lt;&gt;"",AZ57&lt;&gt;""),ROUND(ROUND(AZ56,3)-ROUND(AY57,3),3)*1000,""))),"")</f>
        <v/>
      </c>
      <c r="BB57" s="45" t="str">
        <f>IF(AND(NOT(ISNA(VLOOKUP(AW57,A6:E105,5,FALSE))),AX57="",AY57&lt;&gt;""),ROUND((VLOOKUP(AW57,A6:E105,5,FALSE)-BA57)/1000,3),IF(AND(NOT(ISNA(VLOOKUP(AW57,G6:K105,5,FALSE))),AX57="",AY57&lt;&gt;""),ROUND((VLOOKUP(AW57,G6:K105,5,FALSE)-BA57)/1000,3),IF(AND(NOT(ISNA(VLOOKUP(AW57,M6:Q105,5,FALSE))),AX57="",AY57&lt;&gt;""),ROUND((VLOOKUP(AW57,M6:Q105,5,FALSE)-BA57)/1000,3),IF(AND(NOT(ISNA(VLOOKUP(AW57,S6:W105,5,FALSE))),AX57="",AY57&lt;&gt;""),ROUND((VLOOKUP(AW57,S6:W105,5,FALSE)-BA57)/1000,3),IF(AND(NOT(ISNA(VLOOKUP(AW57,Y6:AC105,5,FALSE))),AX57="",AY57&lt;&gt;""),ROUND((VLOOKUP(AW57,Y6:AC105,5,FALSE)-BA57)/1000,3),IF(AND(NOT(ISNA(VLOOKUP(AW57,AE6:AI105,5,FALSE))),AX57="",AY57&lt;&gt;""),ROUND((VLOOKUP(AW57,AE6:AI105,5,FALSE)-BA57)/1000,3),IF(AND(NOT(ISNA(VLOOKUP(AW57,AK6:AO105,5,FALSE))),AX57="",AY57&lt;&gt;""),ROUND((VLOOKUP(AW57,AK6:AO105,5,FALSE)-BA57)/1000,3),IF(AND(NOT(ISNA(VLOOKUP(AW57,AQ6:AU105,5,FALSE))),AX57="",AY57&lt;&gt;""),ROUND((VLOOKUP(AW57,AQ6:AU105,5,FALSE)-BA57)/1000,3),IF(AND(NOT(ISNA(VLOOKUP(AW57,AW6:BA56,5,FALSE))),AX57="",AY57&lt;&gt;""),ROUND((VLOOKUP(AW57,AW6:BA56,5,FALSE)-BA57)/1000,3),"")))))))))</f>
        <v/>
      </c>
      <c r="BC57" s="19">
        <f>IF(BC56="","",BC56+1)</f>
        <v>951</v>
      </c>
      <c r="BD57" s="39"/>
      <c r="BE57" s="39"/>
      <c r="BF57" s="15" t="str">
        <f>IF(AND(BD57&lt;&gt;"",BE57&lt;&gt;""),ROUND(BD57,3)+ROUND(BF56,3)-ROUND(BE57,3),IF(AND(EXACT(UPPER(BC57),"TBM"),BD57&lt;&gt;""),ROUND(BD57,3),IF(BD57="",BF56,IF(ISNA(VLOOKUP(BC57,A6:E105,5,FALSE)),IF(ISNA(VLOOKUP(BC57,G6:K105,5,FALSE)),IF(ISNA(VLOOKUP(BC57,M6:Q105,5,FALSE)),IF(ISNA(VLOOKUP(BC57,S6:W105,5,FALSE)),IF(ISNA(VLOOKUP(BC57,Y6:AC105,5,FALSE)),IF(ISNA(VLOOKUP(BC57,AE6:AI105,5,FALSE)),IF(ISNA(VLOOKUP(BC57,AK6:AO105,5,FALSE)),IF(ISNA(VLOOKUP(BC57,AQ6:AU105,5,FALSE)),IF(ISNA(VLOOKUP(BC57,AW6:BA105,5,FALSE)),IF(ISNA(VLOOKUP(BC57,BC6:BG56,5,FALSE)),"",ROUND(VLOOKUP(BC57,BC6:BG56,5,FALSE),0)/1000+ROUND(BD57,3)),ROUND(VLOOKUP(BC57,AW6:BA105,5,FALSE),0)/1000+ROUND(BD57,3)),ROUND(VLOOKUP(BC57,AQ6:AU105,5,FALSE),0)/1000+ROUND(BD57,3)),ROUND(VLOOKUP(BC57,AK6:AO105,5,FALSE),0)/1000+ROUND(BD57,3)),ROUND(VLOOKUP(BC57,AE6:AI105,5,FALSE),0)/1000+ROUND(BD57,3)),ROUND(VLOOKUP(BC57,Y6:AC105,5,FALSE),0)/1000+ROUND(BD57,3)),ROUND(VLOOKUP(BC57,S6:W105,5,FALSE),0)/1000+ROUND(BD57,3)),ROUND(VLOOKUP(BC57,M6:Q105,5,FALSE),0)/1000+ROUND(BD57,3)),ROUND(VLOOKUP(BC57,G6:K105,5,FALSE),0)/1000+ROUND(BD57,3)),ROUND(VLOOKUP(BC57,A6:E105,5,FALSE),0)/1000+ROUND(BD57,3)))))</f>
        <v/>
      </c>
      <c r="BG57" s="18" t="str">
        <f>IF(OR(NOT(EXACT(UPPER(BC57),"TBM")),BD57=""),IF(AND(BD57&lt;&gt;"",BE57="",BF57&lt;&gt;""),"",IF(AND(BD57="",BE57&lt;&gt;"",BF57&lt;&gt;""),ROUND(ROUND(BF57,3)-ROUND(BE57,3),3)*1000,IF(AND(BD57&lt;&gt;"",BE57&lt;&gt;"",BF57&lt;&gt;""),ROUND(ROUND(BF56,3)-ROUND(BE57,3),3)*1000,""))),"")</f>
        <v/>
      </c>
      <c r="BH57" s="45" t="str">
        <f>IF(AND(NOT(ISNA(VLOOKUP(BC57,A6:E105,5,FALSE))),BD57="",BE57&lt;&gt;""),ROUND((VLOOKUP(BC57,A6:E105,5,FALSE)-BG57)/1000,3),IF(AND(NOT(ISNA(VLOOKUP(BC57,G6:K105,5,FALSE))),BD57="",BE57&lt;&gt;""),ROUND((VLOOKUP(BC57,G6:K105,5,FALSE)-BG57)/1000,3),IF(AND(NOT(ISNA(VLOOKUP(BC57,M6:Q105,5,FALSE))),BD57="",BE57&lt;&gt;""),ROUND((VLOOKUP(BC57,M6:Q105,5,FALSE)-BG57)/1000,3),IF(AND(NOT(ISNA(VLOOKUP(BC57,S6:W105,5,FALSE))),BD57="",BE57&lt;&gt;""),ROUND((VLOOKUP(BC57,S6:W105,5,FALSE)-BG57)/1000,3),IF(AND(NOT(ISNA(VLOOKUP(BC57,Y6:AC105,5,FALSE))),BD57="",BE57&lt;&gt;""),ROUND((VLOOKUP(BC57,Y6:AC105,5,FALSE)-BG57)/1000,3),IF(AND(NOT(ISNA(VLOOKUP(BC57,AE6:AI105,5,FALSE))),BD57="",BE57&lt;&gt;""),ROUND((VLOOKUP(BC57,AE6:AI105,5,FALSE)-BG57)/1000,3),IF(AND(NOT(ISNA(VLOOKUP(BC57,AK6:AO105,5,FALSE))),BD57="",BE57&lt;&gt;""),ROUND((VLOOKUP(BC57,AK6:AO105,5,FALSE)-BG57)/1000,3),IF(AND(NOT(ISNA(VLOOKUP(BC57,AQ6:AU105,5,FALSE))),BD57="",BE57&lt;&gt;""),ROUND((VLOOKUP(BC57,AQ6:AU105,5,FALSE)-BG57)/1000,3),IF(AND(NOT(ISNA(VLOOKUP(BC57,AW6:BA105,5,FALSE))),BD57="",BE57&lt;&gt;""),ROUND((VLOOKUP(BC57,AW6:BA105,5,FALSE)-BG57)/1000,3),IF(AND(NOT(ISNA(VLOOKUP(BC57,BC6:BG56,5,FALSE))),BD57="",BE57&lt;&gt;""),ROUND((VLOOKUP(BC57,BC6:BG56,5,FALSE)-BG57)/1000,3),""))))))))))</f>
        <v/>
      </c>
    </row>
    <row r="58" spans="1:60" x14ac:dyDescent="0.25">
      <c r="A58" s="19">
        <f t="shared" si="3"/>
        <v>52</v>
      </c>
      <c r="B58" s="39"/>
      <c r="C58" s="39"/>
      <c r="D58" s="15" t="str">
        <f>IF(AND(B58&lt;&gt;"",C58&lt;&gt;""),ROUND(B58,3)+ROUND(D57,3)-ROUND(C58,3),IF(AND(EXACT(UPPER(A58),"TBM"),B58&lt;&gt;""),ROUND(B58,3),IF(B58="",D57,IF(ISNA(VLOOKUP(A58,A6:E57,5,FALSE)),"",ROUND(VLOOKUP(A58,A6:E57,5,FALSE),0)/1000+ROUND(B58,3)))))</f>
        <v/>
      </c>
      <c r="E58" s="21" t="str">
        <f t="shared" si="4"/>
        <v/>
      </c>
      <c r="F58" s="45" t="str">
        <f>IF(AND(NOT(ISNA(VLOOKUP(A58,A6:E57,5,FALSE))),B58="",C58&lt;&gt;""),ROUND((VLOOKUP(A58,A6:E57,5,FALSE)-E58)/1000,3),"")</f>
        <v/>
      </c>
      <c r="G58" s="19">
        <f t="shared" si="1"/>
        <v>152</v>
      </c>
      <c r="H58" s="39"/>
      <c r="I58" s="39"/>
      <c r="J58" s="15" t="str">
        <f>IF(AND(H58&lt;&gt;"",I58&lt;&gt;""),ROUND(H58,3)+ROUND(J57,3)-ROUND(I58,3),IF(AND(EXACT(UPPER(G58),"TBM"),H58&lt;&gt;""),ROUND(H58,3),IF(H58="",J57,IF(ISNA(VLOOKUP(G58,A6:E105,5,FALSE)),IF(ISNA(VLOOKUP(G58,G6:K57,5,FALSE)),"",ROUND(VLOOKUP(G58,G6:K57,5,FALSE),0)/1000+ROUND(H58,3)),ROUND(VLOOKUP(G58,A6:E105,5,FALSE),0)/1000+ROUND(H58,3)))))</f>
        <v/>
      </c>
      <c r="K58" s="18" t="str">
        <f t="shared" si="5"/>
        <v/>
      </c>
      <c r="L58" s="45" t="str">
        <f>IF(AND(NOT(ISNA(VLOOKUP(G58,A6:E105,5,FALSE))),H58="",I58&lt;&gt;""),ROUND((VLOOKUP(G58,A6:E105,5,FALSE)-K58)/1000,3),IF(AND(NOT(ISNA(VLOOKUP(G58,G6:K57,5,FALSE))),H58="",I58&lt;&gt;""),ROUND((VLOOKUP(G58,G6:K57,5,FALSE)-K58)/1000,3),""))</f>
        <v/>
      </c>
      <c r="M58" s="19">
        <f>IF(M57="","",M57+1)</f>
        <v>252</v>
      </c>
      <c r="N58" s="39"/>
      <c r="O58" s="39"/>
      <c r="P58" s="15" t="str">
        <f>IF(AND(N58&lt;&gt;"",O58&lt;&gt;""),ROUND(N58,3)+ROUND(P57,3)-ROUND(O58,3),IF(AND(EXACT(UPPER(M58),"TBM"),N58&lt;&gt;""),ROUND(N58,3),IF(N58="",P57,IF(ISNA(VLOOKUP(M58,A6:E105,5,FALSE)),IF(ISNA(VLOOKUP(M58,G6:K105,5,FALSE)),IF(ISNA(VLOOKUP(M58,M6:Q57,5,FALSE)),"",ROUND(VLOOKUP(M58,M6:Q57,5,FALSE),0)/1000+ROUND(N58,3)),ROUND(VLOOKUP(M58,G6:K105,5,FALSE),0)/1000+ROUND(N58,3)),ROUND(VLOOKUP(M58,A6:E105,5,FALSE),0)/1000+ROUND(N58,3)))))</f>
        <v/>
      </c>
      <c r="Q58" s="18" t="str">
        <f>IF(OR(NOT(EXACT(UPPER(M58),"TBM")),N58=""),IF(AND(N58&lt;&gt;"",O58="",P58&lt;&gt;""),"",IF(AND(N58="",O58&lt;&gt;"",P58&lt;&gt;""),ROUND(ROUND(P58,3)-ROUND(O58,3),3)*1000,IF(AND(N58&lt;&gt;"",O58&lt;&gt;"",P58&lt;&gt;""),ROUND(ROUND(P57,3)-ROUND(O58,3),3)*1000,""))),"")</f>
        <v/>
      </c>
      <c r="R58" s="45" t="str">
        <f>IF(AND(NOT(ISNA(VLOOKUP(M58,A6:E105,5,FALSE))),N58="",O58&lt;&gt;""),ROUND((VLOOKUP(M58,A6:E105,5,FALSE)-Q58)/1000,3),IF(AND(NOT(ISNA(VLOOKUP(M58,G6:K105,5,FALSE))),N58="",O58&lt;&gt;""),ROUND((VLOOKUP(M58,G6:K105,5,FALSE)-Q58)/1000,3),IF(AND(NOT(ISNA(VLOOKUP(M58,M6:Q57,5,FALSE))),N58="",O58&lt;&gt;""),ROUND((VLOOKUP(M58,M6:Q57,5,FALSE)-Q58)/1000,3),"")))</f>
        <v/>
      </c>
      <c r="S58" s="19">
        <f>IF(S57="","",S57+1)</f>
        <v>352</v>
      </c>
      <c r="T58" s="39"/>
      <c r="U58" s="39"/>
      <c r="V58" s="15" t="str">
        <f>IF(AND(T58&lt;&gt;"",U58&lt;&gt;""),ROUND(T58,3)+ROUND(V57,3)-ROUND(U58,3),IF(AND(EXACT(UPPER(S58),"TBM"),T58&lt;&gt;""),ROUND(T58,3),IF(T58="",V57,IF(ISNA(VLOOKUP(S58,A6:E105,5,FALSE)),IF(ISNA(VLOOKUP(S58,G6:K105,5,FALSE)),IF(ISNA(VLOOKUP(S58,M6:Q105,5,FALSE)),IF(ISNA(VLOOKUP(S58,S6:W57,5,FALSE)),"",ROUND(VLOOKUP(S58,S6:W57,5,FALSE),0)/1000+ROUND(T58,3)),ROUND(VLOOKUP(S58,M6:Q105,5,FALSE),0)/1000+ROUND(T58,3)),ROUND(VLOOKUP(S58,G6:K105,5,FALSE),0)/1000+ROUND(T58,3)),ROUND(VLOOKUP(S58,A6:E105,5,FALSE),0)/1000+ROUND(T58,3)))))</f>
        <v/>
      </c>
      <c r="W58" s="18" t="str">
        <f>IF(OR(NOT(EXACT(UPPER(S58),"TBM")),T58=""),IF(AND(T58&lt;&gt;"",U58="",V58&lt;&gt;""),"",IF(AND(T58="",U58&lt;&gt;"",V58&lt;&gt;""),ROUND(ROUND(V58,3)-ROUND(U58,3),3)*1000,IF(AND(T58&lt;&gt;"",U58&lt;&gt;"",V58&lt;&gt;""),ROUND(ROUND(V57,3)-ROUND(U58,3),3)*1000,""))),"")</f>
        <v/>
      </c>
      <c r="X58" s="45" t="str">
        <f>IF(AND(NOT(ISNA(VLOOKUP(S58,A6:E105,5,FALSE))),T58="",U58&lt;&gt;""),ROUND((VLOOKUP(S58,A6:E105,5,FALSE)-W58)/1000,3),IF(AND(NOT(ISNA(VLOOKUP(S58,G6:K105,5,FALSE))),T58="",U58&lt;&gt;""),ROUND((VLOOKUP(S58,G6:K105,5,FALSE)-W58)/1000,3),IF(AND(NOT(ISNA(VLOOKUP(S58,M6:Q105,5,FALSE))),T58="",U58&lt;&gt;""),ROUND((VLOOKUP(S58,M6:Q105,5,FALSE)-W58)/1000,3),IF(AND(NOT(ISNA(VLOOKUP(S58,S6:W57,5,FALSE))),T58="",U58&lt;&gt;""),ROUND((VLOOKUP(S58,S6:W57,5,FALSE)-W58)/1000,3),""))))</f>
        <v/>
      </c>
      <c r="Y58" s="19">
        <f>IF(Y57="","",Y57+1)</f>
        <v>452</v>
      </c>
      <c r="Z58" s="39"/>
      <c r="AA58" s="39"/>
      <c r="AB58" s="15" t="str">
        <f>IF(AND(Z58&lt;&gt;"",AA58&lt;&gt;""),ROUND(Z58,3)+ROUND(AB57,3)-ROUND(AA58,3),IF(AND(EXACT(UPPER(Y58),"TBM"),Z58&lt;&gt;""),ROUND(Z58,3),IF(Z58="",AB57,IF(ISNA(VLOOKUP(Y58,A6:E105,5,FALSE)),IF(ISNA(VLOOKUP(Y58,G6:K105,5,FALSE)),IF(ISNA(VLOOKUP(Y58,M6:Q105,5,FALSE)),IF(ISNA(VLOOKUP(Y58,S6:W105,5,FALSE)),IF(ISNA(VLOOKUP(Y58,Y6:AC57,5,FALSE)),"",ROUND(VLOOKUP(Y58,Y6:AC57,5,FALSE),0)/1000+ROUND(Z58,3)),ROUND(VLOOKUP(Y58,S6:W105,5,FALSE),0)/1000+ROUND(Z58,3)),ROUND(VLOOKUP(Y58,M6:Q105,5,FALSE),0)/1000+ROUND(Z58,3)),ROUND(VLOOKUP(Y58,G6:K105,5,FALSE),0)/1000+ROUND(Z58,3)),ROUND(VLOOKUP(Y58,A6:E105,5,FALSE),0)/1000+ROUND(Z58,3)))))</f>
        <v/>
      </c>
      <c r="AC58" s="18" t="str">
        <f>IF(OR(NOT(EXACT(UPPER(Y58),"TBM")),Z58=""),IF(AND(Z58&lt;&gt;"",AA58="",AB58&lt;&gt;""),"",IF(AND(Z58="",AA58&lt;&gt;"",AB58&lt;&gt;""),ROUND(ROUND(AB58,3)-ROUND(AA58,3),3)*1000,IF(AND(Z58&lt;&gt;"",AA58&lt;&gt;"",AB58&lt;&gt;""),ROUND(ROUND(AB57,3)-ROUND(AA58,3),3)*1000,""))),"")</f>
        <v/>
      </c>
      <c r="AD58" s="45" t="str">
        <f>IF(AND(NOT(ISNA(VLOOKUP(Y58,A6:E105,5,FALSE))),Z58="",AA58&lt;&gt;""),ROUND((VLOOKUP(Y58,A6:E105,5,FALSE)-AC58)/1000,3),IF(AND(NOT(ISNA(VLOOKUP(Y58,G6:K105,5,FALSE))),Z58="",AA58&lt;&gt;""),ROUND((VLOOKUP(Y58,G6:K105,5,FALSE)-AC58)/1000,3),IF(AND(NOT(ISNA(VLOOKUP(Y58,M6:Q105,5,FALSE))),Z58="",AA58&lt;&gt;""),ROUND((VLOOKUP(Y58,M6:Q105,5,FALSE)-AC58)/1000,3),IF(AND(NOT(ISNA(VLOOKUP(Y58,S6:W105,5,FALSE))),Z58="",AA58&lt;&gt;""),ROUND((VLOOKUP(Y58,S6:W105,5,FALSE)-AC58)/1000,3),IF(AND(NOT(ISNA(VLOOKUP(Y58,Y6:AC57,5,FALSE))),Z58="",AA58&lt;&gt;""),ROUND((VLOOKUP(Y58,Y6:AC57,5,FALSE)-AC58)/1000,3),"")))))</f>
        <v/>
      </c>
      <c r="AE58" s="19">
        <f>IF(AE57="","",AE57+1)</f>
        <v>552</v>
      </c>
      <c r="AF58" s="39"/>
      <c r="AG58" s="39"/>
      <c r="AH58" s="15" t="str">
        <f>IF(AND(AF58&lt;&gt;"",AG58&lt;&gt;""),ROUND(AF58,3)+ROUND(AH57,3)-ROUND(AG58,3),IF(AND(EXACT(UPPER(AE58),"TBM"),AF58&lt;&gt;""),ROUND(AF58,3),IF(AF58="",AH57,IF(ISNA(VLOOKUP(AE58,A6:E105,5,FALSE)),IF(ISNA(VLOOKUP(AE58,G6:K105,5,FALSE)),IF(ISNA(VLOOKUP(AE58,M6:Q105,5,FALSE)),IF(ISNA(VLOOKUP(AE58,S6:W105,5,FALSE)),IF(ISNA(VLOOKUP(AE58,Y6:AC105,5,FALSE)),IF(ISNA(VLOOKUP(AE58,AE6:AI57,5,FALSE)),"",ROUND(VLOOKUP(AE58,AE6:AI57,5,FALSE),0)/1000+ROUND(AF58,3)),ROUND(VLOOKUP(AE58,Y6:AC105,5,FALSE),0)/1000+ROUND(AF58,3)),ROUND(VLOOKUP(AE58,S6:W105,5,FALSE),0)/1000+ROUND(AF58,3)),ROUND(VLOOKUP(AE58,M6:Q105,5,FALSE),0)/1000+ROUND(AF58,3)),ROUND(VLOOKUP(AE58,G6:K105,5,FALSE),0)/1000+ROUND(AF58,3)),ROUND(VLOOKUP(AE58,A6:E105,5,FALSE),0)/1000+ROUND(AF58,3)))))</f>
        <v/>
      </c>
      <c r="AI58" s="18" t="str">
        <f>IF(OR(NOT(EXACT(UPPER(AE58),"TBM")),AF58=""),IF(AND(AF58&lt;&gt;"",AG58="",AH58&lt;&gt;""),"",IF(AND(AF58="",AG58&lt;&gt;"",AH58&lt;&gt;""),ROUND(ROUND(AH58,3)-ROUND(AG58,3),3)*1000,IF(AND(AF58&lt;&gt;"",AG58&lt;&gt;"",AH58&lt;&gt;""),ROUND(ROUND(AH57,3)-ROUND(AG58,3),3)*1000,""))),"")</f>
        <v/>
      </c>
      <c r="AJ58" s="45" t="str">
        <f>IF(AND(NOT(ISNA(VLOOKUP(AE58,A6:E105,5,FALSE))),AF58="",AG58&lt;&gt;""),ROUND((VLOOKUP(AE58,A6:E105,5,FALSE)-AI58)/1000,3),IF(AND(NOT(ISNA(VLOOKUP(AE58,G6:K105,5,FALSE))),AF58="",AG58&lt;&gt;""),ROUND((VLOOKUP(AE58,G6:K105,5,FALSE)-AI58)/1000,3),IF(AND(NOT(ISNA(VLOOKUP(AE58,M6:Q105,5,FALSE))),AF58="",AG58&lt;&gt;""),ROUND((VLOOKUP(AE58,M6:Q105,5,FALSE)-AI58)/1000,3),IF(AND(NOT(ISNA(VLOOKUP(AE58,S6:W105,5,FALSE))),AF58="",AG58&lt;&gt;""),ROUND((VLOOKUP(AE58,S6:W105,5,FALSE)-AI58)/1000,3),IF(AND(NOT(ISNA(VLOOKUP(AE58,Y6:AC105,5,FALSE))),AF58="",AG58&lt;&gt;""),ROUND((VLOOKUP(AE58,Y6:AC105,5,FALSE)-AI58)/1000,3),IF(AND(NOT(ISNA(VLOOKUP(AE58,AE6:AI57,5,FALSE))),AF58="",AG58&lt;&gt;""),ROUND((VLOOKUP(AE58,AE6:AI57,5,FALSE)-AI58)/1000,3),""))))))</f>
        <v/>
      </c>
      <c r="AK58" s="19">
        <f>IF(AK57="","",AK57+1)</f>
        <v>652</v>
      </c>
      <c r="AL58" s="39"/>
      <c r="AM58" s="39"/>
      <c r="AN58" s="15" t="str">
        <f>IF(AND(AL58&lt;&gt;"",AM58&lt;&gt;""),ROUND(AL58,3)+ROUND(AN57,3)-ROUND(AM58,3),IF(AND(EXACT(UPPER(AK58),"TBM"),AL58&lt;&gt;""),ROUND(AL58,3),IF(AL58="",AN57,IF(ISNA(VLOOKUP(AK58,A6:E105,5,FALSE)),IF(ISNA(VLOOKUP(AK58,G6:K105,5,FALSE)),IF(ISNA(VLOOKUP(AK58,M6:Q105,5,FALSE)),IF(ISNA(VLOOKUP(AK58,S6:W105,5,FALSE)),IF(ISNA(VLOOKUP(AK58,Y6:AC105,5,FALSE)),IF(ISNA(VLOOKUP(AK58,AE6:AI105,5,FALSE)),IF(ISNA(VLOOKUP(AK58,AK6:AO57,5,FALSE)),"",ROUND(VLOOKUP(AK58,AK6:AO57,5,FALSE),0)/1000+ROUND(AL58,3)),ROUND(VLOOKUP(AK58,AE6:AI105,5,FALSE),0)/1000+ROUND(AL58,3)),ROUND(VLOOKUP(AK58,Y6:AC105,5,FALSE),0)/1000+ROUND(AL58,3)),ROUND(VLOOKUP(AK58,S6:W105,5,FALSE),0)/1000+ROUND(AL58,3)),ROUND(VLOOKUP(AK58,M6:Q105,5,FALSE),0)/1000+ROUND(AL58,3)),ROUND(VLOOKUP(AK58,G6:K105,5,FALSE),0)/1000+ROUND(AL58,3)),ROUND(VLOOKUP(AK58,A6:E105,5,FALSE),0)/1000+ROUND(AL58,3)))))</f>
        <v/>
      </c>
      <c r="AO58" s="18" t="str">
        <f>IF(OR(NOT(EXACT(UPPER(AK58),"TBM")),AL58=""),IF(AND(AL58&lt;&gt;"",AM58="",AN58&lt;&gt;""),"",IF(AND(AL58="",AM58&lt;&gt;"",AN58&lt;&gt;""),ROUND(ROUND(AN58,3)-ROUND(AM58,3),3)*1000,IF(AND(AL58&lt;&gt;"",AM58&lt;&gt;"",AN58&lt;&gt;""),ROUND(ROUND(AN57,3)-ROUND(AM58,3),3)*1000,""))),"")</f>
        <v/>
      </c>
      <c r="AP58" s="45" t="str">
        <f>IF(AND(NOT(ISNA(VLOOKUP(AK58,A6:E105,5,FALSE))),AL58="",AM58&lt;&gt;""),ROUND((VLOOKUP(AK58,A6:E105,5,FALSE)-AO58)/1000,3),IF(AND(NOT(ISNA(VLOOKUP(AK58,G6:K105,5,FALSE))),AL58="",AM58&lt;&gt;""),ROUND((VLOOKUP(AK58,G6:K105,5,FALSE)-AO58)/1000,3),IF(AND(NOT(ISNA(VLOOKUP(AK58,M6:Q105,5,FALSE))),AL58="",AM58&lt;&gt;""),ROUND((VLOOKUP(AK58,M6:Q105,5,FALSE)-AO58)/1000,3),IF(AND(NOT(ISNA(VLOOKUP(AK58,S6:W105,5,FALSE))),AL58="",AM58&lt;&gt;""),ROUND((VLOOKUP(AK58,S6:W105,5,FALSE)-AO58)/1000,3),IF(AND(NOT(ISNA(VLOOKUP(AK58,Y6:AC105,5,FALSE))),AL58="",AM58&lt;&gt;""),ROUND((VLOOKUP(AK58,Y6:AC105,5,FALSE)-AO58)/1000,3),IF(AND(NOT(ISNA(VLOOKUP(AK58,AE6:AI105,5,FALSE))),AL58="",AM58&lt;&gt;""),ROUND((VLOOKUP(AK58,AE6:AI105,5,FALSE)-AO58)/1000,3),IF(AND(NOT(ISNA(VLOOKUP(AK58,AK6:AO57,5,FALSE))),AL58="",AM58&lt;&gt;""),ROUND((VLOOKUP(AK58,AK6:AO57,5,FALSE)-AO58)/1000,3),"")))))))</f>
        <v/>
      </c>
      <c r="AQ58" s="19">
        <f>IF(AQ57="","",AQ57+1)</f>
        <v>752</v>
      </c>
      <c r="AR58" s="39"/>
      <c r="AS58" s="39"/>
      <c r="AT58" s="15" t="str">
        <f>IF(AND(AR58&lt;&gt;"",AS58&lt;&gt;""),ROUND(AR58,3)+ROUND(AT57,3)-ROUND(AS58,3),IF(AND(EXACT(UPPER(AQ58),"TBM"),AR58&lt;&gt;""),ROUND(AR58,3),IF(AR58="",AT57,IF(ISNA(VLOOKUP(AQ58,A6:E105,5,FALSE)),IF(ISNA(VLOOKUP(AQ58,G6:K105,5,FALSE)),IF(ISNA(VLOOKUP(AQ58,M6:Q105,5,FALSE)),IF(ISNA(VLOOKUP(AQ58,S6:W105,5,FALSE)),IF(ISNA(VLOOKUP(AQ58,Y6:AC105,5,FALSE)),IF(ISNA(VLOOKUP(AQ58,AE6:AI105,5,FALSE)),IF(ISNA(VLOOKUP(AQ58,AK6:AO105,5,FALSE)),IF(ISNA(VLOOKUP(AQ58,AQ6:AU57,5,FALSE)),"",ROUND(VLOOKUP(AQ58,AQ6:AU57,5,FALSE),0)/1000+ROUND(AR58,3)),ROUND(VLOOKUP(AQ58,AK6:AO105,5,FALSE),0)/1000+ROUND(AR58,3)),ROUND(VLOOKUP(AQ58,AE6:AI105,5,FALSE),0)/1000+ROUND(AR58,3)),ROUND(VLOOKUP(AQ58,Y6:AC105,5,FALSE),0)/1000+ROUND(AR58,3)),ROUND(VLOOKUP(AQ58,S6:W105,5,FALSE),0)/1000+ROUND(AR58,3)),ROUND(VLOOKUP(AQ58,M6:Q105,5,FALSE),0)/1000+ROUND(AR58,3)),ROUND(VLOOKUP(AQ58,G6:K105,5,FALSE),0)/1000+ROUND(AR58,3)),ROUND(VLOOKUP(AQ58,A6:E105,5,FALSE),0)/1000+ROUND(AR58,3)))))</f>
        <v/>
      </c>
      <c r="AU58" s="18" t="str">
        <f>IF(OR(NOT(EXACT(UPPER(AQ58),"TBM")),AR58=""),IF(AND(AR58&lt;&gt;"",AS58="",AT58&lt;&gt;""),"",IF(AND(AR58="",AS58&lt;&gt;"",AT58&lt;&gt;""),ROUND(ROUND(AT58,3)-ROUND(AS58,3),3)*1000,IF(AND(AR58&lt;&gt;"",AS58&lt;&gt;"",AT58&lt;&gt;""),ROUND(ROUND(AT57,3)-ROUND(AS58,3),3)*1000,""))),"")</f>
        <v/>
      </c>
      <c r="AV58" s="45" t="str">
        <f>IF(AND(NOT(ISNA(VLOOKUP(AQ58,A6:E105,5,FALSE))),AR58="",AS58&lt;&gt;""),ROUND((VLOOKUP(AQ58,A6:E105,5,FALSE)-AU58)/1000,3),IF(AND(NOT(ISNA(VLOOKUP(AQ58,G6:K105,5,FALSE))),AR58="",AS58&lt;&gt;""),ROUND((VLOOKUP(AQ58,G6:K105,5,FALSE)-AU58)/1000,3),IF(AND(NOT(ISNA(VLOOKUP(AQ58,M6:Q105,5,FALSE))),AR58="",AS58&lt;&gt;""),ROUND((VLOOKUP(AQ58,M6:Q105,5,FALSE)-AU58)/1000,3),IF(AND(NOT(ISNA(VLOOKUP(AQ58,S6:W105,5,FALSE))),AR58="",AS58&lt;&gt;""),ROUND((VLOOKUP(AQ58,S6:W105,5,FALSE)-AU58)/1000,3),IF(AND(NOT(ISNA(VLOOKUP(AQ58,Y6:AC105,5,FALSE))),AR58="",AS58&lt;&gt;""),ROUND((VLOOKUP(AQ58,Y6:AC105,5,FALSE)-AU58)/1000,3),IF(AND(NOT(ISNA(VLOOKUP(AQ58,AE6:AI105,5,FALSE))),AR58="",AS58&lt;&gt;""),ROUND((VLOOKUP(AQ58,AE6:AI105,5,FALSE)-AU58)/1000,3),IF(AND(NOT(ISNA(VLOOKUP(AQ58,AK6:AO105,5,FALSE))),AR58="",AS58&lt;&gt;""),ROUND((VLOOKUP(AQ58,AK6:AO105,5,FALSE)-AU58)/1000,3),IF(AND(NOT(ISNA(VLOOKUP(AQ58,AQ6:AU57,5,FALSE))),AR58="",AS58&lt;&gt;""),ROUND((VLOOKUP(AQ58,AQ6:AU57,5,FALSE)-AU58)/1000,3),""))))))))</f>
        <v/>
      </c>
      <c r="AW58" s="19">
        <f>IF(AW57="","",AW57+1)</f>
        <v>852</v>
      </c>
      <c r="AX58" s="39"/>
      <c r="AY58" s="39"/>
      <c r="AZ58" s="15" t="str">
        <f>IF(AND(AX58&lt;&gt;"",AY58&lt;&gt;""),ROUND(AX58,3)+ROUND(AZ57,3)-ROUND(AY58,3),IF(AND(EXACT(UPPER(AW58),"TBM"),AX58&lt;&gt;""),ROUND(AX58,3),IF(AX58="",AZ57,IF(ISNA(VLOOKUP(AW58,A6:E105,5,FALSE)),IF(ISNA(VLOOKUP(AW58,G6:K105,5,FALSE)),IF(ISNA(VLOOKUP(AW58,M6:Q105,5,FALSE)),IF(ISNA(VLOOKUP(AW58,S6:W105,5,FALSE)),IF(ISNA(VLOOKUP(AW58,Y6:AC105,5,FALSE)),IF(ISNA(VLOOKUP(AW58,AE6:AI105,5,FALSE)),IF(ISNA(VLOOKUP(AW58,AK6:AO105,5,FALSE)),IF(ISNA(VLOOKUP(AW58,AQ6:AU105,5,FALSE)),IF(ISNA(VLOOKUP(AW58,AW6:BA57,5,FALSE)),"",ROUND(VLOOKUP(AW58,AW6:BA57,5,FALSE),0)/1000+ROUND(AX58,3)),ROUND(VLOOKUP(AW58,AQ6:AU105,5,FALSE),0)/1000+ROUND(AX58,3)),ROUND(VLOOKUP(AW58,AK6:AO105,5,FALSE),0)/1000+ROUND(AX58,3)),ROUND(VLOOKUP(AW58,AE6:AI105,5,FALSE),0)/1000+ROUND(AX58,3)),ROUND(VLOOKUP(AW58,Y6:AC105,5,FALSE),0)/1000+ROUND(AX58,3)),ROUND(VLOOKUP(AW58,S6:W105,5,FALSE),0)/1000+ROUND(AX58,3)),ROUND(VLOOKUP(AW58,M6:Q105,5,FALSE),0)/1000+ROUND(AX58,3)),ROUND(VLOOKUP(AW58,G6:K105,5,FALSE),0)/1000+ROUND(AX58,3)),ROUND(VLOOKUP(AW58,A6:E105,5,FALSE),0)/1000+ROUND(AX58,3)))))</f>
        <v/>
      </c>
      <c r="BA58" s="18" t="str">
        <f>IF(OR(NOT(EXACT(UPPER(AW58),"TBM")),AX58=""),IF(AND(AX58&lt;&gt;"",AY58="",AZ58&lt;&gt;""),"",IF(AND(AX58="",AY58&lt;&gt;"",AZ58&lt;&gt;""),ROUND(ROUND(AZ58,3)-ROUND(AY58,3),3)*1000,IF(AND(AX58&lt;&gt;"",AY58&lt;&gt;"",AZ58&lt;&gt;""),ROUND(ROUND(AZ57,3)-ROUND(AY58,3),3)*1000,""))),"")</f>
        <v/>
      </c>
      <c r="BB58" s="45" t="str">
        <f>IF(AND(NOT(ISNA(VLOOKUP(AW58,A6:E105,5,FALSE))),AX58="",AY58&lt;&gt;""),ROUND((VLOOKUP(AW58,A6:E105,5,FALSE)-BA58)/1000,3),IF(AND(NOT(ISNA(VLOOKUP(AW58,G6:K105,5,FALSE))),AX58="",AY58&lt;&gt;""),ROUND((VLOOKUP(AW58,G6:K105,5,FALSE)-BA58)/1000,3),IF(AND(NOT(ISNA(VLOOKUP(AW58,M6:Q105,5,FALSE))),AX58="",AY58&lt;&gt;""),ROUND((VLOOKUP(AW58,M6:Q105,5,FALSE)-BA58)/1000,3),IF(AND(NOT(ISNA(VLOOKUP(AW58,S6:W105,5,FALSE))),AX58="",AY58&lt;&gt;""),ROUND((VLOOKUP(AW58,S6:W105,5,FALSE)-BA58)/1000,3),IF(AND(NOT(ISNA(VLOOKUP(AW58,Y6:AC105,5,FALSE))),AX58="",AY58&lt;&gt;""),ROUND((VLOOKUP(AW58,Y6:AC105,5,FALSE)-BA58)/1000,3),IF(AND(NOT(ISNA(VLOOKUP(AW58,AE6:AI105,5,FALSE))),AX58="",AY58&lt;&gt;""),ROUND((VLOOKUP(AW58,AE6:AI105,5,FALSE)-BA58)/1000,3),IF(AND(NOT(ISNA(VLOOKUP(AW58,AK6:AO105,5,FALSE))),AX58="",AY58&lt;&gt;""),ROUND((VLOOKUP(AW58,AK6:AO105,5,FALSE)-BA58)/1000,3),IF(AND(NOT(ISNA(VLOOKUP(AW58,AQ6:AU105,5,FALSE))),AX58="",AY58&lt;&gt;""),ROUND((VLOOKUP(AW58,AQ6:AU105,5,FALSE)-BA58)/1000,3),IF(AND(NOT(ISNA(VLOOKUP(AW58,AW6:BA57,5,FALSE))),AX58="",AY58&lt;&gt;""),ROUND((VLOOKUP(AW58,AW6:BA57,5,FALSE)-BA58)/1000,3),"")))))))))</f>
        <v/>
      </c>
      <c r="BC58" s="19">
        <f>IF(BC57="","",BC57+1)</f>
        <v>952</v>
      </c>
      <c r="BD58" s="39"/>
      <c r="BE58" s="39"/>
      <c r="BF58" s="15" t="str">
        <f>IF(AND(BD58&lt;&gt;"",BE58&lt;&gt;""),ROUND(BD58,3)+ROUND(BF57,3)-ROUND(BE58,3),IF(AND(EXACT(UPPER(BC58),"TBM"),BD58&lt;&gt;""),ROUND(BD58,3),IF(BD58="",BF57,IF(ISNA(VLOOKUP(BC58,A6:E105,5,FALSE)),IF(ISNA(VLOOKUP(BC58,G6:K105,5,FALSE)),IF(ISNA(VLOOKUP(BC58,M6:Q105,5,FALSE)),IF(ISNA(VLOOKUP(BC58,S6:W105,5,FALSE)),IF(ISNA(VLOOKUP(BC58,Y6:AC105,5,FALSE)),IF(ISNA(VLOOKUP(BC58,AE6:AI105,5,FALSE)),IF(ISNA(VLOOKUP(BC58,AK6:AO105,5,FALSE)),IF(ISNA(VLOOKUP(BC58,AQ6:AU105,5,FALSE)),IF(ISNA(VLOOKUP(BC58,AW6:BA105,5,FALSE)),IF(ISNA(VLOOKUP(BC58,BC6:BG57,5,FALSE)),"",ROUND(VLOOKUP(BC58,BC6:BG57,5,FALSE),0)/1000+ROUND(BD58,3)),ROUND(VLOOKUP(BC58,AW6:BA105,5,FALSE),0)/1000+ROUND(BD58,3)),ROUND(VLOOKUP(BC58,AQ6:AU105,5,FALSE),0)/1000+ROUND(BD58,3)),ROUND(VLOOKUP(BC58,AK6:AO105,5,FALSE),0)/1000+ROUND(BD58,3)),ROUND(VLOOKUP(BC58,AE6:AI105,5,FALSE),0)/1000+ROUND(BD58,3)),ROUND(VLOOKUP(BC58,Y6:AC105,5,FALSE),0)/1000+ROUND(BD58,3)),ROUND(VLOOKUP(BC58,S6:W105,5,FALSE),0)/1000+ROUND(BD58,3)),ROUND(VLOOKUP(BC58,M6:Q105,5,FALSE),0)/1000+ROUND(BD58,3)),ROUND(VLOOKUP(BC58,G6:K105,5,FALSE),0)/1000+ROUND(BD58,3)),ROUND(VLOOKUP(BC58,A6:E105,5,FALSE),0)/1000+ROUND(BD58,3)))))</f>
        <v/>
      </c>
      <c r="BG58" s="18" t="str">
        <f>IF(OR(NOT(EXACT(UPPER(BC58),"TBM")),BD58=""),IF(AND(BD58&lt;&gt;"",BE58="",BF58&lt;&gt;""),"",IF(AND(BD58="",BE58&lt;&gt;"",BF58&lt;&gt;""),ROUND(ROUND(BF58,3)-ROUND(BE58,3),3)*1000,IF(AND(BD58&lt;&gt;"",BE58&lt;&gt;"",BF58&lt;&gt;""),ROUND(ROUND(BF57,3)-ROUND(BE58,3),3)*1000,""))),"")</f>
        <v/>
      </c>
      <c r="BH58" s="45" t="str">
        <f>IF(AND(NOT(ISNA(VLOOKUP(BC58,A6:E105,5,FALSE))),BD58="",BE58&lt;&gt;""),ROUND((VLOOKUP(BC58,A6:E105,5,FALSE)-BG58)/1000,3),IF(AND(NOT(ISNA(VLOOKUP(BC58,G6:K105,5,FALSE))),BD58="",BE58&lt;&gt;""),ROUND((VLOOKUP(BC58,G6:K105,5,FALSE)-BG58)/1000,3),IF(AND(NOT(ISNA(VLOOKUP(BC58,M6:Q105,5,FALSE))),BD58="",BE58&lt;&gt;""),ROUND((VLOOKUP(BC58,M6:Q105,5,FALSE)-BG58)/1000,3),IF(AND(NOT(ISNA(VLOOKUP(BC58,S6:W105,5,FALSE))),BD58="",BE58&lt;&gt;""),ROUND((VLOOKUP(BC58,S6:W105,5,FALSE)-BG58)/1000,3),IF(AND(NOT(ISNA(VLOOKUP(BC58,Y6:AC105,5,FALSE))),BD58="",BE58&lt;&gt;""),ROUND((VLOOKUP(BC58,Y6:AC105,5,FALSE)-BG58)/1000,3),IF(AND(NOT(ISNA(VLOOKUP(BC58,AE6:AI105,5,FALSE))),BD58="",BE58&lt;&gt;""),ROUND((VLOOKUP(BC58,AE6:AI105,5,FALSE)-BG58)/1000,3),IF(AND(NOT(ISNA(VLOOKUP(BC58,AK6:AO105,5,FALSE))),BD58="",BE58&lt;&gt;""),ROUND((VLOOKUP(BC58,AK6:AO105,5,FALSE)-BG58)/1000,3),IF(AND(NOT(ISNA(VLOOKUP(BC58,AQ6:AU105,5,FALSE))),BD58="",BE58&lt;&gt;""),ROUND((VLOOKUP(BC58,AQ6:AU105,5,FALSE)-BG58)/1000,3),IF(AND(NOT(ISNA(VLOOKUP(BC58,AW6:BA105,5,FALSE))),BD58="",BE58&lt;&gt;""),ROUND((VLOOKUP(BC58,AW6:BA105,5,FALSE)-BG58)/1000,3),IF(AND(NOT(ISNA(VLOOKUP(BC58,BC6:BG57,5,FALSE))),BD58="",BE58&lt;&gt;""),ROUND((VLOOKUP(BC58,BC6:BG57,5,FALSE)-BG58)/1000,3),""))))))))))</f>
        <v/>
      </c>
    </row>
    <row r="59" spans="1:60" x14ac:dyDescent="0.25">
      <c r="A59" s="19">
        <f t="shared" si="3"/>
        <v>53</v>
      </c>
      <c r="B59" s="39"/>
      <c r="C59" s="39"/>
      <c r="D59" s="15" t="str">
        <f>IF(AND(B59&lt;&gt;"",C59&lt;&gt;""),ROUND(B59,3)+ROUND(D58,3)-ROUND(C59,3),IF(AND(EXACT(UPPER(A59),"TBM"),B59&lt;&gt;""),ROUND(B59,3),IF(B59="",D58,IF(ISNA(VLOOKUP(A59,A6:E58,5,FALSE)),"",ROUND(VLOOKUP(A59,A6:E58,5,FALSE),0)/1000+ROUND(B59,3)))))</f>
        <v/>
      </c>
      <c r="E59" s="21" t="str">
        <f t="shared" si="4"/>
        <v/>
      </c>
      <c r="F59" s="45" t="str">
        <f>IF(AND(NOT(ISNA(VLOOKUP(A59,A6:E58,5,FALSE))),B59="",C59&lt;&gt;""),ROUND((VLOOKUP(A59,A6:E58,5,FALSE)-E59)/1000,3),"")</f>
        <v/>
      </c>
      <c r="G59" s="19">
        <f t="shared" si="1"/>
        <v>153</v>
      </c>
      <c r="H59" s="39"/>
      <c r="I59" s="39"/>
      <c r="J59" s="15" t="str">
        <f>IF(AND(H59&lt;&gt;"",I59&lt;&gt;""),ROUND(H59,3)+ROUND(J58,3)-ROUND(I59,3),IF(AND(EXACT(UPPER(G59),"TBM"),H59&lt;&gt;""),ROUND(H59,3),IF(H59="",J58,IF(ISNA(VLOOKUP(G59,A6:E105,5,FALSE)),IF(ISNA(VLOOKUP(G59,G6:K58,5,FALSE)),"",ROUND(VLOOKUP(G59,G6:K58,5,FALSE),0)/1000+ROUND(H59,3)),ROUND(VLOOKUP(G59,A6:E105,5,FALSE),0)/1000+ROUND(H59,3)))))</f>
        <v/>
      </c>
      <c r="K59" s="18" t="str">
        <f t="shared" si="5"/>
        <v/>
      </c>
      <c r="L59" s="45" t="str">
        <f>IF(AND(NOT(ISNA(VLOOKUP(G59,A6:E105,5,FALSE))),H59="",I59&lt;&gt;""),ROUND((VLOOKUP(G59,A6:E105,5,FALSE)-K59)/1000,3),IF(AND(NOT(ISNA(VLOOKUP(G59,G6:K58,5,FALSE))),H59="",I59&lt;&gt;""),ROUND((VLOOKUP(G59,G6:K58,5,FALSE)-K59)/1000,3),""))</f>
        <v/>
      </c>
      <c r="M59" s="19">
        <f>IF(M58="","",M58+1)</f>
        <v>253</v>
      </c>
      <c r="N59" s="39"/>
      <c r="O59" s="39"/>
      <c r="P59" s="15" t="str">
        <f>IF(AND(N59&lt;&gt;"",O59&lt;&gt;""),ROUND(N59,3)+ROUND(P58,3)-ROUND(O59,3),IF(AND(EXACT(UPPER(M59),"TBM"),N59&lt;&gt;""),ROUND(N59,3),IF(N59="",P58,IF(ISNA(VLOOKUP(M59,A6:E105,5,FALSE)),IF(ISNA(VLOOKUP(M59,G6:K105,5,FALSE)),IF(ISNA(VLOOKUP(M59,M6:Q58,5,FALSE)),"",ROUND(VLOOKUP(M59,M6:Q58,5,FALSE),0)/1000+ROUND(N59,3)),ROUND(VLOOKUP(M59,G6:K105,5,FALSE),0)/1000+ROUND(N59,3)),ROUND(VLOOKUP(M59,A6:E105,5,FALSE),0)/1000+ROUND(N59,3)))))</f>
        <v/>
      </c>
      <c r="Q59" s="18" t="str">
        <f>IF(OR(NOT(EXACT(UPPER(M59),"TBM")),N59=""),IF(AND(N59&lt;&gt;"",O59="",P59&lt;&gt;""),"",IF(AND(N59="",O59&lt;&gt;"",P59&lt;&gt;""),ROUND(ROUND(P59,3)-ROUND(O59,3),3)*1000,IF(AND(N59&lt;&gt;"",O59&lt;&gt;"",P59&lt;&gt;""),ROUND(ROUND(P58,3)-ROUND(O59,3),3)*1000,""))),"")</f>
        <v/>
      </c>
      <c r="R59" s="45" t="str">
        <f>IF(AND(NOT(ISNA(VLOOKUP(M59,A6:E105,5,FALSE))),N59="",O59&lt;&gt;""),ROUND((VLOOKUP(M59,A6:E105,5,FALSE)-Q59)/1000,3),IF(AND(NOT(ISNA(VLOOKUP(M59,G6:K105,5,FALSE))),N59="",O59&lt;&gt;""),ROUND((VLOOKUP(M59,G6:K105,5,FALSE)-Q59)/1000,3),IF(AND(NOT(ISNA(VLOOKUP(M59,M6:Q58,5,FALSE))),N59="",O59&lt;&gt;""),ROUND((VLOOKUP(M59,M6:Q58,5,FALSE)-Q59)/1000,3),"")))</f>
        <v/>
      </c>
      <c r="S59" s="19">
        <f>IF(S58="","",S58+1)</f>
        <v>353</v>
      </c>
      <c r="T59" s="39"/>
      <c r="U59" s="39"/>
      <c r="V59" s="15" t="str">
        <f>IF(AND(T59&lt;&gt;"",U59&lt;&gt;""),ROUND(T59,3)+ROUND(V58,3)-ROUND(U59,3),IF(AND(EXACT(UPPER(S59),"TBM"),T59&lt;&gt;""),ROUND(T59,3),IF(T59="",V58,IF(ISNA(VLOOKUP(S59,A6:E105,5,FALSE)),IF(ISNA(VLOOKUP(S59,G6:K105,5,FALSE)),IF(ISNA(VLOOKUP(S59,M6:Q105,5,FALSE)),IF(ISNA(VLOOKUP(S59,S6:W58,5,FALSE)),"",ROUND(VLOOKUP(S59,S6:W58,5,FALSE),0)/1000+ROUND(T59,3)),ROUND(VLOOKUP(S59,M6:Q105,5,FALSE),0)/1000+ROUND(T59,3)),ROUND(VLOOKUP(S59,G6:K105,5,FALSE),0)/1000+ROUND(T59,3)),ROUND(VLOOKUP(S59,A6:E105,5,FALSE),0)/1000+ROUND(T59,3)))))</f>
        <v/>
      </c>
      <c r="W59" s="18" t="str">
        <f>IF(OR(NOT(EXACT(UPPER(S59),"TBM")),T59=""),IF(AND(T59&lt;&gt;"",U59="",V59&lt;&gt;""),"",IF(AND(T59="",U59&lt;&gt;"",V59&lt;&gt;""),ROUND(ROUND(V59,3)-ROUND(U59,3),3)*1000,IF(AND(T59&lt;&gt;"",U59&lt;&gt;"",V59&lt;&gt;""),ROUND(ROUND(V58,3)-ROUND(U59,3),3)*1000,""))),"")</f>
        <v/>
      </c>
      <c r="X59" s="45" t="str">
        <f>IF(AND(NOT(ISNA(VLOOKUP(S59,A6:E105,5,FALSE))),T59="",U59&lt;&gt;""),ROUND((VLOOKUP(S59,A6:E105,5,FALSE)-W59)/1000,3),IF(AND(NOT(ISNA(VLOOKUP(S59,G6:K105,5,FALSE))),T59="",U59&lt;&gt;""),ROUND((VLOOKUP(S59,G6:K105,5,FALSE)-W59)/1000,3),IF(AND(NOT(ISNA(VLOOKUP(S59,M6:Q105,5,FALSE))),T59="",U59&lt;&gt;""),ROUND((VLOOKUP(S59,M6:Q105,5,FALSE)-W59)/1000,3),IF(AND(NOT(ISNA(VLOOKUP(S59,S6:W58,5,FALSE))),T59="",U59&lt;&gt;""),ROUND((VLOOKUP(S59,S6:W58,5,FALSE)-W59)/1000,3),""))))</f>
        <v/>
      </c>
      <c r="Y59" s="19">
        <f>IF(Y58="","",Y58+1)</f>
        <v>453</v>
      </c>
      <c r="Z59" s="39"/>
      <c r="AA59" s="39"/>
      <c r="AB59" s="15" t="str">
        <f>IF(AND(Z59&lt;&gt;"",AA59&lt;&gt;""),ROUND(Z59,3)+ROUND(AB58,3)-ROUND(AA59,3),IF(AND(EXACT(UPPER(Y59),"TBM"),Z59&lt;&gt;""),ROUND(Z59,3),IF(Z59="",AB58,IF(ISNA(VLOOKUP(Y59,A6:E105,5,FALSE)),IF(ISNA(VLOOKUP(Y59,G6:K105,5,FALSE)),IF(ISNA(VLOOKUP(Y59,M6:Q105,5,FALSE)),IF(ISNA(VLOOKUP(Y59,S6:W105,5,FALSE)),IF(ISNA(VLOOKUP(Y59,Y6:AC58,5,FALSE)),"",ROUND(VLOOKUP(Y59,Y6:AC58,5,FALSE),0)/1000+ROUND(Z59,3)),ROUND(VLOOKUP(Y59,S6:W105,5,FALSE),0)/1000+ROUND(Z59,3)),ROUND(VLOOKUP(Y59,M6:Q105,5,FALSE),0)/1000+ROUND(Z59,3)),ROUND(VLOOKUP(Y59,G6:K105,5,FALSE),0)/1000+ROUND(Z59,3)),ROUND(VLOOKUP(Y59,A6:E105,5,FALSE),0)/1000+ROUND(Z59,3)))))</f>
        <v/>
      </c>
      <c r="AC59" s="18" t="str">
        <f>IF(OR(NOT(EXACT(UPPER(Y59),"TBM")),Z59=""),IF(AND(Z59&lt;&gt;"",AA59="",AB59&lt;&gt;""),"",IF(AND(Z59="",AA59&lt;&gt;"",AB59&lt;&gt;""),ROUND(ROUND(AB59,3)-ROUND(AA59,3),3)*1000,IF(AND(Z59&lt;&gt;"",AA59&lt;&gt;"",AB59&lt;&gt;""),ROUND(ROUND(AB58,3)-ROUND(AA59,3),3)*1000,""))),"")</f>
        <v/>
      </c>
      <c r="AD59" s="45" t="str">
        <f>IF(AND(NOT(ISNA(VLOOKUP(Y59,A6:E105,5,FALSE))),Z59="",AA59&lt;&gt;""),ROUND((VLOOKUP(Y59,A6:E105,5,FALSE)-AC59)/1000,3),IF(AND(NOT(ISNA(VLOOKUP(Y59,G6:K105,5,FALSE))),Z59="",AA59&lt;&gt;""),ROUND((VLOOKUP(Y59,G6:K105,5,FALSE)-AC59)/1000,3),IF(AND(NOT(ISNA(VLOOKUP(Y59,M6:Q105,5,FALSE))),Z59="",AA59&lt;&gt;""),ROUND((VLOOKUP(Y59,M6:Q105,5,FALSE)-AC59)/1000,3),IF(AND(NOT(ISNA(VLOOKUP(Y59,S6:W105,5,FALSE))),Z59="",AA59&lt;&gt;""),ROUND((VLOOKUP(Y59,S6:W105,5,FALSE)-AC59)/1000,3),IF(AND(NOT(ISNA(VLOOKUP(Y59,Y6:AC58,5,FALSE))),Z59="",AA59&lt;&gt;""),ROUND((VLOOKUP(Y59,Y6:AC58,5,FALSE)-AC59)/1000,3),"")))))</f>
        <v/>
      </c>
      <c r="AE59" s="19">
        <f>IF(AE58="","",AE58+1)</f>
        <v>553</v>
      </c>
      <c r="AF59" s="39"/>
      <c r="AG59" s="39"/>
      <c r="AH59" s="15" t="str">
        <f>IF(AND(AF59&lt;&gt;"",AG59&lt;&gt;""),ROUND(AF59,3)+ROUND(AH58,3)-ROUND(AG59,3),IF(AND(EXACT(UPPER(AE59),"TBM"),AF59&lt;&gt;""),ROUND(AF59,3),IF(AF59="",AH58,IF(ISNA(VLOOKUP(AE59,A6:E105,5,FALSE)),IF(ISNA(VLOOKUP(AE59,G6:K105,5,FALSE)),IF(ISNA(VLOOKUP(AE59,M6:Q105,5,FALSE)),IF(ISNA(VLOOKUP(AE59,S6:W105,5,FALSE)),IF(ISNA(VLOOKUP(AE59,Y6:AC105,5,FALSE)),IF(ISNA(VLOOKUP(AE59,AE6:AI58,5,FALSE)),"",ROUND(VLOOKUP(AE59,AE6:AI58,5,FALSE),0)/1000+ROUND(AF59,3)),ROUND(VLOOKUP(AE59,Y6:AC105,5,FALSE),0)/1000+ROUND(AF59,3)),ROUND(VLOOKUP(AE59,S6:W105,5,FALSE),0)/1000+ROUND(AF59,3)),ROUND(VLOOKUP(AE59,M6:Q105,5,FALSE),0)/1000+ROUND(AF59,3)),ROUND(VLOOKUP(AE59,G6:K105,5,FALSE),0)/1000+ROUND(AF59,3)),ROUND(VLOOKUP(AE59,A6:E105,5,FALSE),0)/1000+ROUND(AF59,3)))))</f>
        <v/>
      </c>
      <c r="AI59" s="18" t="str">
        <f>IF(OR(NOT(EXACT(UPPER(AE59),"TBM")),AF59=""),IF(AND(AF59&lt;&gt;"",AG59="",AH59&lt;&gt;""),"",IF(AND(AF59="",AG59&lt;&gt;"",AH59&lt;&gt;""),ROUND(ROUND(AH59,3)-ROUND(AG59,3),3)*1000,IF(AND(AF59&lt;&gt;"",AG59&lt;&gt;"",AH59&lt;&gt;""),ROUND(ROUND(AH58,3)-ROUND(AG59,3),3)*1000,""))),"")</f>
        <v/>
      </c>
      <c r="AJ59" s="45" t="str">
        <f>IF(AND(NOT(ISNA(VLOOKUP(AE59,A6:E105,5,FALSE))),AF59="",AG59&lt;&gt;""),ROUND((VLOOKUP(AE59,A6:E105,5,FALSE)-AI59)/1000,3),IF(AND(NOT(ISNA(VLOOKUP(AE59,G6:K105,5,FALSE))),AF59="",AG59&lt;&gt;""),ROUND((VLOOKUP(AE59,G6:K105,5,FALSE)-AI59)/1000,3),IF(AND(NOT(ISNA(VLOOKUP(AE59,M6:Q105,5,FALSE))),AF59="",AG59&lt;&gt;""),ROUND((VLOOKUP(AE59,M6:Q105,5,FALSE)-AI59)/1000,3),IF(AND(NOT(ISNA(VLOOKUP(AE59,S6:W105,5,FALSE))),AF59="",AG59&lt;&gt;""),ROUND((VLOOKUP(AE59,S6:W105,5,FALSE)-AI59)/1000,3),IF(AND(NOT(ISNA(VLOOKUP(AE59,Y6:AC105,5,FALSE))),AF59="",AG59&lt;&gt;""),ROUND((VLOOKUP(AE59,Y6:AC105,5,FALSE)-AI59)/1000,3),IF(AND(NOT(ISNA(VLOOKUP(AE59,AE6:AI58,5,FALSE))),AF59="",AG59&lt;&gt;""),ROUND((VLOOKUP(AE59,AE6:AI58,5,FALSE)-AI59)/1000,3),""))))))</f>
        <v/>
      </c>
      <c r="AK59" s="19">
        <f>IF(AK58="","",AK58+1)</f>
        <v>653</v>
      </c>
      <c r="AL59" s="39"/>
      <c r="AM59" s="39"/>
      <c r="AN59" s="15" t="str">
        <f>IF(AND(AL59&lt;&gt;"",AM59&lt;&gt;""),ROUND(AL59,3)+ROUND(AN58,3)-ROUND(AM59,3),IF(AND(EXACT(UPPER(AK59),"TBM"),AL59&lt;&gt;""),ROUND(AL59,3),IF(AL59="",AN58,IF(ISNA(VLOOKUP(AK59,A6:E105,5,FALSE)),IF(ISNA(VLOOKUP(AK59,G6:K105,5,FALSE)),IF(ISNA(VLOOKUP(AK59,M6:Q105,5,FALSE)),IF(ISNA(VLOOKUP(AK59,S6:W105,5,FALSE)),IF(ISNA(VLOOKUP(AK59,Y6:AC105,5,FALSE)),IF(ISNA(VLOOKUP(AK59,AE6:AI105,5,FALSE)),IF(ISNA(VLOOKUP(AK59,AK6:AO58,5,FALSE)),"",ROUND(VLOOKUP(AK59,AK6:AO58,5,FALSE),0)/1000+ROUND(AL59,3)),ROUND(VLOOKUP(AK59,AE6:AI105,5,FALSE),0)/1000+ROUND(AL59,3)),ROUND(VLOOKUP(AK59,Y6:AC105,5,FALSE),0)/1000+ROUND(AL59,3)),ROUND(VLOOKUP(AK59,S6:W105,5,FALSE),0)/1000+ROUND(AL59,3)),ROUND(VLOOKUP(AK59,M6:Q105,5,FALSE),0)/1000+ROUND(AL59,3)),ROUND(VLOOKUP(AK59,G6:K105,5,FALSE),0)/1000+ROUND(AL59,3)),ROUND(VLOOKUP(AK59,A6:E105,5,FALSE),0)/1000+ROUND(AL59,3)))))</f>
        <v/>
      </c>
      <c r="AO59" s="18" t="str">
        <f>IF(OR(NOT(EXACT(UPPER(AK59),"TBM")),AL59=""),IF(AND(AL59&lt;&gt;"",AM59="",AN59&lt;&gt;""),"",IF(AND(AL59="",AM59&lt;&gt;"",AN59&lt;&gt;""),ROUND(ROUND(AN59,3)-ROUND(AM59,3),3)*1000,IF(AND(AL59&lt;&gt;"",AM59&lt;&gt;"",AN59&lt;&gt;""),ROUND(ROUND(AN58,3)-ROUND(AM59,3),3)*1000,""))),"")</f>
        <v/>
      </c>
      <c r="AP59" s="45" t="str">
        <f>IF(AND(NOT(ISNA(VLOOKUP(AK59,A6:E105,5,FALSE))),AL59="",AM59&lt;&gt;""),ROUND((VLOOKUP(AK59,A6:E105,5,FALSE)-AO59)/1000,3),IF(AND(NOT(ISNA(VLOOKUP(AK59,G6:K105,5,FALSE))),AL59="",AM59&lt;&gt;""),ROUND((VLOOKUP(AK59,G6:K105,5,FALSE)-AO59)/1000,3),IF(AND(NOT(ISNA(VLOOKUP(AK59,M6:Q105,5,FALSE))),AL59="",AM59&lt;&gt;""),ROUND((VLOOKUP(AK59,M6:Q105,5,FALSE)-AO59)/1000,3),IF(AND(NOT(ISNA(VLOOKUP(AK59,S6:W105,5,FALSE))),AL59="",AM59&lt;&gt;""),ROUND((VLOOKUP(AK59,S6:W105,5,FALSE)-AO59)/1000,3),IF(AND(NOT(ISNA(VLOOKUP(AK59,Y6:AC105,5,FALSE))),AL59="",AM59&lt;&gt;""),ROUND((VLOOKUP(AK59,Y6:AC105,5,FALSE)-AO59)/1000,3),IF(AND(NOT(ISNA(VLOOKUP(AK59,AE6:AI105,5,FALSE))),AL59="",AM59&lt;&gt;""),ROUND((VLOOKUP(AK59,AE6:AI105,5,FALSE)-AO59)/1000,3),IF(AND(NOT(ISNA(VLOOKUP(AK59,AK6:AO58,5,FALSE))),AL59="",AM59&lt;&gt;""),ROUND((VLOOKUP(AK59,AK6:AO58,5,FALSE)-AO59)/1000,3),"")))))))</f>
        <v/>
      </c>
      <c r="AQ59" s="19">
        <f>IF(AQ58="","",AQ58+1)</f>
        <v>753</v>
      </c>
      <c r="AR59" s="39"/>
      <c r="AS59" s="39"/>
      <c r="AT59" s="15" t="str">
        <f>IF(AND(AR59&lt;&gt;"",AS59&lt;&gt;""),ROUND(AR59,3)+ROUND(AT58,3)-ROUND(AS59,3),IF(AND(EXACT(UPPER(AQ59),"TBM"),AR59&lt;&gt;""),ROUND(AR59,3),IF(AR59="",AT58,IF(ISNA(VLOOKUP(AQ59,A6:E105,5,FALSE)),IF(ISNA(VLOOKUP(AQ59,G6:K105,5,FALSE)),IF(ISNA(VLOOKUP(AQ59,M6:Q105,5,FALSE)),IF(ISNA(VLOOKUP(AQ59,S6:W105,5,FALSE)),IF(ISNA(VLOOKUP(AQ59,Y6:AC105,5,FALSE)),IF(ISNA(VLOOKUP(AQ59,AE6:AI105,5,FALSE)),IF(ISNA(VLOOKUP(AQ59,AK6:AO105,5,FALSE)),IF(ISNA(VLOOKUP(AQ59,AQ6:AU58,5,FALSE)),"",ROUND(VLOOKUP(AQ59,AQ6:AU58,5,FALSE),0)/1000+ROUND(AR59,3)),ROUND(VLOOKUP(AQ59,AK6:AO105,5,FALSE),0)/1000+ROUND(AR59,3)),ROUND(VLOOKUP(AQ59,AE6:AI105,5,FALSE),0)/1000+ROUND(AR59,3)),ROUND(VLOOKUP(AQ59,Y6:AC105,5,FALSE),0)/1000+ROUND(AR59,3)),ROUND(VLOOKUP(AQ59,S6:W105,5,FALSE),0)/1000+ROUND(AR59,3)),ROUND(VLOOKUP(AQ59,M6:Q105,5,FALSE),0)/1000+ROUND(AR59,3)),ROUND(VLOOKUP(AQ59,G6:K105,5,FALSE),0)/1000+ROUND(AR59,3)),ROUND(VLOOKUP(AQ59,A6:E105,5,FALSE),0)/1000+ROUND(AR59,3)))))</f>
        <v/>
      </c>
      <c r="AU59" s="18" t="str">
        <f>IF(OR(NOT(EXACT(UPPER(AQ59),"TBM")),AR59=""),IF(AND(AR59&lt;&gt;"",AS59="",AT59&lt;&gt;""),"",IF(AND(AR59="",AS59&lt;&gt;"",AT59&lt;&gt;""),ROUND(ROUND(AT59,3)-ROUND(AS59,3),3)*1000,IF(AND(AR59&lt;&gt;"",AS59&lt;&gt;"",AT59&lt;&gt;""),ROUND(ROUND(AT58,3)-ROUND(AS59,3),3)*1000,""))),"")</f>
        <v/>
      </c>
      <c r="AV59" s="45" t="str">
        <f>IF(AND(NOT(ISNA(VLOOKUP(AQ59,A6:E105,5,FALSE))),AR59="",AS59&lt;&gt;""),ROUND((VLOOKUP(AQ59,A6:E105,5,FALSE)-AU59)/1000,3),IF(AND(NOT(ISNA(VLOOKUP(AQ59,G6:K105,5,FALSE))),AR59="",AS59&lt;&gt;""),ROUND((VLOOKUP(AQ59,G6:K105,5,FALSE)-AU59)/1000,3),IF(AND(NOT(ISNA(VLOOKUP(AQ59,M6:Q105,5,FALSE))),AR59="",AS59&lt;&gt;""),ROUND((VLOOKUP(AQ59,M6:Q105,5,FALSE)-AU59)/1000,3),IF(AND(NOT(ISNA(VLOOKUP(AQ59,S6:W105,5,FALSE))),AR59="",AS59&lt;&gt;""),ROUND((VLOOKUP(AQ59,S6:W105,5,FALSE)-AU59)/1000,3),IF(AND(NOT(ISNA(VLOOKUP(AQ59,Y6:AC105,5,FALSE))),AR59="",AS59&lt;&gt;""),ROUND((VLOOKUP(AQ59,Y6:AC105,5,FALSE)-AU59)/1000,3),IF(AND(NOT(ISNA(VLOOKUP(AQ59,AE6:AI105,5,FALSE))),AR59="",AS59&lt;&gt;""),ROUND((VLOOKUP(AQ59,AE6:AI105,5,FALSE)-AU59)/1000,3),IF(AND(NOT(ISNA(VLOOKUP(AQ59,AK6:AO105,5,FALSE))),AR59="",AS59&lt;&gt;""),ROUND((VLOOKUP(AQ59,AK6:AO105,5,FALSE)-AU59)/1000,3),IF(AND(NOT(ISNA(VLOOKUP(AQ59,AQ6:AU58,5,FALSE))),AR59="",AS59&lt;&gt;""),ROUND((VLOOKUP(AQ59,AQ6:AU58,5,FALSE)-AU59)/1000,3),""))))))))</f>
        <v/>
      </c>
      <c r="AW59" s="19">
        <f>IF(AW58="","",AW58+1)</f>
        <v>853</v>
      </c>
      <c r="AX59" s="39"/>
      <c r="AY59" s="39"/>
      <c r="AZ59" s="15" t="str">
        <f>IF(AND(AX59&lt;&gt;"",AY59&lt;&gt;""),ROUND(AX59,3)+ROUND(AZ58,3)-ROUND(AY59,3),IF(AND(EXACT(UPPER(AW59),"TBM"),AX59&lt;&gt;""),ROUND(AX59,3),IF(AX59="",AZ58,IF(ISNA(VLOOKUP(AW59,A6:E105,5,FALSE)),IF(ISNA(VLOOKUP(AW59,G6:K105,5,FALSE)),IF(ISNA(VLOOKUP(AW59,M6:Q105,5,FALSE)),IF(ISNA(VLOOKUP(AW59,S6:W105,5,FALSE)),IF(ISNA(VLOOKUP(AW59,Y6:AC105,5,FALSE)),IF(ISNA(VLOOKUP(AW59,AE6:AI105,5,FALSE)),IF(ISNA(VLOOKUP(AW59,AK6:AO105,5,FALSE)),IF(ISNA(VLOOKUP(AW59,AQ6:AU105,5,FALSE)),IF(ISNA(VLOOKUP(AW59,AW6:BA58,5,FALSE)),"",ROUND(VLOOKUP(AW59,AW6:BA58,5,FALSE),0)/1000+ROUND(AX59,3)),ROUND(VLOOKUP(AW59,AQ6:AU105,5,FALSE),0)/1000+ROUND(AX59,3)),ROUND(VLOOKUP(AW59,AK6:AO105,5,FALSE),0)/1000+ROUND(AX59,3)),ROUND(VLOOKUP(AW59,AE6:AI105,5,FALSE),0)/1000+ROUND(AX59,3)),ROUND(VLOOKUP(AW59,Y6:AC105,5,FALSE),0)/1000+ROUND(AX59,3)),ROUND(VLOOKUP(AW59,S6:W105,5,FALSE),0)/1000+ROUND(AX59,3)),ROUND(VLOOKUP(AW59,M6:Q105,5,FALSE),0)/1000+ROUND(AX59,3)),ROUND(VLOOKUP(AW59,G6:K105,5,FALSE),0)/1000+ROUND(AX59,3)),ROUND(VLOOKUP(AW59,A6:E105,5,FALSE),0)/1000+ROUND(AX59,3)))))</f>
        <v/>
      </c>
      <c r="BA59" s="18" t="str">
        <f>IF(OR(NOT(EXACT(UPPER(AW59),"TBM")),AX59=""),IF(AND(AX59&lt;&gt;"",AY59="",AZ59&lt;&gt;""),"",IF(AND(AX59="",AY59&lt;&gt;"",AZ59&lt;&gt;""),ROUND(ROUND(AZ59,3)-ROUND(AY59,3),3)*1000,IF(AND(AX59&lt;&gt;"",AY59&lt;&gt;"",AZ59&lt;&gt;""),ROUND(ROUND(AZ58,3)-ROUND(AY59,3),3)*1000,""))),"")</f>
        <v/>
      </c>
      <c r="BB59" s="45" t="str">
        <f>IF(AND(NOT(ISNA(VLOOKUP(AW59,A6:E105,5,FALSE))),AX59="",AY59&lt;&gt;""),ROUND((VLOOKUP(AW59,A6:E105,5,FALSE)-BA59)/1000,3),IF(AND(NOT(ISNA(VLOOKUP(AW59,G6:K105,5,FALSE))),AX59="",AY59&lt;&gt;""),ROUND((VLOOKUP(AW59,G6:K105,5,FALSE)-BA59)/1000,3),IF(AND(NOT(ISNA(VLOOKUP(AW59,M6:Q105,5,FALSE))),AX59="",AY59&lt;&gt;""),ROUND((VLOOKUP(AW59,M6:Q105,5,FALSE)-BA59)/1000,3),IF(AND(NOT(ISNA(VLOOKUP(AW59,S6:W105,5,FALSE))),AX59="",AY59&lt;&gt;""),ROUND((VLOOKUP(AW59,S6:W105,5,FALSE)-BA59)/1000,3),IF(AND(NOT(ISNA(VLOOKUP(AW59,Y6:AC105,5,FALSE))),AX59="",AY59&lt;&gt;""),ROUND((VLOOKUP(AW59,Y6:AC105,5,FALSE)-BA59)/1000,3),IF(AND(NOT(ISNA(VLOOKUP(AW59,AE6:AI105,5,FALSE))),AX59="",AY59&lt;&gt;""),ROUND((VLOOKUP(AW59,AE6:AI105,5,FALSE)-BA59)/1000,3),IF(AND(NOT(ISNA(VLOOKUP(AW59,AK6:AO105,5,FALSE))),AX59="",AY59&lt;&gt;""),ROUND((VLOOKUP(AW59,AK6:AO105,5,FALSE)-BA59)/1000,3),IF(AND(NOT(ISNA(VLOOKUP(AW59,AQ6:AU105,5,FALSE))),AX59="",AY59&lt;&gt;""),ROUND((VLOOKUP(AW59,AQ6:AU105,5,FALSE)-BA59)/1000,3),IF(AND(NOT(ISNA(VLOOKUP(AW59,AW6:BA58,5,FALSE))),AX59="",AY59&lt;&gt;""),ROUND((VLOOKUP(AW59,AW6:BA58,5,FALSE)-BA59)/1000,3),"")))))))))</f>
        <v/>
      </c>
      <c r="BC59" s="19">
        <f>IF(BC58="","",BC58+1)</f>
        <v>953</v>
      </c>
      <c r="BD59" s="39"/>
      <c r="BE59" s="39"/>
      <c r="BF59" s="15" t="str">
        <f>IF(AND(BD59&lt;&gt;"",BE59&lt;&gt;""),ROUND(BD59,3)+ROUND(BF58,3)-ROUND(BE59,3),IF(AND(EXACT(UPPER(BC59),"TBM"),BD59&lt;&gt;""),ROUND(BD59,3),IF(BD59="",BF58,IF(ISNA(VLOOKUP(BC59,A6:E105,5,FALSE)),IF(ISNA(VLOOKUP(BC59,G6:K105,5,FALSE)),IF(ISNA(VLOOKUP(BC59,M6:Q105,5,FALSE)),IF(ISNA(VLOOKUP(BC59,S6:W105,5,FALSE)),IF(ISNA(VLOOKUP(BC59,Y6:AC105,5,FALSE)),IF(ISNA(VLOOKUP(BC59,AE6:AI105,5,FALSE)),IF(ISNA(VLOOKUP(BC59,AK6:AO105,5,FALSE)),IF(ISNA(VLOOKUP(BC59,AQ6:AU105,5,FALSE)),IF(ISNA(VLOOKUP(BC59,AW6:BA105,5,FALSE)),IF(ISNA(VLOOKUP(BC59,BC6:BG58,5,FALSE)),"",ROUND(VLOOKUP(BC59,BC6:BG58,5,FALSE),0)/1000+ROUND(BD59,3)),ROUND(VLOOKUP(BC59,AW6:BA105,5,FALSE),0)/1000+ROUND(BD59,3)),ROUND(VLOOKUP(BC59,AQ6:AU105,5,FALSE),0)/1000+ROUND(BD59,3)),ROUND(VLOOKUP(BC59,AK6:AO105,5,FALSE),0)/1000+ROUND(BD59,3)),ROUND(VLOOKUP(BC59,AE6:AI105,5,FALSE),0)/1000+ROUND(BD59,3)),ROUND(VLOOKUP(BC59,Y6:AC105,5,FALSE),0)/1000+ROUND(BD59,3)),ROUND(VLOOKUP(BC59,S6:W105,5,FALSE),0)/1000+ROUND(BD59,3)),ROUND(VLOOKUP(BC59,M6:Q105,5,FALSE),0)/1000+ROUND(BD59,3)),ROUND(VLOOKUP(BC59,G6:K105,5,FALSE),0)/1000+ROUND(BD59,3)),ROUND(VLOOKUP(BC59,A6:E105,5,FALSE),0)/1000+ROUND(BD59,3)))))</f>
        <v/>
      </c>
      <c r="BG59" s="18" t="str">
        <f>IF(OR(NOT(EXACT(UPPER(BC59),"TBM")),BD59=""),IF(AND(BD59&lt;&gt;"",BE59="",BF59&lt;&gt;""),"",IF(AND(BD59="",BE59&lt;&gt;"",BF59&lt;&gt;""),ROUND(ROUND(BF59,3)-ROUND(BE59,3),3)*1000,IF(AND(BD59&lt;&gt;"",BE59&lt;&gt;"",BF59&lt;&gt;""),ROUND(ROUND(BF58,3)-ROUND(BE59,3),3)*1000,""))),"")</f>
        <v/>
      </c>
      <c r="BH59" s="45" t="str">
        <f>IF(AND(NOT(ISNA(VLOOKUP(BC59,A6:E105,5,FALSE))),BD59="",BE59&lt;&gt;""),ROUND((VLOOKUP(BC59,A6:E105,5,FALSE)-BG59)/1000,3),IF(AND(NOT(ISNA(VLOOKUP(BC59,G6:K105,5,FALSE))),BD59="",BE59&lt;&gt;""),ROUND((VLOOKUP(BC59,G6:K105,5,FALSE)-BG59)/1000,3),IF(AND(NOT(ISNA(VLOOKUP(BC59,M6:Q105,5,FALSE))),BD59="",BE59&lt;&gt;""),ROUND((VLOOKUP(BC59,M6:Q105,5,FALSE)-BG59)/1000,3),IF(AND(NOT(ISNA(VLOOKUP(BC59,S6:W105,5,FALSE))),BD59="",BE59&lt;&gt;""),ROUND((VLOOKUP(BC59,S6:W105,5,FALSE)-BG59)/1000,3),IF(AND(NOT(ISNA(VLOOKUP(BC59,Y6:AC105,5,FALSE))),BD59="",BE59&lt;&gt;""),ROUND((VLOOKUP(BC59,Y6:AC105,5,FALSE)-BG59)/1000,3),IF(AND(NOT(ISNA(VLOOKUP(BC59,AE6:AI105,5,FALSE))),BD59="",BE59&lt;&gt;""),ROUND((VLOOKUP(BC59,AE6:AI105,5,FALSE)-BG59)/1000,3),IF(AND(NOT(ISNA(VLOOKUP(BC59,AK6:AO105,5,FALSE))),BD59="",BE59&lt;&gt;""),ROUND((VLOOKUP(BC59,AK6:AO105,5,FALSE)-BG59)/1000,3),IF(AND(NOT(ISNA(VLOOKUP(BC59,AQ6:AU105,5,FALSE))),BD59="",BE59&lt;&gt;""),ROUND((VLOOKUP(BC59,AQ6:AU105,5,FALSE)-BG59)/1000,3),IF(AND(NOT(ISNA(VLOOKUP(BC59,AW6:BA105,5,FALSE))),BD59="",BE59&lt;&gt;""),ROUND((VLOOKUP(BC59,AW6:BA105,5,FALSE)-BG59)/1000,3),IF(AND(NOT(ISNA(VLOOKUP(BC59,BC6:BG58,5,FALSE))),BD59="",BE59&lt;&gt;""),ROUND((VLOOKUP(BC59,BC6:BG58,5,FALSE)-BG59)/1000,3),""))))))))))</f>
        <v/>
      </c>
    </row>
    <row r="60" spans="1:60" x14ac:dyDescent="0.25">
      <c r="A60" s="67">
        <f t="shared" si="3"/>
        <v>54</v>
      </c>
      <c r="B60" s="40"/>
      <c r="C60" s="40"/>
      <c r="D60" s="62" t="str">
        <f>IF(AND(B60&lt;&gt;"",C60&lt;&gt;""),ROUND(B60,3)+ROUND(D59,3)-ROUND(C60,3),IF(AND(EXACT(UPPER(A60),"TBM"),B60&lt;&gt;""),ROUND(B60,3),IF(B60="",D59,IF(ISNA(VLOOKUP(A60,A6:E59,5,FALSE)),"",ROUND(VLOOKUP(A60,A6:E59,5,FALSE),0)/1000+ROUND(B60,3)))))</f>
        <v/>
      </c>
      <c r="E60" s="20" t="str">
        <f t="shared" si="4"/>
        <v/>
      </c>
      <c r="F60" s="46" t="str">
        <f>IF(AND(NOT(ISNA(VLOOKUP(A60,A6:E59,5,FALSE))),B60="",C60&lt;&gt;""),ROUND((VLOOKUP(A60,A6:E59,5,FALSE)-E60)/1000,3),"")</f>
        <v/>
      </c>
      <c r="G60" s="67">
        <f t="shared" si="1"/>
        <v>154</v>
      </c>
      <c r="H60" s="40"/>
      <c r="I60" s="40"/>
      <c r="J60" s="62" t="str">
        <f>IF(AND(H60&lt;&gt;"",I60&lt;&gt;""),ROUND(H60,3)+ROUND(J59,3)-ROUND(I60,3),IF(AND(EXACT(UPPER(G60),"TBM"),H60&lt;&gt;""),ROUND(H60,3),IF(H60="",J59,IF(ISNA(VLOOKUP(G60,A6:E105,5,FALSE)),IF(ISNA(VLOOKUP(G60,G6:K59,5,FALSE)),"",ROUND(VLOOKUP(G60,G6:K59,5,FALSE),0)/1000+ROUND(H60,3)),ROUND(VLOOKUP(G60,A6:E105,5,FALSE),0)/1000+ROUND(H60,3)))))</f>
        <v/>
      </c>
      <c r="K60" s="63" t="str">
        <f t="shared" si="5"/>
        <v/>
      </c>
      <c r="L60" s="46" t="str">
        <f>IF(AND(NOT(ISNA(VLOOKUP(G60,A6:E105,5,FALSE))),H60="",I60&lt;&gt;""),ROUND((VLOOKUP(G60,A6:E105,5,FALSE)-K60)/1000,3),IF(AND(NOT(ISNA(VLOOKUP(G60,G6:K59,5,FALSE))),H60="",I60&lt;&gt;""),ROUND((VLOOKUP(G60,G6:K59,5,FALSE)-K60)/1000,3),""))</f>
        <v/>
      </c>
      <c r="M60" s="67">
        <f>IF(M59="","",M59+1)</f>
        <v>254</v>
      </c>
      <c r="N60" s="40"/>
      <c r="O60" s="40"/>
      <c r="P60" s="62" t="str">
        <f>IF(AND(N60&lt;&gt;"",O60&lt;&gt;""),ROUND(N60,3)+ROUND(P59,3)-ROUND(O60,3),IF(AND(EXACT(UPPER(M60),"TBM"),N60&lt;&gt;""),ROUND(N60,3),IF(N60="",P59,IF(ISNA(VLOOKUP(M60,A6:E105,5,FALSE)),IF(ISNA(VLOOKUP(M60,G6:K105,5,FALSE)),IF(ISNA(VLOOKUP(M60,M6:Q59,5,FALSE)),"",ROUND(VLOOKUP(M60,M6:Q59,5,FALSE),0)/1000+ROUND(N60,3)),ROUND(VLOOKUP(M60,G6:K105,5,FALSE),0)/1000+ROUND(N60,3)),ROUND(VLOOKUP(M60,A6:E105,5,FALSE),0)/1000+ROUND(N60,3)))))</f>
        <v/>
      </c>
      <c r="Q60" s="63" t="str">
        <f>IF(OR(NOT(EXACT(UPPER(M60),"TBM")),N60=""),IF(AND(N60&lt;&gt;"",O60="",P60&lt;&gt;""),"",IF(AND(N60="",O60&lt;&gt;"",P60&lt;&gt;""),ROUND(ROUND(P60,3)-ROUND(O60,3),3)*1000,IF(AND(N60&lt;&gt;"",O60&lt;&gt;"",P60&lt;&gt;""),ROUND(ROUND(P59,3)-ROUND(O60,3),3)*1000,""))),"")</f>
        <v/>
      </c>
      <c r="R60" s="46" t="str">
        <f>IF(AND(NOT(ISNA(VLOOKUP(M60,A6:E105,5,FALSE))),N60="",O60&lt;&gt;""),ROUND((VLOOKUP(M60,A6:E105,5,FALSE)-Q60)/1000,3),IF(AND(NOT(ISNA(VLOOKUP(M60,G6:K105,5,FALSE))),N60="",O60&lt;&gt;""),ROUND((VLOOKUP(M60,G6:K105,5,FALSE)-Q60)/1000,3),IF(AND(NOT(ISNA(VLOOKUP(M60,M6:Q59,5,FALSE))),N60="",O60&lt;&gt;""),ROUND((VLOOKUP(M60,M6:Q59,5,FALSE)-Q60)/1000,3),"")))</f>
        <v/>
      </c>
      <c r="S60" s="67">
        <f>IF(S59="","",S59+1)</f>
        <v>354</v>
      </c>
      <c r="T60" s="40"/>
      <c r="U60" s="40"/>
      <c r="V60" s="62" t="str">
        <f>IF(AND(T60&lt;&gt;"",U60&lt;&gt;""),ROUND(T60,3)+ROUND(V59,3)-ROUND(U60,3),IF(AND(EXACT(UPPER(S60),"TBM"),T60&lt;&gt;""),ROUND(T60,3),IF(T60="",V59,IF(ISNA(VLOOKUP(S60,A6:E105,5,FALSE)),IF(ISNA(VLOOKUP(S60,G6:K105,5,FALSE)),IF(ISNA(VLOOKUP(S60,M6:Q105,5,FALSE)),IF(ISNA(VLOOKUP(S60,S6:W59,5,FALSE)),"",ROUND(VLOOKUP(S60,S6:W59,5,FALSE),0)/1000+ROUND(T60,3)),ROUND(VLOOKUP(S60,M6:Q105,5,FALSE),0)/1000+ROUND(T60,3)),ROUND(VLOOKUP(S60,G6:K105,5,FALSE),0)/1000+ROUND(T60,3)),ROUND(VLOOKUP(S60,A6:E105,5,FALSE),0)/1000+ROUND(T60,3)))))</f>
        <v/>
      </c>
      <c r="W60" s="63" t="str">
        <f>IF(OR(NOT(EXACT(UPPER(S60),"TBM")),T60=""),IF(AND(T60&lt;&gt;"",U60="",V60&lt;&gt;""),"",IF(AND(T60="",U60&lt;&gt;"",V60&lt;&gt;""),ROUND(ROUND(V60,3)-ROUND(U60,3),3)*1000,IF(AND(T60&lt;&gt;"",U60&lt;&gt;"",V60&lt;&gt;""),ROUND(ROUND(V59,3)-ROUND(U60,3),3)*1000,""))),"")</f>
        <v/>
      </c>
      <c r="X60" s="46" t="str">
        <f>IF(AND(NOT(ISNA(VLOOKUP(S60,A6:E105,5,FALSE))),T60="",U60&lt;&gt;""),ROUND((VLOOKUP(S60,A6:E105,5,FALSE)-W60)/1000,3),IF(AND(NOT(ISNA(VLOOKUP(S60,G6:K105,5,FALSE))),T60="",U60&lt;&gt;""),ROUND((VLOOKUP(S60,G6:K105,5,FALSE)-W60)/1000,3),IF(AND(NOT(ISNA(VLOOKUP(S60,M6:Q105,5,FALSE))),T60="",U60&lt;&gt;""),ROUND((VLOOKUP(S60,M6:Q105,5,FALSE)-W60)/1000,3),IF(AND(NOT(ISNA(VLOOKUP(S60,S6:W59,5,FALSE))),T60="",U60&lt;&gt;""),ROUND((VLOOKUP(S60,S6:W59,5,FALSE)-W60)/1000,3),""))))</f>
        <v/>
      </c>
      <c r="Y60" s="67">
        <f>IF(Y59="","",Y59+1)</f>
        <v>454</v>
      </c>
      <c r="Z60" s="40"/>
      <c r="AA60" s="40"/>
      <c r="AB60" s="62" t="str">
        <f>IF(AND(Z60&lt;&gt;"",AA60&lt;&gt;""),ROUND(Z60,3)+ROUND(AB59,3)-ROUND(AA60,3),IF(AND(EXACT(UPPER(Y60),"TBM"),Z60&lt;&gt;""),ROUND(Z60,3),IF(Z60="",AB59,IF(ISNA(VLOOKUP(Y60,A6:E105,5,FALSE)),IF(ISNA(VLOOKUP(Y60,G6:K105,5,FALSE)),IF(ISNA(VLOOKUP(Y60,M6:Q105,5,FALSE)),IF(ISNA(VLOOKUP(Y60,S6:W105,5,FALSE)),IF(ISNA(VLOOKUP(Y60,Y6:AC59,5,FALSE)),"",ROUND(VLOOKUP(Y60,Y6:AC59,5,FALSE),0)/1000+ROUND(Z60,3)),ROUND(VLOOKUP(Y60,S6:W105,5,FALSE),0)/1000+ROUND(Z60,3)),ROUND(VLOOKUP(Y60,M6:Q105,5,FALSE),0)/1000+ROUND(Z60,3)),ROUND(VLOOKUP(Y60,G6:K105,5,FALSE),0)/1000+ROUND(Z60,3)),ROUND(VLOOKUP(Y60,A6:E105,5,FALSE),0)/1000+ROUND(Z60,3)))))</f>
        <v/>
      </c>
      <c r="AC60" s="63" t="str">
        <f>IF(OR(NOT(EXACT(UPPER(Y60),"TBM")),Z60=""),IF(AND(Z60&lt;&gt;"",AA60="",AB60&lt;&gt;""),"",IF(AND(Z60="",AA60&lt;&gt;"",AB60&lt;&gt;""),ROUND(ROUND(AB60,3)-ROUND(AA60,3),3)*1000,IF(AND(Z60&lt;&gt;"",AA60&lt;&gt;"",AB60&lt;&gt;""),ROUND(ROUND(AB59,3)-ROUND(AA60,3),3)*1000,""))),"")</f>
        <v/>
      </c>
      <c r="AD60" s="46" t="str">
        <f>IF(AND(NOT(ISNA(VLOOKUP(Y60,A6:E105,5,FALSE))),Z60="",AA60&lt;&gt;""),ROUND((VLOOKUP(Y60,A6:E105,5,FALSE)-AC60)/1000,3),IF(AND(NOT(ISNA(VLOOKUP(Y60,G6:K105,5,FALSE))),Z60="",AA60&lt;&gt;""),ROUND((VLOOKUP(Y60,G6:K105,5,FALSE)-AC60)/1000,3),IF(AND(NOT(ISNA(VLOOKUP(Y60,M6:Q105,5,FALSE))),Z60="",AA60&lt;&gt;""),ROUND((VLOOKUP(Y60,M6:Q105,5,FALSE)-AC60)/1000,3),IF(AND(NOT(ISNA(VLOOKUP(Y60,S6:W105,5,FALSE))),Z60="",AA60&lt;&gt;""),ROUND((VLOOKUP(Y60,S6:W105,5,FALSE)-AC60)/1000,3),IF(AND(NOT(ISNA(VLOOKUP(Y60,Y6:AC59,5,FALSE))),Z60="",AA60&lt;&gt;""),ROUND((VLOOKUP(Y60,Y6:AC59,5,FALSE)-AC60)/1000,3),"")))))</f>
        <v/>
      </c>
      <c r="AE60" s="67">
        <f>IF(AE59="","",AE59+1)</f>
        <v>554</v>
      </c>
      <c r="AF60" s="40"/>
      <c r="AG60" s="40"/>
      <c r="AH60" s="62" t="str">
        <f>IF(AND(AF60&lt;&gt;"",AG60&lt;&gt;""),ROUND(AF60,3)+ROUND(AH59,3)-ROUND(AG60,3),IF(AND(EXACT(UPPER(AE60),"TBM"),AF60&lt;&gt;""),ROUND(AF60,3),IF(AF60="",AH59,IF(ISNA(VLOOKUP(AE60,A6:E105,5,FALSE)),IF(ISNA(VLOOKUP(AE60,G6:K105,5,FALSE)),IF(ISNA(VLOOKUP(AE60,M6:Q105,5,FALSE)),IF(ISNA(VLOOKUP(AE60,S6:W105,5,FALSE)),IF(ISNA(VLOOKUP(AE60,Y6:AC105,5,FALSE)),IF(ISNA(VLOOKUP(AE60,AE6:AI59,5,FALSE)),"",ROUND(VLOOKUP(AE60,AE6:AI59,5,FALSE),0)/1000+ROUND(AF60,3)),ROUND(VLOOKUP(AE60,Y6:AC105,5,FALSE),0)/1000+ROUND(AF60,3)),ROUND(VLOOKUP(AE60,S6:W105,5,FALSE),0)/1000+ROUND(AF60,3)),ROUND(VLOOKUP(AE60,M6:Q105,5,FALSE),0)/1000+ROUND(AF60,3)),ROUND(VLOOKUP(AE60,G6:K105,5,FALSE),0)/1000+ROUND(AF60,3)),ROUND(VLOOKUP(AE60,A6:E105,5,FALSE),0)/1000+ROUND(AF60,3)))))</f>
        <v/>
      </c>
      <c r="AI60" s="63" t="str">
        <f>IF(OR(NOT(EXACT(UPPER(AE60),"TBM")),AF60=""),IF(AND(AF60&lt;&gt;"",AG60="",AH60&lt;&gt;""),"",IF(AND(AF60="",AG60&lt;&gt;"",AH60&lt;&gt;""),ROUND(ROUND(AH60,3)-ROUND(AG60,3),3)*1000,IF(AND(AF60&lt;&gt;"",AG60&lt;&gt;"",AH60&lt;&gt;""),ROUND(ROUND(AH59,3)-ROUND(AG60,3),3)*1000,""))),"")</f>
        <v/>
      </c>
      <c r="AJ60" s="46" t="str">
        <f>IF(AND(NOT(ISNA(VLOOKUP(AE60,A6:E105,5,FALSE))),AF60="",AG60&lt;&gt;""),ROUND((VLOOKUP(AE60,A6:E105,5,FALSE)-AI60)/1000,3),IF(AND(NOT(ISNA(VLOOKUP(AE60,G6:K105,5,FALSE))),AF60="",AG60&lt;&gt;""),ROUND((VLOOKUP(AE60,G6:K105,5,FALSE)-AI60)/1000,3),IF(AND(NOT(ISNA(VLOOKUP(AE60,M6:Q105,5,FALSE))),AF60="",AG60&lt;&gt;""),ROUND((VLOOKUP(AE60,M6:Q105,5,FALSE)-AI60)/1000,3),IF(AND(NOT(ISNA(VLOOKUP(AE60,S6:W105,5,FALSE))),AF60="",AG60&lt;&gt;""),ROUND((VLOOKUP(AE60,S6:W105,5,FALSE)-AI60)/1000,3),IF(AND(NOT(ISNA(VLOOKUP(AE60,Y6:AC105,5,FALSE))),AF60="",AG60&lt;&gt;""),ROUND((VLOOKUP(AE60,Y6:AC105,5,FALSE)-AI60)/1000,3),IF(AND(NOT(ISNA(VLOOKUP(AE60,AE6:AI59,5,FALSE))),AF60="",AG60&lt;&gt;""),ROUND((VLOOKUP(AE60,AE6:AI59,5,FALSE)-AI60)/1000,3),""))))))</f>
        <v/>
      </c>
      <c r="AK60" s="67">
        <f>IF(AK59="","",AK59+1)</f>
        <v>654</v>
      </c>
      <c r="AL60" s="40"/>
      <c r="AM60" s="40"/>
      <c r="AN60" s="62" t="str">
        <f>IF(AND(AL60&lt;&gt;"",AM60&lt;&gt;""),ROUND(AL60,3)+ROUND(AN59,3)-ROUND(AM60,3),IF(AND(EXACT(UPPER(AK60),"TBM"),AL60&lt;&gt;""),ROUND(AL60,3),IF(AL60="",AN59,IF(ISNA(VLOOKUP(AK60,A6:E105,5,FALSE)),IF(ISNA(VLOOKUP(AK60,G6:K105,5,FALSE)),IF(ISNA(VLOOKUP(AK60,M6:Q105,5,FALSE)),IF(ISNA(VLOOKUP(AK60,S6:W105,5,FALSE)),IF(ISNA(VLOOKUP(AK60,Y6:AC105,5,FALSE)),IF(ISNA(VLOOKUP(AK60,AE6:AI105,5,FALSE)),IF(ISNA(VLOOKUP(AK60,AK6:AO59,5,FALSE)),"",ROUND(VLOOKUP(AK60,AK6:AO59,5,FALSE),0)/1000+ROUND(AL60,3)),ROUND(VLOOKUP(AK60,AE6:AI105,5,FALSE),0)/1000+ROUND(AL60,3)),ROUND(VLOOKUP(AK60,Y6:AC105,5,FALSE),0)/1000+ROUND(AL60,3)),ROUND(VLOOKUP(AK60,S6:W105,5,FALSE),0)/1000+ROUND(AL60,3)),ROUND(VLOOKUP(AK60,M6:Q105,5,FALSE),0)/1000+ROUND(AL60,3)),ROUND(VLOOKUP(AK60,G6:K105,5,FALSE),0)/1000+ROUND(AL60,3)),ROUND(VLOOKUP(AK60,A6:E105,5,FALSE),0)/1000+ROUND(AL60,3)))))</f>
        <v/>
      </c>
      <c r="AO60" s="63" t="str">
        <f>IF(OR(NOT(EXACT(UPPER(AK60),"TBM")),AL60=""),IF(AND(AL60&lt;&gt;"",AM60="",AN60&lt;&gt;""),"",IF(AND(AL60="",AM60&lt;&gt;"",AN60&lt;&gt;""),ROUND(ROUND(AN60,3)-ROUND(AM60,3),3)*1000,IF(AND(AL60&lt;&gt;"",AM60&lt;&gt;"",AN60&lt;&gt;""),ROUND(ROUND(AN59,3)-ROUND(AM60,3),3)*1000,""))),"")</f>
        <v/>
      </c>
      <c r="AP60" s="46" t="str">
        <f>IF(AND(NOT(ISNA(VLOOKUP(AK60,A6:E105,5,FALSE))),AL60="",AM60&lt;&gt;""),ROUND((VLOOKUP(AK60,A6:E105,5,FALSE)-AO60)/1000,3),IF(AND(NOT(ISNA(VLOOKUP(AK60,G6:K105,5,FALSE))),AL60="",AM60&lt;&gt;""),ROUND((VLOOKUP(AK60,G6:K105,5,FALSE)-AO60)/1000,3),IF(AND(NOT(ISNA(VLOOKUP(AK60,M6:Q105,5,FALSE))),AL60="",AM60&lt;&gt;""),ROUND((VLOOKUP(AK60,M6:Q105,5,FALSE)-AO60)/1000,3),IF(AND(NOT(ISNA(VLOOKUP(AK60,S6:W105,5,FALSE))),AL60="",AM60&lt;&gt;""),ROUND((VLOOKUP(AK60,S6:W105,5,FALSE)-AO60)/1000,3),IF(AND(NOT(ISNA(VLOOKUP(AK60,Y6:AC105,5,FALSE))),AL60="",AM60&lt;&gt;""),ROUND((VLOOKUP(AK60,Y6:AC105,5,FALSE)-AO60)/1000,3),IF(AND(NOT(ISNA(VLOOKUP(AK60,AE6:AI105,5,FALSE))),AL60="",AM60&lt;&gt;""),ROUND((VLOOKUP(AK60,AE6:AI105,5,FALSE)-AO60)/1000,3),IF(AND(NOT(ISNA(VLOOKUP(AK60,AK6:AO59,5,FALSE))),AL60="",AM60&lt;&gt;""),ROUND((VLOOKUP(AK60,AK6:AO59,5,FALSE)-AO60)/1000,3),"")))))))</f>
        <v/>
      </c>
      <c r="AQ60" s="67">
        <f>IF(AQ59="","",AQ59+1)</f>
        <v>754</v>
      </c>
      <c r="AR60" s="40"/>
      <c r="AS60" s="40"/>
      <c r="AT60" s="62" t="str">
        <f>IF(AND(AR60&lt;&gt;"",AS60&lt;&gt;""),ROUND(AR60,3)+ROUND(AT59,3)-ROUND(AS60,3),IF(AND(EXACT(UPPER(AQ60),"TBM"),AR60&lt;&gt;""),ROUND(AR60,3),IF(AR60="",AT59,IF(ISNA(VLOOKUP(AQ60,A6:E105,5,FALSE)),IF(ISNA(VLOOKUP(AQ60,G6:K105,5,FALSE)),IF(ISNA(VLOOKUP(AQ60,M6:Q105,5,FALSE)),IF(ISNA(VLOOKUP(AQ60,S6:W105,5,FALSE)),IF(ISNA(VLOOKUP(AQ60,Y6:AC105,5,FALSE)),IF(ISNA(VLOOKUP(AQ60,AE6:AI105,5,FALSE)),IF(ISNA(VLOOKUP(AQ60,AK6:AO105,5,FALSE)),IF(ISNA(VLOOKUP(AQ60,AQ6:AU59,5,FALSE)),"",ROUND(VLOOKUP(AQ60,AQ6:AU59,5,FALSE),0)/1000+ROUND(AR60,3)),ROUND(VLOOKUP(AQ60,AK6:AO105,5,FALSE),0)/1000+ROUND(AR60,3)),ROUND(VLOOKUP(AQ60,AE6:AI105,5,FALSE),0)/1000+ROUND(AR60,3)),ROUND(VLOOKUP(AQ60,Y6:AC105,5,FALSE),0)/1000+ROUND(AR60,3)),ROUND(VLOOKUP(AQ60,S6:W105,5,FALSE),0)/1000+ROUND(AR60,3)),ROUND(VLOOKUP(AQ60,M6:Q105,5,FALSE),0)/1000+ROUND(AR60,3)),ROUND(VLOOKUP(AQ60,G6:K105,5,FALSE),0)/1000+ROUND(AR60,3)),ROUND(VLOOKUP(AQ60,A6:E105,5,FALSE),0)/1000+ROUND(AR60,3)))))</f>
        <v/>
      </c>
      <c r="AU60" s="63" t="str">
        <f>IF(OR(NOT(EXACT(UPPER(AQ60),"TBM")),AR60=""),IF(AND(AR60&lt;&gt;"",AS60="",AT60&lt;&gt;""),"",IF(AND(AR60="",AS60&lt;&gt;"",AT60&lt;&gt;""),ROUND(ROUND(AT60,3)-ROUND(AS60,3),3)*1000,IF(AND(AR60&lt;&gt;"",AS60&lt;&gt;"",AT60&lt;&gt;""),ROUND(ROUND(AT59,3)-ROUND(AS60,3),3)*1000,""))),"")</f>
        <v/>
      </c>
      <c r="AV60" s="46" t="str">
        <f>IF(AND(NOT(ISNA(VLOOKUP(AQ60,A6:E105,5,FALSE))),AR60="",AS60&lt;&gt;""),ROUND((VLOOKUP(AQ60,A6:E105,5,FALSE)-AU60)/1000,3),IF(AND(NOT(ISNA(VLOOKUP(AQ60,G6:K105,5,FALSE))),AR60="",AS60&lt;&gt;""),ROUND((VLOOKUP(AQ60,G6:K105,5,FALSE)-AU60)/1000,3),IF(AND(NOT(ISNA(VLOOKUP(AQ60,M6:Q105,5,FALSE))),AR60="",AS60&lt;&gt;""),ROUND((VLOOKUP(AQ60,M6:Q105,5,FALSE)-AU60)/1000,3),IF(AND(NOT(ISNA(VLOOKUP(AQ60,S6:W105,5,FALSE))),AR60="",AS60&lt;&gt;""),ROUND((VLOOKUP(AQ60,S6:W105,5,FALSE)-AU60)/1000,3),IF(AND(NOT(ISNA(VLOOKUP(AQ60,Y6:AC105,5,FALSE))),AR60="",AS60&lt;&gt;""),ROUND((VLOOKUP(AQ60,Y6:AC105,5,FALSE)-AU60)/1000,3),IF(AND(NOT(ISNA(VLOOKUP(AQ60,AE6:AI105,5,FALSE))),AR60="",AS60&lt;&gt;""),ROUND((VLOOKUP(AQ60,AE6:AI105,5,FALSE)-AU60)/1000,3),IF(AND(NOT(ISNA(VLOOKUP(AQ60,AK6:AO105,5,FALSE))),AR60="",AS60&lt;&gt;""),ROUND((VLOOKUP(AQ60,AK6:AO105,5,FALSE)-AU60)/1000,3),IF(AND(NOT(ISNA(VLOOKUP(AQ60,AQ6:AU59,5,FALSE))),AR60="",AS60&lt;&gt;""),ROUND((VLOOKUP(AQ60,AQ6:AU59,5,FALSE)-AU60)/1000,3),""))))))))</f>
        <v/>
      </c>
      <c r="AW60" s="67">
        <f>IF(AW59="","",AW59+1)</f>
        <v>854</v>
      </c>
      <c r="AX60" s="40"/>
      <c r="AY60" s="40"/>
      <c r="AZ60" s="62" t="str">
        <f>IF(AND(AX60&lt;&gt;"",AY60&lt;&gt;""),ROUND(AX60,3)+ROUND(AZ59,3)-ROUND(AY60,3),IF(AND(EXACT(UPPER(AW60),"TBM"),AX60&lt;&gt;""),ROUND(AX60,3),IF(AX60="",AZ59,IF(ISNA(VLOOKUP(AW60,A6:E105,5,FALSE)),IF(ISNA(VLOOKUP(AW60,G6:K105,5,FALSE)),IF(ISNA(VLOOKUP(AW60,M6:Q105,5,FALSE)),IF(ISNA(VLOOKUP(AW60,S6:W105,5,FALSE)),IF(ISNA(VLOOKUP(AW60,Y6:AC105,5,FALSE)),IF(ISNA(VLOOKUP(AW60,AE6:AI105,5,FALSE)),IF(ISNA(VLOOKUP(AW60,AK6:AO105,5,FALSE)),IF(ISNA(VLOOKUP(AW60,AQ6:AU105,5,FALSE)),IF(ISNA(VLOOKUP(AW60,AW6:BA59,5,FALSE)),"",ROUND(VLOOKUP(AW60,AW6:BA59,5,FALSE),0)/1000+ROUND(AX60,3)),ROUND(VLOOKUP(AW60,AQ6:AU105,5,FALSE),0)/1000+ROUND(AX60,3)),ROUND(VLOOKUP(AW60,AK6:AO105,5,FALSE),0)/1000+ROUND(AX60,3)),ROUND(VLOOKUP(AW60,AE6:AI105,5,FALSE),0)/1000+ROUND(AX60,3)),ROUND(VLOOKUP(AW60,Y6:AC105,5,FALSE),0)/1000+ROUND(AX60,3)),ROUND(VLOOKUP(AW60,S6:W105,5,FALSE),0)/1000+ROUND(AX60,3)),ROUND(VLOOKUP(AW60,M6:Q105,5,FALSE),0)/1000+ROUND(AX60,3)),ROUND(VLOOKUP(AW60,G6:K105,5,FALSE),0)/1000+ROUND(AX60,3)),ROUND(VLOOKUP(AW60,A6:E105,5,FALSE),0)/1000+ROUND(AX60,3)))))</f>
        <v/>
      </c>
      <c r="BA60" s="63" t="str">
        <f>IF(OR(NOT(EXACT(UPPER(AW60),"TBM")),AX60=""),IF(AND(AX60&lt;&gt;"",AY60="",AZ60&lt;&gt;""),"",IF(AND(AX60="",AY60&lt;&gt;"",AZ60&lt;&gt;""),ROUND(ROUND(AZ60,3)-ROUND(AY60,3),3)*1000,IF(AND(AX60&lt;&gt;"",AY60&lt;&gt;"",AZ60&lt;&gt;""),ROUND(ROUND(AZ59,3)-ROUND(AY60,3),3)*1000,""))),"")</f>
        <v/>
      </c>
      <c r="BB60" s="46" t="str">
        <f>IF(AND(NOT(ISNA(VLOOKUP(AW60,A6:E105,5,FALSE))),AX60="",AY60&lt;&gt;""),ROUND((VLOOKUP(AW60,A6:E105,5,FALSE)-BA60)/1000,3),IF(AND(NOT(ISNA(VLOOKUP(AW60,G6:K105,5,FALSE))),AX60="",AY60&lt;&gt;""),ROUND((VLOOKUP(AW60,G6:K105,5,FALSE)-BA60)/1000,3),IF(AND(NOT(ISNA(VLOOKUP(AW60,M6:Q105,5,FALSE))),AX60="",AY60&lt;&gt;""),ROUND((VLOOKUP(AW60,M6:Q105,5,FALSE)-BA60)/1000,3),IF(AND(NOT(ISNA(VLOOKUP(AW60,S6:W105,5,FALSE))),AX60="",AY60&lt;&gt;""),ROUND((VLOOKUP(AW60,S6:W105,5,FALSE)-BA60)/1000,3),IF(AND(NOT(ISNA(VLOOKUP(AW60,Y6:AC105,5,FALSE))),AX60="",AY60&lt;&gt;""),ROUND((VLOOKUP(AW60,Y6:AC105,5,FALSE)-BA60)/1000,3),IF(AND(NOT(ISNA(VLOOKUP(AW60,AE6:AI105,5,FALSE))),AX60="",AY60&lt;&gt;""),ROUND((VLOOKUP(AW60,AE6:AI105,5,FALSE)-BA60)/1000,3),IF(AND(NOT(ISNA(VLOOKUP(AW60,AK6:AO105,5,FALSE))),AX60="",AY60&lt;&gt;""),ROUND((VLOOKUP(AW60,AK6:AO105,5,FALSE)-BA60)/1000,3),IF(AND(NOT(ISNA(VLOOKUP(AW60,AQ6:AU105,5,FALSE))),AX60="",AY60&lt;&gt;""),ROUND((VLOOKUP(AW60,AQ6:AU105,5,FALSE)-BA60)/1000,3),IF(AND(NOT(ISNA(VLOOKUP(AW60,AW6:BA59,5,FALSE))),AX60="",AY60&lt;&gt;""),ROUND((VLOOKUP(AW60,AW6:BA59,5,FALSE)-BA60)/1000,3),"")))))))))</f>
        <v/>
      </c>
      <c r="BC60" s="67">
        <f>IF(BC59="","",BC59+1)</f>
        <v>954</v>
      </c>
      <c r="BD60" s="40"/>
      <c r="BE60" s="40"/>
      <c r="BF60" s="62" t="str">
        <f>IF(AND(BD60&lt;&gt;"",BE60&lt;&gt;""),ROUND(BD60,3)+ROUND(BF59,3)-ROUND(BE60,3),IF(AND(EXACT(UPPER(BC60),"TBM"),BD60&lt;&gt;""),ROUND(BD60,3),IF(BD60="",BF59,IF(ISNA(VLOOKUP(BC60,A6:E105,5,FALSE)),IF(ISNA(VLOOKUP(BC60,G6:K105,5,FALSE)),IF(ISNA(VLOOKUP(BC60,M6:Q105,5,FALSE)),IF(ISNA(VLOOKUP(BC60,S6:W105,5,FALSE)),IF(ISNA(VLOOKUP(BC60,Y6:AC105,5,FALSE)),IF(ISNA(VLOOKUP(BC60,AE6:AI105,5,FALSE)),IF(ISNA(VLOOKUP(BC60,AK6:AO105,5,FALSE)),IF(ISNA(VLOOKUP(BC60,AQ6:AU105,5,FALSE)),IF(ISNA(VLOOKUP(BC60,AW6:BA105,5,FALSE)),IF(ISNA(VLOOKUP(BC60,BC6:BG59,5,FALSE)),"",ROUND(VLOOKUP(BC60,BC6:BG59,5,FALSE),0)/1000+ROUND(BD60,3)),ROUND(VLOOKUP(BC60,AW6:BA105,5,FALSE),0)/1000+ROUND(BD60,3)),ROUND(VLOOKUP(BC60,AQ6:AU105,5,FALSE),0)/1000+ROUND(BD60,3)),ROUND(VLOOKUP(BC60,AK6:AO105,5,FALSE),0)/1000+ROUND(BD60,3)),ROUND(VLOOKUP(BC60,AE6:AI105,5,FALSE),0)/1000+ROUND(BD60,3)),ROUND(VLOOKUP(BC60,Y6:AC105,5,FALSE),0)/1000+ROUND(BD60,3)),ROUND(VLOOKUP(BC60,S6:W105,5,FALSE),0)/1000+ROUND(BD60,3)),ROUND(VLOOKUP(BC60,M6:Q105,5,FALSE),0)/1000+ROUND(BD60,3)),ROUND(VLOOKUP(BC60,G6:K105,5,FALSE),0)/1000+ROUND(BD60,3)),ROUND(VLOOKUP(BC60,A6:E105,5,FALSE),0)/1000+ROUND(BD60,3)))))</f>
        <v/>
      </c>
      <c r="BG60" s="63" t="str">
        <f>IF(OR(NOT(EXACT(UPPER(BC60),"TBM")),BD60=""),IF(AND(BD60&lt;&gt;"",BE60="",BF60&lt;&gt;""),"",IF(AND(BD60="",BE60&lt;&gt;"",BF60&lt;&gt;""),ROUND(ROUND(BF60,3)-ROUND(BE60,3),3)*1000,IF(AND(BD60&lt;&gt;"",BE60&lt;&gt;"",BF60&lt;&gt;""),ROUND(ROUND(BF59,3)-ROUND(BE60,3),3)*1000,""))),"")</f>
        <v/>
      </c>
      <c r="BH60" s="46" t="str">
        <f>IF(AND(NOT(ISNA(VLOOKUP(BC60,A6:E105,5,FALSE))),BD60="",BE60&lt;&gt;""),ROUND((VLOOKUP(BC60,A6:E105,5,FALSE)-BG60)/1000,3),IF(AND(NOT(ISNA(VLOOKUP(BC60,G6:K105,5,FALSE))),BD60="",BE60&lt;&gt;""),ROUND((VLOOKUP(BC60,G6:K105,5,FALSE)-BG60)/1000,3),IF(AND(NOT(ISNA(VLOOKUP(BC60,M6:Q105,5,FALSE))),BD60="",BE60&lt;&gt;""),ROUND((VLOOKUP(BC60,M6:Q105,5,FALSE)-BG60)/1000,3),IF(AND(NOT(ISNA(VLOOKUP(BC60,S6:W105,5,FALSE))),BD60="",BE60&lt;&gt;""),ROUND((VLOOKUP(BC60,S6:W105,5,FALSE)-BG60)/1000,3),IF(AND(NOT(ISNA(VLOOKUP(BC60,Y6:AC105,5,FALSE))),BD60="",BE60&lt;&gt;""),ROUND((VLOOKUP(BC60,Y6:AC105,5,FALSE)-BG60)/1000,3),IF(AND(NOT(ISNA(VLOOKUP(BC60,AE6:AI105,5,FALSE))),BD60="",BE60&lt;&gt;""),ROUND((VLOOKUP(BC60,AE6:AI105,5,FALSE)-BG60)/1000,3),IF(AND(NOT(ISNA(VLOOKUP(BC60,AK6:AO105,5,FALSE))),BD60="",BE60&lt;&gt;""),ROUND((VLOOKUP(BC60,AK6:AO105,5,FALSE)-BG60)/1000,3),IF(AND(NOT(ISNA(VLOOKUP(BC60,AQ6:AU105,5,FALSE))),BD60="",BE60&lt;&gt;""),ROUND((VLOOKUP(BC60,AQ6:AU105,5,FALSE)-BG60)/1000,3),IF(AND(NOT(ISNA(VLOOKUP(BC60,AW6:BA105,5,FALSE))),BD60="",BE60&lt;&gt;""),ROUND((VLOOKUP(BC60,AW6:BA105,5,FALSE)-BG60)/1000,3),IF(AND(NOT(ISNA(VLOOKUP(BC60,BC6:BG59,5,FALSE))),BD60="",BE60&lt;&gt;""),ROUND((VLOOKUP(BC60,BC6:BG59,5,FALSE)-BG60)/1000,3),""))))))))))</f>
        <v/>
      </c>
    </row>
    <row r="61" spans="1:60" x14ac:dyDescent="0.25">
      <c r="A61" s="74">
        <f t="shared" si="3"/>
        <v>55</v>
      </c>
      <c r="B61" s="77"/>
      <c r="C61" s="77"/>
      <c r="D61" s="78" t="str">
        <f>IF(AND(B61&lt;&gt;"",C61&lt;&gt;""),ROUND(B61,3)+ROUND(D60,3)-ROUND(C61,3),IF(AND(EXACT(UPPER(A61),"TBM"),B61&lt;&gt;""),ROUND(B61,3),IF(B61="",D60,IF(ISNA(VLOOKUP(A61,A6:E60,5,FALSE)),"",ROUND(VLOOKUP(A61,A6:E60,5,FALSE),0)/1000+ROUND(B61,3)))))</f>
        <v/>
      </c>
      <c r="E61" s="96" t="str">
        <f t="shared" si="4"/>
        <v/>
      </c>
      <c r="F61" s="89" t="str">
        <f>IF(AND(NOT(ISNA(VLOOKUP(A61,A6:E60,5,FALSE))),B61="",C61&lt;&gt;""),ROUND((VLOOKUP(A61,A6:E60,5,FALSE)-E61)/1000,3),"")</f>
        <v/>
      </c>
      <c r="G61" s="74">
        <f t="shared" si="1"/>
        <v>155</v>
      </c>
      <c r="H61" s="77"/>
      <c r="I61" s="77"/>
      <c r="J61" s="78" t="str">
        <f>IF(AND(H61&lt;&gt;"",I61&lt;&gt;""),ROUND(H61,3)+ROUND(J60,3)-ROUND(I61,3),IF(AND(EXACT(UPPER(G61),"TBM"),H61&lt;&gt;""),ROUND(H61,3),IF(H61="",J60,IF(ISNA(VLOOKUP(G61,A6:E105,5,FALSE)),IF(ISNA(VLOOKUP(G61,G6:K60,5,FALSE)),"",ROUND(VLOOKUP(G61,G6:K60,5,FALSE),0)/1000+ROUND(H61,3)),ROUND(VLOOKUP(G61,A6:E105,5,FALSE),0)/1000+ROUND(H61,3)))))</f>
        <v/>
      </c>
      <c r="K61" s="87" t="str">
        <f t="shared" si="5"/>
        <v/>
      </c>
      <c r="L61" s="89" t="str">
        <f>IF(AND(NOT(ISNA(VLOOKUP(G61,A6:E105,5,FALSE))),H61="",I61&lt;&gt;""),ROUND((VLOOKUP(G61,A6:E105,5,FALSE)-K61)/1000,3),IF(AND(NOT(ISNA(VLOOKUP(G61,G6:K60,5,FALSE))),H61="",I61&lt;&gt;""),ROUND((VLOOKUP(G61,G6:K60,5,FALSE)-K61)/1000,3),""))</f>
        <v/>
      </c>
      <c r="M61" s="74">
        <f>IF(M60="","",M60+1)</f>
        <v>255</v>
      </c>
      <c r="N61" s="77"/>
      <c r="O61" s="77"/>
      <c r="P61" s="78" t="str">
        <f>IF(AND(N61&lt;&gt;"",O61&lt;&gt;""),ROUND(N61,3)+ROUND(P60,3)-ROUND(O61,3),IF(AND(EXACT(UPPER(M61),"TBM"),N61&lt;&gt;""),ROUND(N61,3),IF(N61="",P60,IF(ISNA(VLOOKUP(M61,A6:E105,5,FALSE)),IF(ISNA(VLOOKUP(M61,G6:K105,5,FALSE)),IF(ISNA(VLOOKUP(M61,M6:Q60,5,FALSE)),"",ROUND(VLOOKUP(M61,M6:Q60,5,FALSE),0)/1000+ROUND(N61,3)),ROUND(VLOOKUP(M61,G6:K105,5,FALSE),0)/1000+ROUND(N61,3)),ROUND(VLOOKUP(M61,A6:E105,5,FALSE),0)/1000+ROUND(N61,3)))))</f>
        <v/>
      </c>
      <c r="Q61" s="87" t="str">
        <f>IF(OR(NOT(EXACT(UPPER(M61),"TBM")),N61=""),IF(AND(N61&lt;&gt;"",O61="",P61&lt;&gt;""),"",IF(AND(N61="",O61&lt;&gt;"",P61&lt;&gt;""),ROUND(ROUND(P61,3)-ROUND(O61,3),3)*1000,IF(AND(N61&lt;&gt;"",O61&lt;&gt;"",P61&lt;&gt;""),ROUND(ROUND(P60,3)-ROUND(O61,3),3)*1000,""))),"")</f>
        <v/>
      </c>
      <c r="R61" s="89" t="str">
        <f>IF(AND(NOT(ISNA(VLOOKUP(M61,A6:E105,5,FALSE))),N61="",O61&lt;&gt;""),ROUND((VLOOKUP(M61,A6:E105,5,FALSE)-Q61)/1000,3),IF(AND(NOT(ISNA(VLOOKUP(M61,G6:K105,5,FALSE))),N61="",O61&lt;&gt;""),ROUND((VLOOKUP(M61,G6:K105,5,FALSE)-Q61)/1000,3),IF(AND(NOT(ISNA(VLOOKUP(M61,M6:Q60,5,FALSE))),N61="",O61&lt;&gt;""),ROUND((VLOOKUP(M61,M6:Q60,5,FALSE)-Q61)/1000,3),"")))</f>
        <v/>
      </c>
      <c r="S61" s="74">
        <f>IF(S60="","",S60+1)</f>
        <v>355</v>
      </c>
      <c r="T61" s="77"/>
      <c r="U61" s="77"/>
      <c r="V61" s="78" t="str">
        <f>IF(AND(T61&lt;&gt;"",U61&lt;&gt;""),ROUND(T61,3)+ROUND(V60,3)-ROUND(U61,3),IF(AND(EXACT(UPPER(S61),"TBM"),T61&lt;&gt;""),ROUND(T61,3),IF(T61="",V60,IF(ISNA(VLOOKUP(S61,A6:E105,5,FALSE)),IF(ISNA(VLOOKUP(S61,G6:K105,5,FALSE)),IF(ISNA(VLOOKUP(S61,M6:Q105,5,FALSE)),IF(ISNA(VLOOKUP(S61,S6:W60,5,FALSE)),"",ROUND(VLOOKUP(S61,S6:W60,5,FALSE),0)/1000+ROUND(T61,3)),ROUND(VLOOKUP(S61,M6:Q105,5,FALSE),0)/1000+ROUND(T61,3)),ROUND(VLOOKUP(S61,G6:K105,5,FALSE),0)/1000+ROUND(T61,3)),ROUND(VLOOKUP(S61,A6:E105,5,FALSE),0)/1000+ROUND(T61,3)))))</f>
        <v/>
      </c>
      <c r="W61" s="87" t="str">
        <f>IF(OR(NOT(EXACT(UPPER(S61),"TBM")),T61=""),IF(AND(T61&lt;&gt;"",U61="",V61&lt;&gt;""),"",IF(AND(T61="",U61&lt;&gt;"",V61&lt;&gt;""),ROUND(ROUND(V61,3)-ROUND(U61,3),3)*1000,IF(AND(T61&lt;&gt;"",U61&lt;&gt;"",V61&lt;&gt;""),ROUND(ROUND(V60,3)-ROUND(U61,3),3)*1000,""))),"")</f>
        <v/>
      </c>
      <c r="X61" s="89" t="str">
        <f>IF(AND(NOT(ISNA(VLOOKUP(S61,A6:E105,5,FALSE))),T61="",U61&lt;&gt;""),ROUND((VLOOKUP(S61,A6:E105,5,FALSE)-W61)/1000,3),IF(AND(NOT(ISNA(VLOOKUP(S61,G6:K105,5,FALSE))),T61="",U61&lt;&gt;""),ROUND((VLOOKUP(S61,G6:K105,5,FALSE)-W61)/1000,3),IF(AND(NOT(ISNA(VLOOKUP(S61,M6:Q105,5,FALSE))),T61="",U61&lt;&gt;""),ROUND((VLOOKUP(S61,M6:Q105,5,FALSE)-W61)/1000,3),IF(AND(NOT(ISNA(VLOOKUP(S61,S6:W60,5,FALSE))),T61="",U61&lt;&gt;""),ROUND((VLOOKUP(S61,S6:W60,5,FALSE)-W61)/1000,3),""))))</f>
        <v/>
      </c>
      <c r="Y61" s="74">
        <f>IF(Y60="","",Y60+1)</f>
        <v>455</v>
      </c>
      <c r="Z61" s="77"/>
      <c r="AA61" s="77"/>
      <c r="AB61" s="78" t="str">
        <f>IF(AND(Z61&lt;&gt;"",AA61&lt;&gt;""),ROUND(Z61,3)+ROUND(AB60,3)-ROUND(AA61,3),IF(AND(EXACT(UPPER(Y61),"TBM"),Z61&lt;&gt;""),ROUND(Z61,3),IF(Z61="",AB60,IF(ISNA(VLOOKUP(Y61,A6:E105,5,FALSE)),IF(ISNA(VLOOKUP(Y61,G6:K105,5,FALSE)),IF(ISNA(VLOOKUP(Y61,M6:Q105,5,FALSE)),IF(ISNA(VLOOKUP(Y61,S6:W105,5,FALSE)),IF(ISNA(VLOOKUP(Y61,Y6:AC60,5,FALSE)),"",ROUND(VLOOKUP(Y61,Y6:AC60,5,FALSE),0)/1000+ROUND(Z61,3)),ROUND(VLOOKUP(Y61,S6:W105,5,FALSE),0)/1000+ROUND(Z61,3)),ROUND(VLOOKUP(Y61,M6:Q105,5,FALSE),0)/1000+ROUND(Z61,3)),ROUND(VLOOKUP(Y61,G6:K105,5,FALSE),0)/1000+ROUND(Z61,3)),ROUND(VLOOKUP(Y61,A6:E105,5,FALSE),0)/1000+ROUND(Z61,3)))))</f>
        <v/>
      </c>
      <c r="AC61" s="87" t="str">
        <f>IF(OR(NOT(EXACT(UPPER(Y61),"TBM")),Z61=""),IF(AND(Z61&lt;&gt;"",AA61="",AB61&lt;&gt;""),"",IF(AND(Z61="",AA61&lt;&gt;"",AB61&lt;&gt;""),ROUND(ROUND(AB61,3)-ROUND(AA61,3),3)*1000,IF(AND(Z61&lt;&gt;"",AA61&lt;&gt;"",AB61&lt;&gt;""),ROUND(ROUND(AB60,3)-ROUND(AA61,3),3)*1000,""))),"")</f>
        <v/>
      </c>
      <c r="AD61" s="89" t="str">
        <f>IF(AND(NOT(ISNA(VLOOKUP(Y61,A6:E105,5,FALSE))),Z61="",AA61&lt;&gt;""),ROUND((VLOOKUP(Y61,A6:E105,5,FALSE)-AC61)/1000,3),IF(AND(NOT(ISNA(VLOOKUP(Y61,G6:K105,5,FALSE))),Z61="",AA61&lt;&gt;""),ROUND((VLOOKUP(Y61,G6:K105,5,FALSE)-AC61)/1000,3),IF(AND(NOT(ISNA(VLOOKUP(Y61,M6:Q105,5,FALSE))),Z61="",AA61&lt;&gt;""),ROUND((VLOOKUP(Y61,M6:Q105,5,FALSE)-AC61)/1000,3),IF(AND(NOT(ISNA(VLOOKUP(Y61,S6:W105,5,FALSE))),Z61="",AA61&lt;&gt;""),ROUND((VLOOKUP(Y61,S6:W105,5,FALSE)-AC61)/1000,3),IF(AND(NOT(ISNA(VLOOKUP(Y61,Y6:AC60,5,FALSE))),Z61="",AA61&lt;&gt;""),ROUND((VLOOKUP(Y61,Y6:AC60,5,FALSE)-AC61)/1000,3),"")))))</f>
        <v/>
      </c>
      <c r="AE61" s="74">
        <f>IF(AE60="","",AE60+1)</f>
        <v>555</v>
      </c>
      <c r="AF61" s="77"/>
      <c r="AG61" s="77"/>
      <c r="AH61" s="78" t="str">
        <f>IF(AND(AF61&lt;&gt;"",AG61&lt;&gt;""),ROUND(AF61,3)+ROUND(AH60,3)-ROUND(AG61,3),IF(AND(EXACT(UPPER(AE61),"TBM"),AF61&lt;&gt;""),ROUND(AF61,3),IF(AF61="",AH60,IF(ISNA(VLOOKUP(AE61,A6:E105,5,FALSE)),IF(ISNA(VLOOKUP(AE61,G6:K105,5,FALSE)),IF(ISNA(VLOOKUP(AE61,M6:Q105,5,FALSE)),IF(ISNA(VLOOKUP(AE61,S6:W105,5,FALSE)),IF(ISNA(VLOOKUP(AE61,Y6:AC105,5,FALSE)),IF(ISNA(VLOOKUP(AE61,AE6:AI60,5,FALSE)),"",ROUND(VLOOKUP(AE61,AE6:AI60,5,FALSE),0)/1000+ROUND(AF61,3)),ROUND(VLOOKUP(AE61,Y6:AC105,5,FALSE),0)/1000+ROUND(AF61,3)),ROUND(VLOOKUP(AE61,S6:W105,5,FALSE),0)/1000+ROUND(AF61,3)),ROUND(VLOOKUP(AE61,M6:Q105,5,FALSE),0)/1000+ROUND(AF61,3)),ROUND(VLOOKUP(AE61,G6:K105,5,FALSE),0)/1000+ROUND(AF61,3)),ROUND(VLOOKUP(AE61,A6:E105,5,FALSE),0)/1000+ROUND(AF61,3)))))</f>
        <v/>
      </c>
      <c r="AI61" s="87" t="str">
        <f>IF(OR(NOT(EXACT(UPPER(AE61),"TBM")),AF61=""),IF(AND(AF61&lt;&gt;"",AG61="",AH61&lt;&gt;""),"",IF(AND(AF61="",AG61&lt;&gt;"",AH61&lt;&gt;""),ROUND(ROUND(AH61,3)-ROUND(AG61,3),3)*1000,IF(AND(AF61&lt;&gt;"",AG61&lt;&gt;"",AH61&lt;&gt;""),ROUND(ROUND(AH60,3)-ROUND(AG61,3),3)*1000,""))),"")</f>
        <v/>
      </c>
      <c r="AJ61" s="89" t="str">
        <f>IF(AND(NOT(ISNA(VLOOKUP(AE61,A6:E105,5,FALSE))),AF61="",AG61&lt;&gt;""),ROUND((VLOOKUP(AE61,A6:E105,5,FALSE)-AI61)/1000,3),IF(AND(NOT(ISNA(VLOOKUP(AE61,G6:K105,5,FALSE))),AF61="",AG61&lt;&gt;""),ROUND((VLOOKUP(AE61,G6:K105,5,FALSE)-AI61)/1000,3),IF(AND(NOT(ISNA(VLOOKUP(AE61,M6:Q105,5,FALSE))),AF61="",AG61&lt;&gt;""),ROUND((VLOOKUP(AE61,M6:Q105,5,FALSE)-AI61)/1000,3),IF(AND(NOT(ISNA(VLOOKUP(AE61,S6:W105,5,FALSE))),AF61="",AG61&lt;&gt;""),ROUND((VLOOKUP(AE61,S6:W105,5,FALSE)-AI61)/1000,3),IF(AND(NOT(ISNA(VLOOKUP(AE61,Y6:AC105,5,FALSE))),AF61="",AG61&lt;&gt;""),ROUND((VLOOKUP(AE61,Y6:AC105,5,FALSE)-AI61)/1000,3),IF(AND(NOT(ISNA(VLOOKUP(AE61,AE6:AI60,5,FALSE))),AF61="",AG61&lt;&gt;""),ROUND((VLOOKUP(AE61,AE6:AI60,5,FALSE)-AI61)/1000,3),""))))))</f>
        <v/>
      </c>
      <c r="AK61" s="74">
        <f>IF(AK60="","",AK60+1)</f>
        <v>655</v>
      </c>
      <c r="AL61" s="77"/>
      <c r="AM61" s="77"/>
      <c r="AN61" s="78" t="str">
        <f>IF(AND(AL61&lt;&gt;"",AM61&lt;&gt;""),ROUND(AL61,3)+ROUND(AN60,3)-ROUND(AM61,3),IF(AND(EXACT(UPPER(AK61),"TBM"),AL61&lt;&gt;""),ROUND(AL61,3),IF(AL61="",AN60,IF(ISNA(VLOOKUP(AK61,A6:E105,5,FALSE)),IF(ISNA(VLOOKUP(AK61,G6:K105,5,FALSE)),IF(ISNA(VLOOKUP(AK61,M6:Q105,5,FALSE)),IF(ISNA(VLOOKUP(AK61,S6:W105,5,FALSE)),IF(ISNA(VLOOKUP(AK61,Y6:AC105,5,FALSE)),IF(ISNA(VLOOKUP(AK61,AE6:AI105,5,FALSE)),IF(ISNA(VLOOKUP(AK61,AK6:AO60,5,FALSE)),"",ROUND(VLOOKUP(AK61,AK6:AO60,5,FALSE),0)/1000+ROUND(AL61,3)),ROUND(VLOOKUP(AK61,AE6:AI105,5,FALSE),0)/1000+ROUND(AL61,3)),ROUND(VLOOKUP(AK61,Y6:AC105,5,FALSE),0)/1000+ROUND(AL61,3)),ROUND(VLOOKUP(AK61,S6:W105,5,FALSE),0)/1000+ROUND(AL61,3)),ROUND(VLOOKUP(AK61,M6:Q105,5,FALSE),0)/1000+ROUND(AL61,3)),ROUND(VLOOKUP(AK61,G6:K105,5,FALSE),0)/1000+ROUND(AL61,3)),ROUND(VLOOKUP(AK61,A6:E105,5,FALSE),0)/1000+ROUND(AL61,3)))))</f>
        <v/>
      </c>
      <c r="AO61" s="87" t="str">
        <f>IF(OR(NOT(EXACT(UPPER(AK61),"TBM")),AL61=""),IF(AND(AL61&lt;&gt;"",AM61="",AN61&lt;&gt;""),"",IF(AND(AL61="",AM61&lt;&gt;"",AN61&lt;&gt;""),ROUND(ROUND(AN61,3)-ROUND(AM61,3),3)*1000,IF(AND(AL61&lt;&gt;"",AM61&lt;&gt;"",AN61&lt;&gt;""),ROUND(ROUND(AN60,3)-ROUND(AM61,3),3)*1000,""))),"")</f>
        <v/>
      </c>
      <c r="AP61" s="89" t="str">
        <f>IF(AND(NOT(ISNA(VLOOKUP(AK61,A6:E105,5,FALSE))),AL61="",AM61&lt;&gt;""),ROUND((VLOOKUP(AK61,A6:E105,5,FALSE)-AO61)/1000,3),IF(AND(NOT(ISNA(VLOOKUP(AK61,G6:K105,5,FALSE))),AL61="",AM61&lt;&gt;""),ROUND((VLOOKUP(AK61,G6:K105,5,FALSE)-AO61)/1000,3),IF(AND(NOT(ISNA(VLOOKUP(AK61,M6:Q105,5,FALSE))),AL61="",AM61&lt;&gt;""),ROUND((VLOOKUP(AK61,M6:Q105,5,FALSE)-AO61)/1000,3),IF(AND(NOT(ISNA(VLOOKUP(AK61,S6:W105,5,FALSE))),AL61="",AM61&lt;&gt;""),ROUND((VLOOKUP(AK61,S6:W105,5,FALSE)-AO61)/1000,3),IF(AND(NOT(ISNA(VLOOKUP(AK61,Y6:AC105,5,FALSE))),AL61="",AM61&lt;&gt;""),ROUND((VLOOKUP(AK61,Y6:AC105,5,FALSE)-AO61)/1000,3),IF(AND(NOT(ISNA(VLOOKUP(AK61,AE6:AI105,5,FALSE))),AL61="",AM61&lt;&gt;""),ROUND((VLOOKUP(AK61,AE6:AI105,5,FALSE)-AO61)/1000,3),IF(AND(NOT(ISNA(VLOOKUP(AK61,AK6:AO60,5,FALSE))),AL61="",AM61&lt;&gt;""),ROUND((VLOOKUP(AK61,AK6:AO60,5,FALSE)-AO61)/1000,3),"")))))))</f>
        <v/>
      </c>
      <c r="AQ61" s="74">
        <f>IF(AQ60="","",AQ60+1)</f>
        <v>755</v>
      </c>
      <c r="AR61" s="77"/>
      <c r="AS61" s="77"/>
      <c r="AT61" s="78" t="str">
        <f>IF(AND(AR61&lt;&gt;"",AS61&lt;&gt;""),ROUND(AR61,3)+ROUND(AT60,3)-ROUND(AS61,3),IF(AND(EXACT(UPPER(AQ61),"TBM"),AR61&lt;&gt;""),ROUND(AR61,3),IF(AR61="",AT60,IF(ISNA(VLOOKUP(AQ61,A6:E105,5,FALSE)),IF(ISNA(VLOOKUP(AQ61,G6:K105,5,FALSE)),IF(ISNA(VLOOKUP(AQ61,M6:Q105,5,FALSE)),IF(ISNA(VLOOKUP(AQ61,S6:W105,5,FALSE)),IF(ISNA(VLOOKUP(AQ61,Y6:AC105,5,FALSE)),IF(ISNA(VLOOKUP(AQ61,AE6:AI105,5,FALSE)),IF(ISNA(VLOOKUP(AQ61,AK6:AO105,5,FALSE)),IF(ISNA(VLOOKUP(AQ61,AQ6:AU60,5,FALSE)),"",ROUND(VLOOKUP(AQ61,AQ6:AU60,5,FALSE),0)/1000+ROUND(AR61,3)),ROUND(VLOOKUP(AQ61,AK6:AO105,5,FALSE),0)/1000+ROUND(AR61,3)),ROUND(VLOOKUP(AQ61,AE6:AI105,5,FALSE),0)/1000+ROUND(AR61,3)),ROUND(VLOOKUP(AQ61,Y6:AC105,5,FALSE),0)/1000+ROUND(AR61,3)),ROUND(VLOOKUP(AQ61,S6:W105,5,FALSE),0)/1000+ROUND(AR61,3)),ROUND(VLOOKUP(AQ61,M6:Q105,5,FALSE),0)/1000+ROUND(AR61,3)),ROUND(VLOOKUP(AQ61,G6:K105,5,FALSE),0)/1000+ROUND(AR61,3)),ROUND(VLOOKUP(AQ61,A6:E105,5,FALSE),0)/1000+ROUND(AR61,3)))))</f>
        <v/>
      </c>
      <c r="AU61" s="87" t="str">
        <f>IF(OR(NOT(EXACT(UPPER(AQ61),"TBM")),AR61=""),IF(AND(AR61&lt;&gt;"",AS61="",AT61&lt;&gt;""),"",IF(AND(AR61="",AS61&lt;&gt;"",AT61&lt;&gt;""),ROUND(ROUND(AT61,3)-ROUND(AS61,3),3)*1000,IF(AND(AR61&lt;&gt;"",AS61&lt;&gt;"",AT61&lt;&gt;""),ROUND(ROUND(AT60,3)-ROUND(AS61,3),3)*1000,""))),"")</f>
        <v/>
      </c>
      <c r="AV61" s="89" t="str">
        <f>IF(AND(NOT(ISNA(VLOOKUP(AQ61,A6:E105,5,FALSE))),AR61="",AS61&lt;&gt;""),ROUND((VLOOKUP(AQ61,A6:E105,5,FALSE)-AU61)/1000,3),IF(AND(NOT(ISNA(VLOOKUP(AQ61,G6:K105,5,FALSE))),AR61="",AS61&lt;&gt;""),ROUND((VLOOKUP(AQ61,G6:K105,5,FALSE)-AU61)/1000,3),IF(AND(NOT(ISNA(VLOOKUP(AQ61,M6:Q105,5,FALSE))),AR61="",AS61&lt;&gt;""),ROUND((VLOOKUP(AQ61,M6:Q105,5,FALSE)-AU61)/1000,3),IF(AND(NOT(ISNA(VLOOKUP(AQ61,S6:W105,5,FALSE))),AR61="",AS61&lt;&gt;""),ROUND((VLOOKUP(AQ61,S6:W105,5,FALSE)-AU61)/1000,3),IF(AND(NOT(ISNA(VLOOKUP(AQ61,Y6:AC105,5,FALSE))),AR61="",AS61&lt;&gt;""),ROUND((VLOOKUP(AQ61,Y6:AC105,5,FALSE)-AU61)/1000,3),IF(AND(NOT(ISNA(VLOOKUP(AQ61,AE6:AI105,5,FALSE))),AR61="",AS61&lt;&gt;""),ROUND((VLOOKUP(AQ61,AE6:AI105,5,FALSE)-AU61)/1000,3),IF(AND(NOT(ISNA(VLOOKUP(AQ61,AK6:AO105,5,FALSE))),AR61="",AS61&lt;&gt;""),ROUND((VLOOKUP(AQ61,AK6:AO105,5,FALSE)-AU61)/1000,3),IF(AND(NOT(ISNA(VLOOKUP(AQ61,AQ6:AU60,5,FALSE))),AR61="",AS61&lt;&gt;""),ROUND((VLOOKUP(AQ61,AQ6:AU60,5,FALSE)-AU61)/1000,3),""))))))))</f>
        <v/>
      </c>
      <c r="AW61" s="74">
        <f>IF(AW60="","",AW60+1)</f>
        <v>855</v>
      </c>
      <c r="AX61" s="77"/>
      <c r="AY61" s="77"/>
      <c r="AZ61" s="78" t="str">
        <f>IF(AND(AX61&lt;&gt;"",AY61&lt;&gt;""),ROUND(AX61,3)+ROUND(AZ60,3)-ROUND(AY61,3),IF(AND(EXACT(UPPER(AW61),"TBM"),AX61&lt;&gt;""),ROUND(AX61,3),IF(AX61="",AZ60,IF(ISNA(VLOOKUP(AW61,A6:E105,5,FALSE)),IF(ISNA(VLOOKUP(AW61,G6:K105,5,FALSE)),IF(ISNA(VLOOKUP(AW61,M6:Q105,5,FALSE)),IF(ISNA(VLOOKUP(AW61,S6:W105,5,FALSE)),IF(ISNA(VLOOKUP(AW61,Y6:AC105,5,FALSE)),IF(ISNA(VLOOKUP(AW61,AE6:AI105,5,FALSE)),IF(ISNA(VLOOKUP(AW61,AK6:AO105,5,FALSE)),IF(ISNA(VLOOKUP(AW61,AQ6:AU105,5,FALSE)),IF(ISNA(VLOOKUP(AW61,AW6:BA60,5,FALSE)),"",ROUND(VLOOKUP(AW61,AW6:BA60,5,FALSE),0)/1000+ROUND(AX61,3)),ROUND(VLOOKUP(AW61,AQ6:AU105,5,FALSE),0)/1000+ROUND(AX61,3)),ROUND(VLOOKUP(AW61,AK6:AO105,5,FALSE),0)/1000+ROUND(AX61,3)),ROUND(VLOOKUP(AW61,AE6:AI105,5,FALSE),0)/1000+ROUND(AX61,3)),ROUND(VLOOKUP(AW61,Y6:AC105,5,FALSE),0)/1000+ROUND(AX61,3)),ROUND(VLOOKUP(AW61,S6:W105,5,FALSE),0)/1000+ROUND(AX61,3)),ROUND(VLOOKUP(AW61,M6:Q105,5,FALSE),0)/1000+ROUND(AX61,3)),ROUND(VLOOKUP(AW61,G6:K105,5,FALSE),0)/1000+ROUND(AX61,3)),ROUND(VLOOKUP(AW61,A6:E105,5,FALSE),0)/1000+ROUND(AX61,3)))))</f>
        <v/>
      </c>
      <c r="BA61" s="87" t="str">
        <f>IF(OR(NOT(EXACT(UPPER(AW61),"TBM")),AX61=""),IF(AND(AX61&lt;&gt;"",AY61="",AZ61&lt;&gt;""),"",IF(AND(AX61="",AY61&lt;&gt;"",AZ61&lt;&gt;""),ROUND(ROUND(AZ61,3)-ROUND(AY61,3),3)*1000,IF(AND(AX61&lt;&gt;"",AY61&lt;&gt;"",AZ61&lt;&gt;""),ROUND(ROUND(AZ60,3)-ROUND(AY61,3),3)*1000,""))),"")</f>
        <v/>
      </c>
      <c r="BB61" s="89" t="str">
        <f>IF(AND(NOT(ISNA(VLOOKUP(AW61,A6:E105,5,FALSE))),AX61="",AY61&lt;&gt;""),ROUND((VLOOKUP(AW61,A6:E105,5,FALSE)-BA61)/1000,3),IF(AND(NOT(ISNA(VLOOKUP(AW61,G6:K105,5,FALSE))),AX61="",AY61&lt;&gt;""),ROUND((VLOOKUP(AW61,G6:K105,5,FALSE)-BA61)/1000,3),IF(AND(NOT(ISNA(VLOOKUP(AW61,M6:Q105,5,FALSE))),AX61="",AY61&lt;&gt;""),ROUND((VLOOKUP(AW61,M6:Q105,5,FALSE)-BA61)/1000,3),IF(AND(NOT(ISNA(VLOOKUP(AW61,S6:W105,5,FALSE))),AX61="",AY61&lt;&gt;""),ROUND((VLOOKUP(AW61,S6:W105,5,FALSE)-BA61)/1000,3),IF(AND(NOT(ISNA(VLOOKUP(AW61,Y6:AC105,5,FALSE))),AX61="",AY61&lt;&gt;""),ROUND((VLOOKUP(AW61,Y6:AC105,5,FALSE)-BA61)/1000,3),IF(AND(NOT(ISNA(VLOOKUP(AW61,AE6:AI105,5,FALSE))),AX61="",AY61&lt;&gt;""),ROUND((VLOOKUP(AW61,AE6:AI105,5,FALSE)-BA61)/1000,3),IF(AND(NOT(ISNA(VLOOKUP(AW61,AK6:AO105,5,FALSE))),AX61="",AY61&lt;&gt;""),ROUND((VLOOKUP(AW61,AK6:AO105,5,FALSE)-BA61)/1000,3),IF(AND(NOT(ISNA(VLOOKUP(AW61,AQ6:AU105,5,FALSE))),AX61="",AY61&lt;&gt;""),ROUND((VLOOKUP(AW61,AQ6:AU105,5,FALSE)-BA61)/1000,3),IF(AND(NOT(ISNA(VLOOKUP(AW61,AW6:BA60,5,FALSE))),AX61="",AY61&lt;&gt;""),ROUND((VLOOKUP(AW61,AW6:BA60,5,FALSE)-BA61)/1000,3),"")))))))))</f>
        <v/>
      </c>
      <c r="BC61" s="74">
        <f>IF(BC60="","",BC60+1)</f>
        <v>955</v>
      </c>
      <c r="BD61" s="77"/>
      <c r="BE61" s="77"/>
      <c r="BF61" s="78" t="str">
        <f>IF(AND(BD61&lt;&gt;"",BE61&lt;&gt;""),ROUND(BD61,3)+ROUND(BF60,3)-ROUND(BE61,3),IF(AND(EXACT(UPPER(BC61),"TBM"),BD61&lt;&gt;""),ROUND(BD61,3),IF(BD61="",BF60,IF(ISNA(VLOOKUP(BC61,A6:E105,5,FALSE)),IF(ISNA(VLOOKUP(BC61,G6:K105,5,FALSE)),IF(ISNA(VLOOKUP(BC61,M6:Q105,5,FALSE)),IF(ISNA(VLOOKUP(BC61,S6:W105,5,FALSE)),IF(ISNA(VLOOKUP(BC61,Y6:AC105,5,FALSE)),IF(ISNA(VLOOKUP(BC61,AE6:AI105,5,FALSE)),IF(ISNA(VLOOKUP(BC61,AK6:AO105,5,FALSE)),IF(ISNA(VLOOKUP(BC61,AQ6:AU105,5,FALSE)),IF(ISNA(VLOOKUP(BC61,AW6:BA105,5,FALSE)),IF(ISNA(VLOOKUP(BC61,BC6:BG60,5,FALSE)),"",ROUND(VLOOKUP(BC61,BC6:BG60,5,FALSE),0)/1000+ROUND(BD61,3)),ROUND(VLOOKUP(BC61,AW6:BA105,5,FALSE),0)/1000+ROUND(BD61,3)),ROUND(VLOOKUP(BC61,AQ6:AU105,5,FALSE),0)/1000+ROUND(BD61,3)),ROUND(VLOOKUP(BC61,AK6:AO105,5,FALSE),0)/1000+ROUND(BD61,3)),ROUND(VLOOKUP(BC61,AE6:AI105,5,FALSE),0)/1000+ROUND(BD61,3)),ROUND(VLOOKUP(BC61,Y6:AC105,5,FALSE),0)/1000+ROUND(BD61,3)),ROUND(VLOOKUP(BC61,S6:W105,5,FALSE),0)/1000+ROUND(BD61,3)),ROUND(VLOOKUP(BC61,M6:Q105,5,FALSE),0)/1000+ROUND(BD61,3)),ROUND(VLOOKUP(BC61,G6:K105,5,FALSE),0)/1000+ROUND(BD61,3)),ROUND(VLOOKUP(BC61,A6:E105,5,FALSE),0)/1000+ROUND(BD61,3)))))</f>
        <v/>
      </c>
      <c r="BG61" s="87" t="str">
        <f>IF(OR(NOT(EXACT(UPPER(BC61),"TBM")),BD61=""),IF(AND(BD61&lt;&gt;"",BE61="",BF61&lt;&gt;""),"",IF(AND(BD61="",BE61&lt;&gt;"",BF61&lt;&gt;""),ROUND(ROUND(BF61,3)-ROUND(BE61,3),3)*1000,IF(AND(BD61&lt;&gt;"",BE61&lt;&gt;"",BF61&lt;&gt;""),ROUND(ROUND(BF60,3)-ROUND(BE61,3),3)*1000,""))),"")</f>
        <v/>
      </c>
      <c r="BH61" s="89" t="str">
        <f>IF(AND(NOT(ISNA(VLOOKUP(BC61,A6:E105,5,FALSE))),BD61="",BE61&lt;&gt;""),ROUND((VLOOKUP(BC61,A6:E105,5,FALSE)-BG61)/1000,3),IF(AND(NOT(ISNA(VLOOKUP(BC61,G6:K105,5,FALSE))),BD61="",BE61&lt;&gt;""),ROUND((VLOOKUP(BC61,G6:K105,5,FALSE)-BG61)/1000,3),IF(AND(NOT(ISNA(VLOOKUP(BC61,M6:Q105,5,FALSE))),BD61="",BE61&lt;&gt;""),ROUND((VLOOKUP(BC61,M6:Q105,5,FALSE)-BG61)/1000,3),IF(AND(NOT(ISNA(VLOOKUP(BC61,S6:W105,5,FALSE))),BD61="",BE61&lt;&gt;""),ROUND((VLOOKUP(BC61,S6:W105,5,FALSE)-BG61)/1000,3),IF(AND(NOT(ISNA(VLOOKUP(BC61,Y6:AC105,5,FALSE))),BD61="",BE61&lt;&gt;""),ROUND((VLOOKUP(BC61,Y6:AC105,5,FALSE)-BG61)/1000,3),IF(AND(NOT(ISNA(VLOOKUP(BC61,AE6:AI105,5,FALSE))),BD61="",BE61&lt;&gt;""),ROUND((VLOOKUP(BC61,AE6:AI105,5,FALSE)-BG61)/1000,3),IF(AND(NOT(ISNA(VLOOKUP(BC61,AK6:AO105,5,FALSE))),BD61="",BE61&lt;&gt;""),ROUND((VLOOKUP(BC61,AK6:AO105,5,FALSE)-BG61)/1000,3),IF(AND(NOT(ISNA(VLOOKUP(BC61,AQ6:AU105,5,FALSE))),BD61="",BE61&lt;&gt;""),ROUND((VLOOKUP(BC61,AQ6:AU105,5,FALSE)-BG61)/1000,3),IF(AND(NOT(ISNA(VLOOKUP(BC61,AW6:BA105,5,FALSE))),BD61="",BE61&lt;&gt;""),ROUND((VLOOKUP(BC61,AW6:BA105,5,FALSE)-BG61)/1000,3),IF(AND(NOT(ISNA(VLOOKUP(BC61,BC6:BG60,5,FALSE))),BD61="",BE61&lt;&gt;""),ROUND((VLOOKUP(BC61,BC6:BG60,5,FALSE)-BG61)/1000,3),""))))))))))</f>
        <v/>
      </c>
    </row>
    <row r="62" spans="1:60" x14ac:dyDescent="0.25">
      <c r="A62" s="19">
        <f t="shared" si="3"/>
        <v>56</v>
      </c>
      <c r="B62" s="39"/>
      <c r="C62" s="39"/>
      <c r="D62" s="15" t="str">
        <f>IF(AND(B62&lt;&gt;"",C62&lt;&gt;""),ROUND(B62,3)+ROUND(D61,3)-ROUND(C62,3),IF(AND(EXACT(UPPER(A62),"TBM"),B62&lt;&gt;""),ROUND(B62,3),IF(B62="",D61,IF(ISNA(VLOOKUP(A62,A6:E61,5,FALSE)),"",ROUND(VLOOKUP(A62,A6:E61,5,FALSE),0)/1000+ROUND(B62,3)))))</f>
        <v/>
      </c>
      <c r="E62" s="21" t="str">
        <f t="shared" si="4"/>
        <v/>
      </c>
      <c r="F62" s="45" t="str">
        <f>IF(AND(NOT(ISNA(VLOOKUP(A62,A6:E61,5,FALSE))),B62="",C62&lt;&gt;""),ROUND((VLOOKUP(A62,A6:E61,5,FALSE)-E62)/1000,3),"")</f>
        <v/>
      </c>
      <c r="G62" s="19">
        <f t="shared" si="1"/>
        <v>156</v>
      </c>
      <c r="H62" s="39"/>
      <c r="I62" s="39"/>
      <c r="J62" s="15" t="str">
        <f>IF(AND(H62&lt;&gt;"",I62&lt;&gt;""),ROUND(H62,3)+ROUND(J61,3)-ROUND(I62,3),IF(AND(EXACT(UPPER(G62),"TBM"),H62&lt;&gt;""),ROUND(H62,3),IF(H62="",J61,IF(ISNA(VLOOKUP(G62,A6:E105,5,FALSE)),IF(ISNA(VLOOKUP(G62,G6:K61,5,FALSE)),"",ROUND(VLOOKUP(G62,G6:K61,5,FALSE),0)/1000+ROUND(H62,3)),ROUND(VLOOKUP(G62,A6:E105,5,FALSE),0)/1000+ROUND(H62,3)))))</f>
        <v/>
      </c>
      <c r="K62" s="18" t="str">
        <f t="shared" si="5"/>
        <v/>
      </c>
      <c r="L62" s="45" t="str">
        <f>IF(AND(NOT(ISNA(VLOOKUP(G62,A6:E105,5,FALSE))),H62="",I62&lt;&gt;""),ROUND((VLOOKUP(G62,A6:E105,5,FALSE)-K62)/1000,3),IF(AND(NOT(ISNA(VLOOKUP(G62,G6:K61,5,FALSE))),H62="",I62&lt;&gt;""),ROUND((VLOOKUP(G62,G6:K61,5,FALSE)-K62)/1000,3),""))</f>
        <v/>
      </c>
      <c r="M62" s="19">
        <f>IF(M61="","",M61+1)</f>
        <v>256</v>
      </c>
      <c r="N62" s="39"/>
      <c r="O62" s="39"/>
      <c r="P62" s="15" t="str">
        <f>IF(AND(N62&lt;&gt;"",O62&lt;&gt;""),ROUND(N62,3)+ROUND(P61,3)-ROUND(O62,3),IF(AND(EXACT(UPPER(M62),"TBM"),N62&lt;&gt;""),ROUND(N62,3),IF(N62="",P61,IF(ISNA(VLOOKUP(M62,A6:E105,5,FALSE)),IF(ISNA(VLOOKUP(M62,G6:K105,5,FALSE)),IF(ISNA(VLOOKUP(M62,M6:Q61,5,FALSE)),"",ROUND(VLOOKUP(M62,M6:Q61,5,FALSE),0)/1000+ROUND(N62,3)),ROUND(VLOOKUP(M62,G6:K105,5,FALSE),0)/1000+ROUND(N62,3)),ROUND(VLOOKUP(M62,A6:E105,5,FALSE),0)/1000+ROUND(N62,3)))))</f>
        <v/>
      </c>
      <c r="Q62" s="18" t="str">
        <f>IF(OR(NOT(EXACT(UPPER(M62),"TBM")),N62=""),IF(AND(N62&lt;&gt;"",O62="",P62&lt;&gt;""),"",IF(AND(N62="",O62&lt;&gt;"",P62&lt;&gt;""),ROUND(ROUND(P62,3)-ROUND(O62,3),3)*1000,IF(AND(N62&lt;&gt;"",O62&lt;&gt;"",P62&lt;&gt;""),ROUND(ROUND(P61,3)-ROUND(O62,3),3)*1000,""))),"")</f>
        <v/>
      </c>
      <c r="R62" s="45" t="str">
        <f>IF(AND(NOT(ISNA(VLOOKUP(M62,A6:E105,5,FALSE))),N62="",O62&lt;&gt;""),ROUND((VLOOKUP(M62,A6:E105,5,FALSE)-Q62)/1000,3),IF(AND(NOT(ISNA(VLOOKUP(M62,G6:K105,5,FALSE))),N62="",O62&lt;&gt;""),ROUND((VLOOKUP(M62,G6:K105,5,FALSE)-Q62)/1000,3),IF(AND(NOT(ISNA(VLOOKUP(M62,M6:Q61,5,FALSE))),N62="",O62&lt;&gt;""),ROUND((VLOOKUP(M62,M6:Q61,5,FALSE)-Q62)/1000,3),"")))</f>
        <v/>
      </c>
      <c r="S62" s="19">
        <f>IF(S61="","",S61+1)</f>
        <v>356</v>
      </c>
      <c r="T62" s="39"/>
      <c r="U62" s="39"/>
      <c r="V62" s="15" t="str">
        <f>IF(AND(T62&lt;&gt;"",U62&lt;&gt;""),ROUND(T62,3)+ROUND(V61,3)-ROUND(U62,3),IF(AND(EXACT(UPPER(S62),"TBM"),T62&lt;&gt;""),ROUND(T62,3),IF(T62="",V61,IF(ISNA(VLOOKUP(S62,A6:E105,5,FALSE)),IF(ISNA(VLOOKUP(S62,G6:K105,5,FALSE)),IF(ISNA(VLOOKUP(S62,M6:Q105,5,FALSE)),IF(ISNA(VLOOKUP(S62,S6:W61,5,FALSE)),"",ROUND(VLOOKUP(S62,S6:W61,5,FALSE),0)/1000+ROUND(T62,3)),ROUND(VLOOKUP(S62,M6:Q105,5,FALSE),0)/1000+ROUND(T62,3)),ROUND(VLOOKUP(S62,G6:K105,5,FALSE),0)/1000+ROUND(T62,3)),ROUND(VLOOKUP(S62,A6:E105,5,FALSE),0)/1000+ROUND(T62,3)))))</f>
        <v/>
      </c>
      <c r="W62" s="18" t="str">
        <f>IF(OR(NOT(EXACT(UPPER(S62),"TBM")),T62=""),IF(AND(T62&lt;&gt;"",U62="",V62&lt;&gt;""),"",IF(AND(T62="",U62&lt;&gt;"",V62&lt;&gt;""),ROUND(ROUND(V62,3)-ROUND(U62,3),3)*1000,IF(AND(T62&lt;&gt;"",U62&lt;&gt;"",V62&lt;&gt;""),ROUND(ROUND(V61,3)-ROUND(U62,3),3)*1000,""))),"")</f>
        <v/>
      </c>
      <c r="X62" s="45" t="str">
        <f>IF(AND(NOT(ISNA(VLOOKUP(S62,A6:E105,5,FALSE))),T62="",U62&lt;&gt;""),ROUND((VLOOKUP(S62,A6:E105,5,FALSE)-W62)/1000,3),IF(AND(NOT(ISNA(VLOOKUP(S62,G6:K105,5,FALSE))),T62="",U62&lt;&gt;""),ROUND((VLOOKUP(S62,G6:K105,5,FALSE)-W62)/1000,3),IF(AND(NOT(ISNA(VLOOKUP(S62,M6:Q105,5,FALSE))),T62="",U62&lt;&gt;""),ROUND((VLOOKUP(S62,M6:Q105,5,FALSE)-W62)/1000,3),IF(AND(NOT(ISNA(VLOOKUP(S62,S6:W61,5,FALSE))),T62="",U62&lt;&gt;""),ROUND((VLOOKUP(S62,S6:W61,5,FALSE)-W62)/1000,3),""))))</f>
        <v/>
      </c>
      <c r="Y62" s="19">
        <f>IF(Y61="","",Y61+1)</f>
        <v>456</v>
      </c>
      <c r="Z62" s="39"/>
      <c r="AA62" s="39"/>
      <c r="AB62" s="15" t="str">
        <f>IF(AND(Z62&lt;&gt;"",AA62&lt;&gt;""),ROUND(Z62,3)+ROUND(AB61,3)-ROUND(AA62,3),IF(AND(EXACT(UPPER(Y62),"TBM"),Z62&lt;&gt;""),ROUND(Z62,3),IF(Z62="",AB61,IF(ISNA(VLOOKUP(Y62,A6:E105,5,FALSE)),IF(ISNA(VLOOKUP(Y62,G6:K105,5,FALSE)),IF(ISNA(VLOOKUP(Y62,M6:Q105,5,FALSE)),IF(ISNA(VLOOKUP(Y62,S6:W105,5,FALSE)),IF(ISNA(VLOOKUP(Y62,Y6:AC61,5,FALSE)),"",ROUND(VLOOKUP(Y62,Y6:AC61,5,FALSE),0)/1000+ROUND(Z62,3)),ROUND(VLOOKUP(Y62,S6:W105,5,FALSE),0)/1000+ROUND(Z62,3)),ROUND(VLOOKUP(Y62,M6:Q105,5,FALSE),0)/1000+ROUND(Z62,3)),ROUND(VLOOKUP(Y62,G6:K105,5,FALSE),0)/1000+ROUND(Z62,3)),ROUND(VLOOKUP(Y62,A6:E105,5,FALSE),0)/1000+ROUND(Z62,3)))))</f>
        <v/>
      </c>
      <c r="AC62" s="18" t="str">
        <f>IF(OR(NOT(EXACT(UPPER(Y62),"TBM")),Z62=""),IF(AND(Z62&lt;&gt;"",AA62="",AB62&lt;&gt;""),"",IF(AND(Z62="",AA62&lt;&gt;"",AB62&lt;&gt;""),ROUND(ROUND(AB62,3)-ROUND(AA62,3),3)*1000,IF(AND(Z62&lt;&gt;"",AA62&lt;&gt;"",AB62&lt;&gt;""),ROUND(ROUND(AB61,3)-ROUND(AA62,3),3)*1000,""))),"")</f>
        <v/>
      </c>
      <c r="AD62" s="45" t="str">
        <f>IF(AND(NOT(ISNA(VLOOKUP(Y62,A6:E105,5,FALSE))),Z62="",AA62&lt;&gt;""),ROUND((VLOOKUP(Y62,A6:E105,5,FALSE)-AC62)/1000,3),IF(AND(NOT(ISNA(VLOOKUP(Y62,G6:K105,5,FALSE))),Z62="",AA62&lt;&gt;""),ROUND((VLOOKUP(Y62,G6:K105,5,FALSE)-AC62)/1000,3),IF(AND(NOT(ISNA(VLOOKUP(Y62,M6:Q105,5,FALSE))),Z62="",AA62&lt;&gt;""),ROUND((VLOOKUP(Y62,M6:Q105,5,FALSE)-AC62)/1000,3),IF(AND(NOT(ISNA(VLOOKUP(Y62,S6:W105,5,FALSE))),Z62="",AA62&lt;&gt;""),ROUND((VLOOKUP(Y62,S6:W105,5,FALSE)-AC62)/1000,3),IF(AND(NOT(ISNA(VLOOKUP(Y62,Y6:AC61,5,FALSE))),Z62="",AA62&lt;&gt;""),ROUND((VLOOKUP(Y62,Y6:AC61,5,FALSE)-AC62)/1000,3),"")))))</f>
        <v/>
      </c>
      <c r="AE62" s="19">
        <f>IF(AE61="","",AE61+1)</f>
        <v>556</v>
      </c>
      <c r="AF62" s="39"/>
      <c r="AG62" s="39"/>
      <c r="AH62" s="15" t="str">
        <f>IF(AND(AF62&lt;&gt;"",AG62&lt;&gt;""),ROUND(AF62,3)+ROUND(AH61,3)-ROUND(AG62,3),IF(AND(EXACT(UPPER(AE62),"TBM"),AF62&lt;&gt;""),ROUND(AF62,3),IF(AF62="",AH61,IF(ISNA(VLOOKUP(AE62,A6:E105,5,FALSE)),IF(ISNA(VLOOKUP(AE62,G6:K105,5,FALSE)),IF(ISNA(VLOOKUP(AE62,M6:Q105,5,FALSE)),IF(ISNA(VLOOKUP(AE62,S6:W105,5,FALSE)),IF(ISNA(VLOOKUP(AE62,Y6:AC105,5,FALSE)),IF(ISNA(VLOOKUP(AE62,AE6:AI61,5,FALSE)),"",ROUND(VLOOKUP(AE62,AE6:AI61,5,FALSE),0)/1000+ROUND(AF62,3)),ROUND(VLOOKUP(AE62,Y6:AC105,5,FALSE),0)/1000+ROUND(AF62,3)),ROUND(VLOOKUP(AE62,S6:W105,5,FALSE),0)/1000+ROUND(AF62,3)),ROUND(VLOOKUP(AE62,M6:Q105,5,FALSE),0)/1000+ROUND(AF62,3)),ROUND(VLOOKUP(AE62,G6:K105,5,FALSE),0)/1000+ROUND(AF62,3)),ROUND(VLOOKUP(AE62,A6:E105,5,FALSE),0)/1000+ROUND(AF62,3)))))</f>
        <v/>
      </c>
      <c r="AI62" s="18" t="str">
        <f>IF(OR(NOT(EXACT(UPPER(AE62),"TBM")),AF62=""),IF(AND(AF62&lt;&gt;"",AG62="",AH62&lt;&gt;""),"",IF(AND(AF62="",AG62&lt;&gt;"",AH62&lt;&gt;""),ROUND(ROUND(AH62,3)-ROUND(AG62,3),3)*1000,IF(AND(AF62&lt;&gt;"",AG62&lt;&gt;"",AH62&lt;&gt;""),ROUND(ROUND(AH61,3)-ROUND(AG62,3),3)*1000,""))),"")</f>
        <v/>
      </c>
      <c r="AJ62" s="45" t="str">
        <f>IF(AND(NOT(ISNA(VLOOKUP(AE62,A6:E105,5,FALSE))),AF62="",AG62&lt;&gt;""),ROUND((VLOOKUP(AE62,A6:E105,5,FALSE)-AI62)/1000,3),IF(AND(NOT(ISNA(VLOOKUP(AE62,G6:K105,5,FALSE))),AF62="",AG62&lt;&gt;""),ROUND((VLOOKUP(AE62,G6:K105,5,FALSE)-AI62)/1000,3),IF(AND(NOT(ISNA(VLOOKUP(AE62,M6:Q105,5,FALSE))),AF62="",AG62&lt;&gt;""),ROUND((VLOOKUP(AE62,M6:Q105,5,FALSE)-AI62)/1000,3),IF(AND(NOT(ISNA(VLOOKUP(AE62,S6:W105,5,FALSE))),AF62="",AG62&lt;&gt;""),ROUND((VLOOKUP(AE62,S6:W105,5,FALSE)-AI62)/1000,3),IF(AND(NOT(ISNA(VLOOKUP(AE62,Y6:AC105,5,FALSE))),AF62="",AG62&lt;&gt;""),ROUND((VLOOKUP(AE62,Y6:AC105,5,FALSE)-AI62)/1000,3),IF(AND(NOT(ISNA(VLOOKUP(AE62,AE6:AI61,5,FALSE))),AF62="",AG62&lt;&gt;""),ROUND((VLOOKUP(AE62,AE6:AI61,5,FALSE)-AI62)/1000,3),""))))))</f>
        <v/>
      </c>
      <c r="AK62" s="19">
        <f>IF(AK61="","",AK61+1)</f>
        <v>656</v>
      </c>
      <c r="AL62" s="39"/>
      <c r="AM62" s="39"/>
      <c r="AN62" s="15" t="str">
        <f>IF(AND(AL62&lt;&gt;"",AM62&lt;&gt;""),ROUND(AL62,3)+ROUND(AN61,3)-ROUND(AM62,3),IF(AND(EXACT(UPPER(AK62),"TBM"),AL62&lt;&gt;""),ROUND(AL62,3),IF(AL62="",AN61,IF(ISNA(VLOOKUP(AK62,A6:E105,5,FALSE)),IF(ISNA(VLOOKUP(AK62,G6:K105,5,FALSE)),IF(ISNA(VLOOKUP(AK62,M6:Q105,5,FALSE)),IF(ISNA(VLOOKUP(AK62,S6:W105,5,FALSE)),IF(ISNA(VLOOKUP(AK62,Y6:AC105,5,FALSE)),IF(ISNA(VLOOKUP(AK62,AE6:AI105,5,FALSE)),IF(ISNA(VLOOKUP(AK62,AK6:AO61,5,FALSE)),"",ROUND(VLOOKUP(AK62,AK6:AO61,5,FALSE),0)/1000+ROUND(AL62,3)),ROUND(VLOOKUP(AK62,AE6:AI105,5,FALSE),0)/1000+ROUND(AL62,3)),ROUND(VLOOKUP(AK62,Y6:AC105,5,FALSE),0)/1000+ROUND(AL62,3)),ROUND(VLOOKUP(AK62,S6:W105,5,FALSE),0)/1000+ROUND(AL62,3)),ROUND(VLOOKUP(AK62,M6:Q105,5,FALSE),0)/1000+ROUND(AL62,3)),ROUND(VLOOKUP(AK62,G6:K105,5,FALSE),0)/1000+ROUND(AL62,3)),ROUND(VLOOKUP(AK62,A6:E105,5,FALSE),0)/1000+ROUND(AL62,3)))))</f>
        <v/>
      </c>
      <c r="AO62" s="18" t="str">
        <f>IF(OR(NOT(EXACT(UPPER(AK62),"TBM")),AL62=""),IF(AND(AL62&lt;&gt;"",AM62="",AN62&lt;&gt;""),"",IF(AND(AL62="",AM62&lt;&gt;"",AN62&lt;&gt;""),ROUND(ROUND(AN62,3)-ROUND(AM62,3),3)*1000,IF(AND(AL62&lt;&gt;"",AM62&lt;&gt;"",AN62&lt;&gt;""),ROUND(ROUND(AN61,3)-ROUND(AM62,3),3)*1000,""))),"")</f>
        <v/>
      </c>
      <c r="AP62" s="45" t="str">
        <f>IF(AND(NOT(ISNA(VLOOKUP(AK62,A6:E105,5,FALSE))),AL62="",AM62&lt;&gt;""),ROUND((VLOOKUP(AK62,A6:E105,5,FALSE)-AO62)/1000,3),IF(AND(NOT(ISNA(VLOOKUP(AK62,G6:K105,5,FALSE))),AL62="",AM62&lt;&gt;""),ROUND((VLOOKUP(AK62,G6:K105,5,FALSE)-AO62)/1000,3),IF(AND(NOT(ISNA(VLOOKUP(AK62,M6:Q105,5,FALSE))),AL62="",AM62&lt;&gt;""),ROUND((VLOOKUP(AK62,M6:Q105,5,FALSE)-AO62)/1000,3),IF(AND(NOT(ISNA(VLOOKUP(AK62,S6:W105,5,FALSE))),AL62="",AM62&lt;&gt;""),ROUND((VLOOKUP(AK62,S6:W105,5,FALSE)-AO62)/1000,3),IF(AND(NOT(ISNA(VLOOKUP(AK62,Y6:AC105,5,FALSE))),AL62="",AM62&lt;&gt;""),ROUND((VLOOKUP(AK62,Y6:AC105,5,FALSE)-AO62)/1000,3),IF(AND(NOT(ISNA(VLOOKUP(AK62,AE6:AI105,5,FALSE))),AL62="",AM62&lt;&gt;""),ROUND((VLOOKUP(AK62,AE6:AI105,5,FALSE)-AO62)/1000,3),IF(AND(NOT(ISNA(VLOOKUP(AK62,AK6:AO61,5,FALSE))),AL62="",AM62&lt;&gt;""),ROUND((VLOOKUP(AK62,AK6:AO61,5,FALSE)-AO62)/1000,3),"")))))))</f>
        <v/>
      </c>
      <c r="AQ62" s="19">
        <f>IF(AQ61="","",AQ61+1)</f>
        <v>756</v>
      </c>
      <c r="AR62" s="39"/>
      <c r="AS62" s="39"/>
      <c r="AT62" s="15" t="str">
        <f>IF(AND(AR62&lt;&gt;"",AS62&lt;&gt;""),ROUND(AR62,3)+ROUND(AT61,3)-ROUND(AS62,3),IF(AND(EXACT(UPPER(AQ62),"TBM"),AR62&lt;&gt;""),ROUND(AR62,3),IF(AR62="",AT61,IF(ISNA(VLOOKUP(AQ62,A6:E105,5,FALSE)),IF(ISNA(VLOOKUP(AQ62,G6:K105,5,FALSE)),IF(ISNA(VLOOKUP(AQ62,M6:Q105,5,FALSE)),IF(ISNA(VLOOKUP(AQ62,S6:W105,5,FALSE)),IF(ISNA(VLOOKUP(AQ62,Y6:AC105,5,FALSE)),IF(ISNA(VLOOKUP(AQ62,AE6:AI105,5,FALSE)),IF(ISNA(VLOOKUP(AQ62,AK6:AO105,5,FALSE)),IF(ISNA(VLOOKUP(AQ62,AQ6:AU61,5,FALSE)),"",ROUND(VLOOKUP(AQ62,AQ6:AU61,5,FALSE),0)/1000+ROUND(AR62,3)),ROUND(VLOOKUP(AQ62,AK6:AO105,5,FALSE),0)/1000+ROUND(AR62,3)),ROUND(VLOOKUP(AQ62,AE6:AI105,5,FALSE),0)/1000+ROUND(AR62,3)),ROUND(VLOOKUP(AQ62,Y6:AC105,5,FALSE),0)/1000+ROUND(AR62,3)),ROUND(VLOOKUP(AQ62,S6:W105,5,FALSE),0)/1000+ROUND(AR62,3)),ROUND(VLOOKUP(AQ62,M6:Q105,5,FALSE),0)/1000+ROUND(AR62,3)),ROUND(VLOOKUP(AQ62,G6:K105,5,FALSE),0)/1000+ROUND(AR62,3)),ROUND(VLOOKUP(AQ62,A6:E105,5,FALSE),0)/1000+ROUND(AR62,3)))))</f>
        <v/>
      </c>
      <c r="AU62" s="18" t="str">
        <f>IF(OR(NOT(EXACT(UPPER(AQ62),"TBM")),AR62=""),IF(AND(AR62&lt;&gt;"",AS62="",AT62&lt;&gt;""),"",IF(AND(AR62="",AS62&lt;&gt;"",AT62&lt;&gt;""),ROUND(ROUND(AT62,3)-ROUND(AS62,3),3)*1000,IF(AND(AR62&lt;&gt;"",AS62&lt;&gt;"",AT62&lt;&gt;""),ROUND(ROUND(AT61,3)-ROUND(AS62,3),3)*1000,""))),"")</f>
        <v/>
      </c>
      <c r="AV62" s="45" t="str">
        <f>IF(AND(NOT(ISNA(VLOOKUP(AQ62,A6:E105,5,FALSE))),AR62="",AS62&lt;&gt;""),ROUND((VLOOKUP(AQ62,A6:E105,5,FALSE)-AU62)/1000,3),IF(AND(NOT(ISNA(VLOOKUP(AQ62,G6:K105,5,FALSE))),AR62="",AS62&lt;&gt;""),ROUND((VLOOKUP(AQ62,G6:K105,5,FALSE)-AU62)/1000,3),IF(AND(NOT(ISNA(VLOOKUP(AQ62,M6:Q105,5,FALSE))),AR62="",AS62&lt;&gt;""),ROUND((VLOOKUP(AQ62,M6:Q105,5,FALSE)-AU62)/1000,3),IF(AND(NOT(ISNA(VLOOKUP(AQ62,S6:W105,5,FALSE))),AR62="",AS62&lt;&gt;""),ROUND((VLOOKUP(AQ62,S6:W105,5,FALSE)-AU62)/1000,3),IF(AND(NOT(ISNA(VLOOKUP(AQ62,Y6:AC105,5,FALSE))),AR62="",AS62&lt;&gt;""),ROUND((VLOOKUP(AQ62,Y6:AC105,5,FALSE)-AU62)/1000,3),IF(AND(NOT(ISNA(VLOOKUP(AQ62,AE6:AI105,5,FALSE))),AR62="",AS62&lt;&gt;""),ROUND((VLOOKUP(AQ62,AE6:AI105,5,FALSE)-AU62)/1000,3),IF(AND(NOT(ISNA(VLOOKUP(AQ62,AK6:AO105,5,FALSE))),AR62="",AS62&lt;&gt;""),ROUND((VLOOKUP(AQ62,AK6:AO105,5,FALSE)-AU62)/1000,3),IF(AND(NOT(ISNA(VLOOKUP(AQ62,AQ6:AU61,5,FALSE))),AR62="",AS62&lt;&gt;""),ROUND((VLOOKUP(AQ62,AQ6:AU61,5,FALSE)-AU62)/1000,3),""))))))))</f>
        <v/>
      </c>
      <c r="AW62" s="19">
        <f>IF(AW61="","",AW61+1)</f>
        <v>856</v>
      </c>
      <c r="AX62" s="39"/>
      <c r="AY62" s="39"/>
      <c r="AZ62" s="15" t="str">
        <f>IF(AND(AX62&lt;&gt;"",AY62&lt;&gt;""),ROUND(AX62,3)+ROUND(AZ61,3)-ROUND(AY62,3),IF(AND(EXACT(UPPER(AW62),"TBM"),AX62&lt;&gt;""),ROUND(AX62,3),IF(AX62="",AZ61,IF(ISNA(VLOOKUP(AW62,A6:E105,5,FALSE)),IF(ISNA(VLOOKUP(AW62,G6:K105,5,FALSE)),IF(ISNA(VLOOKUP(AW62,M6:Q105,5,FALSE)),IF(ISNA(VLOOKUP(AW62,S6:W105,5,FALSE)),IF(ISNA(VLOOKUP(AW62,Y6:AC105,5,FALSE)),IF(ISNA(VLOOKUP(AW62,AE6:AI105,5,FALSE)),IF(ISNA(VLOOKUP(AW62,AK6:AO105,5,FALSE)),IF(ISNA(VLOOKUP(AW62,AQ6:AU105,5,FALSE)),IF(ISNA(VLOOKUP(AW62,AW6:BA61,5,FALSE)),"",ROUND(VLOOKUP(AW62,AW6:BA61,5,FALSE),0)/1000+ROUND(AX62,3)),ROUND(VLOOKUP(AW62,AQ6:AU105,5,FALSE),0)/1000+ROUND(AX62,3)),ROUND(VLOOKUP(AW62,AK6:AO105,5,FALSE),0)/1000+ROUND(AX62,3)),ROUND(VLOOKUP(AW62,AE6:AI105,5,FALSE),0)/1000+ROUND(AX62,3)),ROUND(VLOOKUP(AW62,Y6:AC105,5,FALSE),0)/1000+ROUND(AX62,3)),ROUND(VLOOKUP(AW62,S6:W105,5,FALSE),0)/1000+ROUND(AX62,3)),ROUND(VLOOKUP(AW62,M6:Q105,5,FALSE),0)/1000+ROUND(AX62,3)),ROUND(VLOOKUP(AW62,G6:K105,5,FALSE),0)/1000+ROUND(AX62,3)),ROUND(VLOOKUP(AW62,A6:E105,5,FALSE),0)/1000+ROUND(AX62,3)))))</f>
        <v/>
      </c>
      <c r="BA62" s="18" t="str">
        <f>IF(OR(NOT(EXACT(UPPER(AW62),"TBM")),AX62=""),IF(AND(AX62&lt;&gt;"",AY62="",AZ62&lt;&gt;""),"",IF(AND(AX62="",AY62&lt;&gt;"",AZ62&lt;&gt;""),ROUND(ROUND(AZ62,3)-ROUND(AY62,3),3)*1000,IF(AND(AX62&lt;&gt;"",AY62&lt;&gt;"",AZ62&lt;&gt;""),ROUND(ROUND(AZ61,3)-ROUND(AY62,3),3)*1000,""))),"")</f>
        <v/>
      </c>
      <c r="BB62" s="45" t="str">
        <f>IF(AND(NOT(ISNA(VLOOKUP(AW62,A6:E105,5,FALSE))),AX62="",AY62&lt;&gt;""),ROUND((VLOOKUP(AW62,A6:E105,5,FALSE)-BA62)/1000,3),IF(AND(NOT(ISNA(VLOOKUP(AW62,G6:K105,5,FALSE))),AX62="",AY62&lt;&gt;""),ROUND((VLOOKUP(AW62,G6:K105,5,FALSE)-BA62)/1000,3),IF(AND(NOT(ISNA(VLOOKUP(AW62,M6:Q105,5,FALSE))),AX62="",AY62&lt;&gt;""),ROUND((VLOOKUP(AW62,M6:Q105,5,FALSE)-BA62)/1000,3),IF(AND(NOT(ISNA(VLOOKUP(AW62,S6:W105,5,FALSE))),AX62="",AY62&lt;&gt;""),ROUND((VLOOKUP(AW62,S6:W105,5,FALSE)-BA62)/1000,3),IF(AND(NOT(ISNA(VLOOKUP(AW62,Y6:AC105,5,FALSE))),AX62="",AY62&lt;&gt;""),ROUND((VLOOKUP(AW62,Y6:AC105,5,FALSE)-BA62)/1000,3),IF(AND(NOT(ISNA(VLOOKUP(AW62,AE6:AI105,5,FALSE))),AX62="",AY62&lt;&gt;""),ROUND((VLOOKUP(AW62,AE6:AI105,5,FALSE)-BA62)/1000,3),IF(AND(NOT(ISNA(VLOOKUP(AW62,AK6:AO105,5,FALSE))),AX62="",AY62&lt;&gt;""),ROUND((VLOOKUP(AW62,AK6:AO105,5,FALSE)-BA62)/1000,3),IF(AND(NOT(ISNA(VLOOKUP(AW62,AQ6:AU105,5,FALSE))),AX62="",AY62&lt;&gt;""),ROUND((VLOOKUP(AW62,AQ6:AU105,5,FALSE)-BA62)/1000,3),IF(AND(NOT(ISNA(VLOOKUP(AW62,AW6:BA61,5,FALSE))),AX62="",AY62&lt;&gt;""),ROUND((VLOOKUP(AW62,AW6:BA61,5,FALSE)-BA62)/1000,3),"")))))))))</f>
        <v/>
      </c>
      <c r="BC62" s="19">
        <f>IF(BC61="","",BC61+1)</f>
        <v>956</v>
      </c>
      <c r="BD62" s="39"/>
      <c r="BE62" s="39"/>
      <c r="BF62" s="15" t="str">
        <f>IF(AND(BD62&lt;&gt;"",BE62&lt;&gt;""),ROUND(BD62,3)+ROUND(BF61,3)-ROUND(BE62,3),IF(AND(EXACT(UPPER(BC62),"TBM"),BD62&lt;&gt;""),ROUND(BD62,3),IF(BD62="",BF61,IF(ISNA(VLOOKUP(BC62,A6:E105,5,FALSE)),IF(ISNA(VLOOKUP(BC62,G6:K105,5,FALSE)),IF(ISNA(VLOOKUP(BC62,M6:Q105,5,FALSE)),IF(ISNA(VLOOKUP(BC62,S6:W105,5,FALSE)),IF(ISNA(VLOOKUP(BC62,Y6:AC105,5,FALSE)),IF(ISNA(VLOOKUP(BC62,AE6:AI105,5,FALSE)),IF(ISNA(VLOOKUP(BC62,AK6:AO105,5,FALSE)),IF(ISNA(VLOOKUP(BC62,AQ6:AU105,5,FALSE)),IF(ISNA(VLOOKUP(BC62,AW6:BA105,5,FALSE)),IF(ISNA(VLOOKUP(BC62,BC6:BG61,5,FALSE)),"",ROUND(VLOOKUP(BC62,BC6:BG61,5,FALSE),0)/1000+ROUND(BD62,3)),ROUND(VLOOKUP(BC62,AW6:BA105,5,FALSE),0)/1000+ROUND(BD62,3)),ROUND(VLOOKUP(BC62,AQ6:AU105,5,FALSE),0)/1000+ROUND(BD62,3)),ROUND(VLOOKUP(BC62,AK6:AO105,5,FALSE),0)/1000+ROUND(BD62,3)),ROUND(VLOOKUP(BC62,AE6:AI105,5,FALSE),0)/1000+ROUND(BD62,3)),ROUND(VLOOKUP(BC62,Y6:AC105,5,FALSE),0)/1000+ROUND(BD62,3)),ROUND(VLOOKUP(BC62,S6:W105,5,FALSE),0)/1000+ROUND(BD62,3)),ROUND(VLOOKUP(BC62,M6:Q105,5,FALSE),0)/1000+ROUND(BD62,3)),ROUND(VLOOKUP(BC62,G6:K105,5,FALSE),0)/1000+ROUND(BD62,3)),ROUND(VLOOKUP(BC62,A6:E105,5,FALSE),0)/1000+ROUND(BD62,3)))))</f>
        <v/>
      </c>
      <c r="BG62" s="18" t="str">
        <f>IF(OR(NOT(EXACT(UPPER(BC62),"TBM")),BD62=""),IF(AND(BD62&lt;&gt;"",BE62="",BF62&lt;&gt;""),"",IF(AND(BD62="",BE62&lt;&gt;"",BF62&lt;&gt;""),ROUND(ROUND(BF62,3)-ROUND(BE62,3),3)*1000,IF(AND(BD62&lt;&gt;"",BE62&lt;&gt;"",BF62&lt;&gt;""),ROUND(ROUND(BF61,3)-ROUND(BE62,3),3)*1000,""))),"")</f>
        <v/>
      </c>
      <c r="BH62" s="45" t="str">
        <f>IF(AND(NOT(ISNA(VLOOKUP(BC62,A6:E105,5,FALSE))),BD62="",BE62&lt;&gt;""),ROUND((VLOOKUP(BC62,A6:E105,5,FALSE)-BG62)/1000,3),IF(AND(NOT(ISNA(VLOOKUP(BC62,G6:K105,5,FALSE))),BD62="",BE62&lt;&gt;""),ROUND((VLOOKUP(BC62,G6:K105,5,FALSE)-BG62)/1000,3),IF(AND(NOT(ISNA(VLOOKUP(BC62,M6:Q105,5,FALSE))),BD62="",BE62&lt;&gt;""),ROUND((VLOOKUP(BC62,M6:Q105,5,FALSE)-BG62)/1000,3),IF(AND(NOT(ISNA(VLOOKUP(BC62,S6:W105,5,FALSE))),BD62="",BE62&lt;&gt;""),ROUND((VLOOKUP(BC62,S6:W105,5,FALSE)-BG62)/1000,3),IF(AND(NOT(ISNA(VLOOKUP(BC62,Y6:AC105,5,FALSE))),BD62="",BE62&lt;&gt;""),ROUND((VLOOKUP(BC62,Y6:AC105,5,FALSE)-BG62)/1000,3),IF(AND(NOT(ISNA(VLOOKUP(BC62,AE6:AI105,5,FALSE))),BD62="",BE62&lt;&gt;""),ROUND((VLOOKUP(BC62,AE6:AI105,5,FALSE)-BG62)/1000,3),IF(AND(NOT(ISNA(VLOOKUP(BC62,AK6:AO105,5,FALSE))),BD62="",BE62&lt;&gt;""),ROUND((VLOOKUP(BC62,AK6:AO105,5,FALSE)-BG62)/1000,3),IF(AND(NOT(ISNA(VLOOKUP(BC62,AQ6:AU105,5,FALSE))),BD62="",BE62&lt;&gt;""),ROUND((VLOOKUP(BC62,AQ6:AU105,5,FALSE)-BG62)/1000,3),IF(AND(NOT(ISNA(VLOOKUP(BC62,AW6:BA105,5,FALSE))),BD62="",BE62&lt;&gt;""),ROUND((VLOOKUP(BC62,AW6:BA105,5,FALSE)-BG62)/1000,3),IF(AND(NOT(ISNA(VLOOKUP(BC62,BC6:BG61,5,FALSE))),BD62="",BE62&lt;&gt;""),ROUND((VLOOKUP(BC62,BC6:BG61,5,FALSE)-BG62)/1000,3),""))))))))))</f>
        <v/>
      </c>
    </row>
    <row r="63" spans="1:60" x14ac:dyDescent="0.25">
      <c r="A63" s="19">
        <f t="shared" si="3"/>
        <v>57</v>
      </c>
      <c r="B63" s="39"/>
      <c r="C63" s="39"/>
      <c r="D63" s="15" t="str">
        <f>IF(AND(B63&lt;&gt;"",C63&lt;&gt;""),ROUND(B63,3)+ROUND(D62,3)-ROUND(C63,3),IF(AND(EXACT(UPPER(A63),"TBM"),B63&lt;&gt;""),ROUND(B63,3),IF(B63="",D62,IF(ISNA(VLOOKUP(A63,A6:E62,5,FALSE)),"",ROUND(VLOOKUP(A63,A6:E62,5,FALSE),0)/1000+ROUND(B63,3)))))</f>
        <v/>
      </c>
      <c r="E63" s="21" t="str">
        <f t="shared" si="4"/>
        <v/>
      </c>
      <c r="F63" s="45" t="str">
        <f>IF(AND(NOT(ISNA(VLOOKUP(A63,A6:E62,5,FALSE))),B63="",C63&lt;&gt;""),ROUND((VLOOKUP(A63,A6:E62,5,FALSE)-E63)/1000,3),"")</f>
        <v/>
      </c>
      <c r="G63" s="19">
        <f t="shared" si="1"/>
        <v>157</v>
      </c>
      <c r="H63" s="39"/>
      <c r="I63" s="39"/>
      <c r="J63" s="15" t="str">
        <f>IF(AND(H63&lt;&gt;"",I63&lt;&gt;""),ROUND(H63,3)+ROUND(J62,3)-ROUND(I63,3),IF(AND(EXACT(UPPER(G63),"TBM"),H63&lt;&gt;""),ROUND(H63,3),IF(H63="",J62,IF(ISNA(VLOOKUP(G63,A6:E105,5,FALSE)),IF(ISNA(VLOOKUP(G63,G6:K62,5,FALSE)),"",ROUND(VLOOKUP(G63,G6:K62,5,FALSE),0)/1000+ROUND(H63,3)),ROUND(VLOOKUP(G63,A6:E105,5,FALSE),0)/1000+ROUND(H63,3)))))</f>
        <v/>
      </c>
      <c r="K63" s="18" t="str">
        <f t="shared" si="5"/>
        <v/>
      </c>
      <c r="L63" s="45" t="str">
        <f>IF(AND(NOT(ISNA(VLOOKUP(G63,A6:E105,5,FALSE))),H63="",I63&lt;&gt;""),ROUND((VLOOKUP(G63,A6:E105,5,FALSE)-K63)/1000,3),IF(AND(NOT(ISNA(VLOOKUP(G63,G6:K62,5,FALSE))),H63="",I63&lt;&gt;""),ROUND((VLOOKUP(G63,G6:K62,5,FALSE)-K63)/1000,3),""))</f>
        <v/>
      </c>
      <c r="M63" s="19">
        <f>IF(M62="","",M62+1)</f>
        <v>257</v>
      </c>
      <c r="N63" s="39"/>
      <c r="O63" s="39"/>
      <c r="P63" s="15" t="str">
        <f>IF(AND(N63&lt;&gt;"",O63&lt;&gt;""),ROUND(N63,3)+ROUND(P62,3)-ROUND(O63,3),IF(AND(EXACT(UPPER(M63),"TBM"),N63&lt;&gt;""),ROUND(N63,3),IF(N63="",P62,IF(ISNA(VLOOKUP(M63,A6:E105,5,FALSE)),IF(ISNA(VLOOKUP(M63,G6:K105,5,FALSE)),IF(ISNA(VLOOKUP(M63,M6:Q62,5,FALSE)),"",ROUND(VLOOKUP(M63,M6:Q62,5,FALSE),0)/1000+ROUND(N63,3)),ROUND(VLOOKUP(M63,G6:K105,5,FALSE),0)/1000+ROUND(N63,3)),ROUND(VLOOKUP(M63,A6:E105,5,FALSE),0)/1000+ROUND(N63,3)))))</f>
        <v/>
      </c>
      <c r="Q63" s="18" t="str">
        <f>IF(OR(NOT(EXACT(UPPER(M63),"TBM")),N63=""),IF(AND(N63&lt;&gt;"",O63="",P63&lt;&gt;""),"",IF(AND(N63="",O63&lt;&gt;"",P63&lt;&gt;""),ROUND(ROUND(P63,3)-ROUND(O63,3),3)*1000,IF(AND(N63&lt;&gt;"",O63&lt;&gt;"",P63&lt;&gt;""),ROUND(ROUND(P62,3)-ROUND(O63,3),3)*1000,""))),"")</f>
        <v/>
      </c>
      <c r="R63" s="45" t="str">
        <f>IF(AND(NOT(ISNA(VLOOKUP(M63,A6:E105,5,FALSE))),N63="",O63&lt;&gt;""),ROUND((VLOOKUP(M63,A6:E105,5,FALSE)-Q63)/1000,3),IF(AND(NOT(ISNA(VLOOKUP(M63,G6:K105,5,FALSE))),N63="",O63&lt;&gt;""),ROUND((VLOOKUP(M63,G6:K105,5,FALSE)-Q63)/1000,3),IF(AND(NOT(ISNA(VLOOKUP(M63,M6:Q62,5,FALSE))),N63="",O63&lt;&gt;""),ROUND((VLOOKUP(M63,M6:Q62,5,FALSE)-Q63)/1000,3),"")))</f>
        <v/>
      </c>
      <c r="S63" s="19">
        <f>IF(S62="","",S62+1)</f>
        <v>357</v>
      </c>
      <c r="T63" s="39"/>
      <c r="U63" s="39"/>
      <c r="V63" s="15" t="str">
        <f>IF(AND(T63&lt;&gt;"",U63&lt;&gt;""),ROUND(T63,3)+ROUND(V62,3)-ROUND(U63,3),IF(AND(EXACT(UPPER(S63),"TBM"),T63&lt;&gt;""),ROUND(T63,3),IF(T63="",V62,IF(ISNA(VLOOKUP(S63,A6:E105,5,FALSE)),IF(ISNA(VLOOKUP(S63,G6:K105,5,FALSE)),IF(ISNA(VLOOKUP(S63,M6:Q105,5,FALSE)),IF(ISNA(VLOOKUP(S63,S6:W62,5,FALSE)),"",ROUND(VLOOKUP(S63,S6:W62,5,FALSE),0)/1000+ROUND(T63,3)),ROUND(VLOOKUP(S63,M6:Q105,5,FALSE),0)/1000+ROUND(T63,3)),ROUND(VLOOKUP(S63,G6:K105,5,FALSE),0)/1000+ROUND(T63,3)),ROUND(VLOOKUP(S63,A6:E105,5,FALSE),0)/1000+ROUND(T63,3)))))</f>
        <v/>
      </c>
      <c r="W63" s="18" t="str">
        <f>IF(OR(NOT(EXACT(UPPER(S63),"TBM")),T63=""),IF(AND(T63&lt;&gt;"",U63="",V63&lt;&gt;""),"",IF(AND(T63="",U63&lt;&gt;"",V63&lt;&gt;""),ROUND(ROUND(V63,3)-ROUND(U63,3),3)*1000,IF(AND(T63&lt;&gt;"",U63&lt;&gt;"",V63&lt;&gt;""),ROUND(ROUND(V62,3)-ROUND(U63,3),3)*1000,""))),"")</f>
        <v/>
      </c>
      <c r="X63" s="45" t="str">
        <f>IF(AND(NOT(ISNA(VLOOKUP(S63,A6:E105,5,FALSE))),T63="",U63&lt;&gt;""),ROUND((VLOOKUP(S63,A6:E105,5,FALSE)-W63)/1000,3),IF(AND(NOT(ISNA(VLOOKUP(S63,G6:K105,5,FALSE))),T63="",U63&lt;&gt;""),ROUND((VLOOKUP(S63,G6:K105,5,FALSE)-W63)/1000,3),IF(AND(NOT(ISNA(VLOOKUP(S63,M6:Q105,5,FALSE))),T63="",U63&lt;&gt;""),ROUND((VLOOKUP(S63,M6:Q105,5,FALSE)-W63)/1000,3),IF(AND(NOT(ISNA(VLOOKUP(S63,S6:W62,5,FALSE))),T63="",U63&lt;&gt;""),ROUND((VLOOKUP(S63,S6:W62,5,FALSE)-W63)/1000,3),""))))</f>
        <v/>
      </c>
      <c r="Y63" s="19">
        <f>IF(Y62="","",Y62+1)</f>
        <v>457</v>
      </c>
      <c r="Z63" s="39"/>
      <c r="AA63" s="39"/>
      <c r="AB63" s="15" t="str">
        <f>IF(AND(Z63&lt;&gt;"",AA63&lt;&gt;""),ROUND(Z63,3)+ROUND(AB62,3)-ROUND(AA63,3),IF(AND(EXACT(UPPER(Y63),"TBM"),Z63&lt;&gt;""),ROUND(Z63,3),IF(Z63="",AB62,IF(ISNA(VLOOKUP(Y63,A6:E105,5,FALSE)),IF(ISNA(VLOOKUP(Y63,G6:K105,5,FALSE)),IF(ISNA(VLOOKUP(Y63,M6:Q105,5,FALSE)),IF(ISNA(VLOOKUP(Y63,S6:W105,5,FALSE)),IF(ISNA(VLOOKUP(Y63,Y6:AC62,5,FALSE)),"",ROUND(VLOOKUP(Y63,Y6:AC62,5,FALSE),0)/1000+ROUND(Z63,3)),ROUND(VLOOKUP(Y63,S6:W105,5,FALSE),0)/1000+ROUND(Z63,3)),ROUND(VLOOKUP(Y63,M6:Q105,5,FALSE),0)/1000+ROUND(Z63,3)),ROUND(VLOOKUP(Y63,G6:K105,5,FALSE),0)/1000+ROUND(Z63,3)),ROUND(VLOOKUP(Y63,A6:E105,5,FALSE),0)/1000+ROUND(Z63,3)))))</f>
        <v/>
      </c>
      <c r="AC63" s="18" t="str">
        <f>IF(OR(NOT(EXACT(UPPER(Y63),"TBM")),Z63=""),IF(AND(Z63&lt;&gt;"",AA63="",AB63&lt;&gt;""),"",IF(AND(Z63="",AA63&lt;&gt;"",AB63&lt;&gt;""),ROUND(ROUND(AB63,3)-ROUND(AA63,3),3)*1000,IF(AND(Z63&lt;&gt;"",AA63&lt;&gt;"",AB63&lt;&gt;""),ROUND(ROUND(AB62,3)-ROUND(AA63,3),3)*1000,""))),"")</f>
        <v/>
      </c>
      <c r="AD63" s="45" t="str">
        <f>IF(AND(NOT(ISNA(VLOOKUP(Y63,A6:E105,5,FALSE))),Z63="",AA63&lt;&gt;""),ROUND((VLOOKUP(Y63,A6:E105,5,FALSE)-AC63)/1000,3),IF(AND(NOT(ISNA(VLOOKUP(Y63,G6:K105,5,FALSE))),Z63="",AA63&lt;&gt;""),ROUND((VLOOKUP(Y63,G6:K105,5,FALSE)-AC63)/1000,3),IF(AND(NOT(ISNA(VLOOKUP(Y63,M6:Q105,5,FALSE))),Z63="",AA63&lt;&gt;""),ROUND((VLOOKUP(Y63,M6:Q105,5,FALSE)-AC63)/1000,3),IF(AND(NOT(ISNA(VLOOKUP(Y63,S6:W105,5,FALSE))),Z63="",AA63&lt;&gt;""),ROUND((VLOOKUP(Y63,S6:W105,5,FALSE)-AC63)/1000,3),IF(AND(NOT(ISNA(VLOOKUP(Y63,Y6:AC62,5,FALSE))),Z63="",AA63&lt;&gt;""),ROUND((VLOOKUP(Y63,Y6:AC62,5,FALSE)-AC63)/1000,3),"")))))</f>
        <v/>
      </c>
      <c r="AE63" s="19">
        <f>IF(AE62="","",AE62+1)</f>
        <v>557</v>
      </c>
      <c r="AF63" s="39"/>
      <c r="AG63" s="39"/>
      <c r="AH63" s="15" t="str">
        <f>IF(AND(AF63&lt;&gt;"",AG63&lt;&gt;""),ROUND(AF63,3)+ROUND(AH62,3)-ROUND(AG63,3),IF(AND(EXACT(UPPER(AE63),"TBM"),AF63&lt;&gt;""),ROUND(AF63,3),IF(AF63="",AH62,IF(ISNA(VLOOKUP(AE63,A6:E105,5,FALSE)),IF(ISNA(VLOOKUP(AE63,G6:K105,5,FALSE)),IF(ISNA(VLOOKUP(AE63,M6:Q105,5,FALSE)),IF(ISNA(VLOOKUP(AE63,S6:W105,5,FALSE)),IF(ISNA(VLOOKUP(AE63,Y6:AC105,5,FALSE)),IF(ISNA(VLOOKUP(AE63,AE6:AI62,5,FALSE)),"",ROUND(VLOOKUP(AE63,AE6:AI62,5,FALSE),0)/1000+ROUND(AF63,3)),ROUND(VLOOKUP(AE63,Y6:AC105,5,FALSE),0)/1000+ROUND(AF63,3)),ROUND(VLOOKUP(AE63,S6:W105,5,FALSE),0)/1000+ROUND(AF63,3)),ROUND(VLOOKUP(AE63,M6:Q105,5,FALSE),0)/1000+ROUND(AF63,3)),ROUND(VLOOKUP(AE63,G6:K105,5,FALSE),0)/1000+ROUND(AF63,3)),ROUND(VLOOKUP(AE63,A6:E105,5,FALSE),0)/1000+ROUND(AF63,3)))))</f>
        <v/>
      </c>
      <c r="AI63" s="18" t="str">
        <f>IF(OR(NOT(EXACT(UPPER(AE63),"TBM")),AF63=""),IF(AND(AF63&lt;&gt;"",AG63="",AH63&lt;&gt;""),"",IF(AND(AF63="",AG63&lt;&gt;"",AH63&lt;&gt;""),ROUND(ROUND(AH63,3)-ROUND(AG63,3),3)*1000,IF(AND(AF63&lt;&gt;"",AG63&lt;&gt;"",AH63&lt;&gt;""),ROUND(ROUND(AH62,3)-ROUND(AG63,3),3)*1000,""))),"")</f>
        <v/>
      </c>
      <c r="AJ63" s="45" t="str">
        <f>IF(AND(NOT(ISNA(VLOOKUP(AE63,A6:E105,5,FALSE))),AF63="",AG63&lt;&gt;""),ROUND((VLOOKUP(AE63,A6:E105,5,FALSE)-AI63)/1000,3),IF(AND(NOT(ISNA(VLOOKUP(AE63,G6:K105,5,FALSE))),AF63="",AG63&lt;&gt;""),ROUND((VLOOKUP(AE63,G6:K105,5,FALSE)-AI63)/1000,3),IF(AND(NOT(ISNA(VLOOKUP(AE63,M6:Q105,5,FALSE))),AF63="",AG63&lt;&gt;""),ROUND((VLOOKUP(AE63,M6:Q105,5,FALSE)-AI63)/1000,3),IF(AND(NOT(ISNA(VLOOKUP(AE63,S6:W105,5,FALSE))),AF63="",AG63&lt;&gt;""),ROUND((VLOOKUP(AE63,S6:W105,5,FALSE)-AI63)/1000,3),IF(AND(NOT(ISNA(VLOOKUP(AE63,Y6:AC105,5,FALSE))),AF63="",AG63&lt;&gt;""),ROUND((VLOOKUP(AE63,Y6:AC105,5,FALSE)-AI63)/1000,3),IF(AND(NOT(ISNA(VLOOKUP(AE63,AE6:AI62,5,FALSE))),AF63="",AG63&lt;&gt;""),ROUND((VLOOKUP(AE63,AE6:AI62,5,FALSE)-AI63)/1000,3),""))))))</f>
        <v/>
      </c>
      <c r="AK63" s="19">
        <f>IF(AK62="","",AK62+1)</f>
        <v>657</v>
      </c>
      <c r="AL63" s="39"/>
      <c r="AM63" s="39"/>
      <c r="AN63" s="15" t="str">
        <f>IF(AND(AL63&lt;&gt;"",AM63&lt;&gt;""),ROUND(AL63,3)+ROUND(AN62,3)-ROUND(AM63,3),IF(AND(EXACT(UPPER(AK63),"TBM"),AL63&lt;&gt;""),ROUND(AL63,3),IF(AL63="",AN62,IF(ISNA(VLOOKUP(AK63,A6:E105,5,FALSE)),IF(ISNA(VLOOKUP(AK63,G6:K105,5,FALSE)),IF(ISNA(VLOOKUP(AK63,M6:Q105,5,FALSE)),IF(ISNA(VLOOKUP(AK63,S6:W105,5,FALSE)),IF(ISNA(VLOOKUP(AK63,Y6:AC105,5,FALSE)),IF(ISNA(VLOOKUP(AK63,AE6:AI105,5,FALSE)),IF(ISNA(VLOOKUP(AK63,AK6:AO62,5,FALSE)),"",ROUND(VLOOKUP(AK63,AK6:AO62,5,FALSE),0)/1000+ROUND(AL63,3)),ROUND(VLOOKUP(AK63,AE6:AI105,5,FALSE),0)/1000+ROUND(AL63,3)),ROUND(VLOOKUP(AK63,Y6:AC105,5,FALSE),0)/1000+ROUND(AL63,3)),ROUND(VLOOKUP(AK63,S6:W105,5,FALSE),0)/1000+ROUND(AL63,3)),ROUND(VLOOKUP(AK63,M6:Q105,5,FALSE),0)/1000+ROUND(AL63,3)),ROUND(VLOOKUP(AK63,G6:K105,5,FALSE),0)/1000+ROUND(AL63,3)),ROUND(VLOOKUP(AK63,A6:E105,5,FALSE),0)/1000+ROUND(AL63,3)))))</f>
        <v/>
      </c>
      <c r="AO63" s="18" t="str">
        <f>IF(OR(NOT(EXACT(UPPER(AK63),"TBM")),AL63=""),IF(AND(AL63&lt;&gt;"",AM63="",AN63&lt;&gt;""),"",IF(AND(AL63="",AM63&lt;&gt;"",AN63&lt;&gt;""),ROUND(ROUND(AN63,3)-ROUND(AM63,3),3)*1000,IF(AND(AL63&lt;&gt;"",AM63&lt;&gt;"",AN63&lt;&gt;""),ROUND(ROUND(AN62,3)-ROUND(AM63,3),3)*1000,""))),"")</f>
        <v/>
      </c>
      <c r="AP63" s="45" t="str">
        <f>IF(AND(NOT(ISNA(VLOOKUP(AK63,A6:E105,5,FALSE))),AL63="",AM63&lt;&gt;""),ROUND((VLOOKUP(AK63,A6:E105,5,FALSE)-AO63)/1000,3),IF(AND(NOT(ISNA(VLOOKUP(AK63,G6:K105,5,FALSE))),AL63="",AM63&lt;&gt;""),ROUND((VLOOKUP(AK63,G6:K105,5,FALSE)-AO63)/1000,3),IF(AND(NOT(ISNA(VLOOKUP(AK63,M6:Q105,5,FALSE))),AL63="",AM63&lt;&gt;""),ROUND((VLOOKUP(AK63,M6:Q105,5,FALSE)-AO63)/1000,3),IF(AND(NOT(ISNA(VLOOKUP(AK63,S6:W105,5,FALSE))),AL63="",AM63&lt;&gt;""),ROUND((VLOOKUP(AK63,S6:W105,5,FALSE)-AO63)/1000,3),IF(AND(NOT(ISNA(VLOOKUP(AK63,Y6:AC105,5,FALSE))),AL63="",AM63&lt;&gt;""),ROUND((VLOOKUP(AK63,Y6:AC105,5,FALSE)-AO63)/1000,3),IF(AND(NOT(ISNA(VLOOKUP(AK63,AE6:AI105,5,FALSE))),AL63="",AM63&lt;&gt;""),ROUND((VLOOKUP(AK63,AE6:AI105,5,FALSE)-AO63)/1000,3),IF(AND(NOT(ISNA(VLOOKUP(AK63,AK6:AO62,5,FALSE))),AL63="",AM63&lt;&gt;""),ROUND((VLOOKUP(AK63,AK6:AO62,5,FALSE)-AO63)/1000,3),"")))))))</f>
        <v/>
      </c>
      <c r="AQ63" s="19">
        <f>IF(AQ62="","",AQ62+1)</f>
        <v>757</v>
      </c>
      <c r="AR63" s="39"/>
      <c r="AS63" s="39"/>
      <c r="AT63" s="15" t="str">
        <f>IF(AND(AR63&lt;&gt;"",AS63&lt;&gt;""),ROUND(AR63,3)+ROUND(AT62,3)-ROUND(AS63,3),IF(AND(EXACT(UPPER(AQ63),"TBM"),AR63&lt;&gt;""),ROUND(AR63,3),IF(AR63="",AT62,IF(ISNA(VLOOKUP(AQ63,A6:E105,5,FALSE)),IF(ISNA(VLOOKUP(AQ63,G6:K105,5,FALSE)),IF(ISNA(VLOOKUP(AQ63,M6:Q105,5,FALSE)),IF(ISNA(VLOOKUP(AQ63,S6:W105,5,FALSE)),IF(ISNA(VLOOKUP(AQ63,Y6:AC105,5,FALSE)),IF(ISNA(VLOOKUP(AQ63,AE6:AI105,5,FALSE)),IF(ISNA(VLOOKUP(AQ63,AK6:AO105,5,FALSE)),IF(ISNA(VLOOKUP(AQ63,AQ6:AU62,5,FALSE)),"",ROUND(VLOOKUP(AQ63,AQ6:AU62,5,FALSE),0)/1000+ROUND(AR63,3)),ROUND(VLOOKUP(AQ63,AK6:AO105,5,FALSE),0)/1000+ROUND(AR63,3)),ROUND(VLOOKUP(AQ63,AE6:AI105,5,FALSE),0)/1000+ROUND(AR63,3)),ROUND(VLOOKUP(AQ63,Y6:AC105,5,FALSE),0)/1000+ROUND(AR63,3)),ROUND(VLOOKUP(AQ63,S6:W105,5,FALSE),0)/1000+ROUND(AR63,3)),ROUND(VLOOKUP(AQ63,M6:Q105,5,FALSE),0)/1000+ROUND(AR63,3)),ROUND(VLOOKUP(AQ63,G6:K105,5,FALSE),0)/1000+ROUND(AR63,3)),ROUND(VLOOKUP(AQ63,A6:E105,5,FALSE),0)/1000+ROUND(AR63,3)))))</f>
        <v/>
      </c>
      <c r="AU63" s="18" t="str">
        <f>IF(OR(NOT(EXACT(UPPER(AQ63),"TBM")),AR63=""),IF(AND(AR63&lt;&gt;"",AS63="",AT63&lt;&gt;""),"",IF(AND(AR63="",AS63&lt;&gt;"",AT63&lt;&gt;""),ROUND(ROUND(AT63,3)-ROUND(AS63,3),3)*1000,IF(AND(AR63&lt;&gt;"",AS63&lt;&gt;"",AT63&lt;&gt;""),ROUND(ROUND(AT62,3)-ROUND(AS63,3),3)*1000,""))),"")</f>
        <v/>
      </c>
      <c r="AV63" s="45" t="str">
        <f>IF(AND(NOT(ISNA(VLOOKUP(AQ63,A6:E105,5,FALSE))),AR63="",AS63&lt;&gt;""),ROUND((VLOOKUP(AQ63,A6:E105,5,FALSE)-AU63)/1000,3),IF(AND(NOT(ISNA(VLOOKUP(AQ63,G6:K105,5,FALSE))),AR63="",AS63&lt;&gt;""),ROUND((VLOOKUP(AQ63,G6:K105,5,FALSE)-AU63)/1000,3),IF(AND(NOT(ISNA(VLOOKUP(AQ63,M6:Q105,5,FALSE))),AR63="",AS63&lt;&gt;""),ROUND((VLOOKUP(AQ63,M6:Q105,5,FALSE)-AU63)/1000,3),IF(AND(NOT(ISNA(VLOOKUP(AQ63,S6:W105,5,FALSE))),AR63="",AS63&lt;&gt;""),ROUND((VLOOKUP(AQ63,S6:W105,5,FALSE)-AU63)/1000,3),IF(AND(NOT(ISNA(VLOOKUP(AQ63,Y6:AC105,5,FALSE))),AR63="",AS63&lt;&gt;""),ROUND((VLOOKUP(AQ63,Y6:AC105,5,FALSE)-AU63)/1000,3),IF(AND(NOT(ISNA(VLOOKUP(AQ63,AE6:AI105,5,FALSE))),AR63="",AS63&lt;&gt;""),ROUND((VLOOKUP(AQ63,AE6:AI105,5,FALSE)-AU63)/1000,3),IF(AND(NOT(ISNA(VLOOKUP(AQ63,AK6:AO105,5,FALSE))),AR63="",AS63&lt;&gt;""),ROUND((VLOOKUP(AQ63,AK6:AO105,5,FALSE)-AU63)/1000,3),IF(AND(NOT(ISNA(VLOOKUP(AQ63,AQ6:AU62,5,FALSE))),AR63="",AS63&lt;&gt;""),ROUND((VLOOKUP(AQ63,AQ6:AU62,5,FALSE)-AU63)/1000,3),""))))))))</f>
        <v/>
      </c>
      <c r="AW63" s="19">
        <f>IF(AW62="","",AW62+1)</f>
        <v>857</v>
      </c>
      <c r="AX63" s="39"/>
      <c r="AY63" s="39"/>
      <c r="AZ63" s="15" t="str">
        <f>IF(AND(AX63&lt;&gt;"",AY63&lt;&gt;""),ROUND(AX63,3)+ROUND(AZ62,3)-ROUND(AY63,3),IF(AND(EXACT(UPPER(AW63),"TBM"),AX63&lt;&gt;""),ROUND(AX63,3),IF(AX63="",AZ62,IF(ISNA(VLOOKUP(AW63,A6:E105,5,FALSE)),IF(ISNA(VLOOKUP(AW63,G6:K105,5,FALSE)),IF(ISNA(VLOOKUP(AW63,M6:Q105,5,FALSE)),IF(ISNA(VLOOKUP(AW63,S6:W105,5,FALSE)),IF(ISNA(VLOOKUP(AW63,Y6:AC105,5,FALSE)),IF(ISNA(VLOOKUP(AW63,AE6:AI105,5,FALSE)),IF(ISNA(VLOOKUP(AW63,AK6:AO105,5,FALSE)),IF(ISNA(VLOOKUP(AW63,AQ6:AU105,5,FALSE)),IF(ISNA(VLOOKUP(AW63,AW6:BA62,5,FALSE)),"",ROUND(VLOOKUP(AW63,AW6:BA62,5,FALSE),0)/1000+ROUND(AX63,3)),ROUND(VLOOKUP(AW63,AQ6:AU105,5,FALSE),0)/1000+ROUND(AX63,3)),ROUND(VLOOKUP(AW63,AK6:AO105,5,FALSE),0)/1000+ROUND(AX63,3)),ROUND(VLOOKUP(AW63,AE6:AI105,5,FALSE),0)/1000+ROUND(AX63,3)),ROUND(VLOOKUP(AW63,Y6:AC105,5,FALSE),0)/1000+ROUND(AX63,3)),ROUND(VLOOKUP(AW63,S6:W105,5,FALSE),0)/1000+ROUND(AX63,3)),ROUND(VLOOKUP(AW63,M6:Q105,5,FALSE),0)/1000+ROUND(AX63,3)),ROUND(VLOOKUP(AW63,G6:K105,5,FALSE),0)/1000+ROUND(AX63,3)),ROUND(VLOOKUP(AW63,A6:E105,5,FALSE),0)/1000+ROUND(AX63,3)))))</f>
        <v/>
      </c>
      <c r="BA63" s="18" t="str">
        <f>IF(OR(NOT(EXACT(UPPER(AW63),"TBM")),AX63=""),IF(AND(AX63&lt;&gt;"",AY63="",AZ63&lt;&gt;""),"",IF(AND(AX63="",AY63&lt;&gt;"",AZ63&lt;&gt;""),ROUND(ROUND(AZ63,3)-ROUND(AY63,3),3)*1000,IF(AND(AX63&lt;&gt;"",AY63&lt;&gt;"",AZ63&lt;&gt;""),ROUND(ROUND(AZ62,3)-ROUND(AY63,3),3)*1000,""))),"")</f>
        <v/>
      </c>
      <c r="BB63" s="45" t="str">
        <f>IF(AND(NOT(ISNA(VLOOKUP(AW63,A6:E105,5,FALSE))),AX63="",AY63&lt;&gt;""),ROUND((VLOOKUP(AW63,A6:E105,5,FALSE)-BA63)/1000,3),IF(AND(NOT(ISNA(VLOOKUP(AW63,G6:K105,5,FALSE))),AX63="",AY63&lt;&gt;""),ROUND((VLOOKUP(AW63,G6:K105,5,FALSE)-BA63)/1000,3),IF(AND(NOT(ISNA(VLOOKUP(AW63,M6:Q105,5,FALSE))),AX63="",AY63&lt;&gt;""),ROUND((VLOOKUP(AW63,M6:Q105,5,FALSE)-BA63)/1000,3),IF(AND(NOT(ISNA(VLOOKUP(AW63,S6:W105,5,FALSE))),AX63="",AY63&lt;&gt;""),ROUND((VLOOKUP(AW63,S6:W105,5,FALSE)-BA63)/1000,3),IF(AND(NOT(ISNA(VLOOKUP(AW63,Y6:AC105,5,FALSE))),AX63="",AY63&lt;&gt;""),ROUND((VLOOKUP(AW63,Y6:AC105,5,FALSE)-BA63)/1000,3),IF(AND(NOT(ISNA(VLOOKUP(AW63,AE6:AI105,5,FALSE))),AX63="",AY63&lt;&gt;""),ROUND((VLOOKUP(AW63,AE6:AI105,5,FALSE)-BA63)/1000,3),IF(AND(NOT(ISNA(VLOOKUP(AW63,AK6:AO105,5,FALSE))),AX63="",AY63&lt;&gt;""),ROUND((VLOOKUP(AW63,AK6:AO105,5,FALSE)-BA63)/1000,3),IF(AND(NOT(ISNA(VLOOKUP(AW63,AQ6:AU105,5,FALSE))),AX63="",AY63&lt;&gt;""),ROUND((VLOOKUP(AW63,AQ6:AU105,5,FALSE)-BA63)/1000,3),IF(AND(NOT(ISNA(VLOOKUP(AW63,AW6:BA62,5,FALSE))),AX63="",AY63&lt;&gt;""),ROUND((VLOOKUP(AW63,AW6:BA62,5,FALSE)-BA63)/1000,3),"")))))))))</f>
        <v/>
      </c>
      <c r="BC63" s="19">
        <f>IF(BC62="","",BC62+1)</f>
        <v>957</v>
      </c>
      <c r="BD63" s="39"/>
      <c r="BE63" s="39"/>
      <c r="BF63" s="15" t="str">
        <f>IF(AND(BD63&lt;&gt;"",BE63&lt;&gt;""),ROUND(BD63,3)+ROUND(BF62,3)-ROUND(BE63,3),IF(AND(EXACT(UPPER(BC63),"TBM"),BD63&lt;&gt;""),ROUND(BD63,3),IF(BD63="",BF62,IF(ISNA(VLOOKUP(BC63,A6:E105,5,FALSE)),IF(ISNA(VLOOKUP(BC63,G6:K105,5,FALSE)),IF(ISNA(VLOOKUP(BC63,M6:Q105,5,FALSE)),IF(ISNA(VLOOKUP(BC63,S6:W105,5,FALSE)),IF(ISNA(VLOOKUP(BC63,Y6:AC105,5,FALSE)),IF(ISNA(VLOOKUP(BC63,AE6:AI105,5,FALSE)),IF(ISNA(VLOOKUP(BC63,AK6:AO105,5,FALSE)),IF(ISNA(VLOOKUP(BC63,AQ6:AU105,5,FALSE)),IF(ISNA(VLOOKUP(BC63,AW6:BA105,5,FALSE)),IF(ISNA(VLOOKUP(BC63,BC6:BG62,5,FALSE)),"",ROUND(VLOOKUP(BC63,BC6:BG62,5,FALSE),0)/1000+ROUND(BD63,3)),ROUND(VLOOKUP(BC63,AW6:BA105,5,FALSE),0)/1000+ROUND(BD63,3)),ROUND(VLOOKUP(BC63,AQ6:AU105,5,FALSE),0)/1000+ROUND(BD63,3)),ROUND(VLOOKUP(BC63,AK6:AO105,5,FALSE),0)/1000+ROUND(BD63,3)),ROUND(VLOOKUP(BC63,AE6:AI105,5,FALSE),0)/1000+ROUND(BD63,3)),ROUND(VLOOKUP(BC63,Y6:AC105,5,FALSE),0)/1000+ROUND(BD63,3)),ROUND(VLOOKUP(BC63,S6:W105,5,FALSE),0)/1000+ROUND(BD63,3)),ROUND(VLOOKUP(BC63,M6:Q105,5,FALSE),0)/1000+ROUND(BD63,3)),ROUND(VLOOKUP(BC63,G6:K105,5,FALSE),0)/1000+ROUND(BD63,3)),ROUND(VLOOKUP(BC63,A6:E105,5,FALSE),0)/1000+ROUND(BD63,3)))))</f>
        <v/>
      </c>
      <c r="BG63" s="18" t="str">
        <f>IF(OR(NOT(EXACT(UPPER(BC63),"TBM")),BD63=""),IF(AND(BD63&lt;&gt;"",BE63="",BF63&lt;&gt;""),"",IF(AND(BD63="",BE63&lt;&gt;"",BF63&lt;&gt;""),ROUND(ROUND(BF63,3)-ROUND(BE63,3),3)*1000,IF(AND(BD63&lt;&gt;"",BE63&lt;&gt;"",BF63&lt;&gt;""),ROUND(ROUND(BF62,3)-ROUND(BE63,3),3)*1000,""))),"")</f>
        <v/>
      </c>
      <c r="BH63" s="45" t="str">
        <f>IF(AND(NOT(ISNA(VLOOKUP(BC63,A6:E105,5,FALSE))),BD63="",BE63&lt;&gt;""),ROUND((VLOOKUP(BC63,A6:E105,5,FALSE)-BG63)/1000,3),IF(AND(NOT(ISNA(VLOOKUP(BC63,G6:K105,5,FALSE))),BD63="",BE63&lt;&gt;""),ROUND((VLOOKUP(BC63,G6:K105,5,FALSE)-BG63)/1000,3),IF(AND(NOT(ISNA(VLOOKUP(BC63,M6:Q105,5,FALSE))),BD63="",BE63&lt;&gt;""),ROUND((VLOOKUP(BC63,M6:Q105,5,FALSE)-BG63)/1000,3),IF(AND(NOT(ISNA(VLOOKUP(BC63,S6:W105,5,FALSE))),BD63="",BE63&lt;&gt;""),ROUND((VLOOKUP(BC63,S6:W105,5,FALSE)-BG63)/1000,3),IF(AND(NOT(ISNA(VLOOKUP(BC63,Y6:AC105,5,FALSE))),BD63="",BE63&lt;&gt;""),ROUND((VLOOKUP(BC63,Y6:AC105,5,FALSE)-BG63)/1000,3),IF(AND(NOT(ISNA(VLOOKUP(BC63,AE6:AI105,5,FALSE))),BD63="",BE63&lt;&gt;""),ROUND((VLOOKUP(BC63,AE6:AI105,5,FALSE)-BG63)/1000,3),IF(AND(NOT(ISNA(VLOOKUP(BC63,AK6:AO105,5,FALSE))),BD63="",BE63&lt;&gt;""),ROUND((VLOOKUP(BC63,AK6:AO105,5,FALSE)-BG63)/1000,3),IF(AND(NOT(ISNA(VLOOKUP(BC63,AQ6:AU105,5,FALSE))),BD63="",BE63&lt;&gt;""),ROUND((VLOOKUP(BC63,AQ6:AU105,5,FALSE)-BG63)/1000,3),IF(AND(NOT(ISNA(VLOOKUP(BC63,AW6:BA105,5,FALSE))),BD63="",BE63&lt;&gt;""),ROUND((VLOOKUP(BC63,AW6:BA105,5,FALSE)-BG63)/1000,3),IF(AND(NOT(ISNA(VLOOKUP(BC63,BC6:BG62,5,FALSE))),BD63="",BE63&lt;&gt;""),ROUND((VLOOKUP(BC63,BC6:BG62,5,FALSE)-BG63)/1000,3),""))))))))))</f>
        <v/>
      </c>
    </row>
    <row r="64" spans="1:60" x14ac:dyDescent="0.25">
      <c r="A64" s="19">
        <f t="shared" si="3"/>
        <v>58</v>
      </c>
      <c r="B64" s="39"/>
      <c r="C64" s="39"/>
      <c r="D64" s="15" t="str">
        <f>IF(AND(B64&lt;&gt;"",C64&lt;&gt;""),ROUND(B64,3)+ROUND(D63,3)-ROUND(C64,3),IF(AND(EXACT(UPPER(A64),"TBM"),B64&lt;&gt;""),ROUND(B64,3),IF(B64="",D63,IF(ISNA(VLOOKUP(A64,A6:E63,5,FALSE)),"",ROUND(VLOOKUP(A64,A6:E63,5,FALSE),0)/1000+ROUND(B64,3)))))</f>
        <v/>
      </c>
      <c r="E64" s="21" t="str">
        <f t="shared" si="4"/>
        <v/>
      </c>
      <c r="F64" s="45" t="str">
        <f>IF(AND(NOT(ISNA(VLOOKUP(A64,A6:E63,5,FALSE))),B64="",C64&lt;&gt;""),ROUND((VLOOKUP(A64,A6:E63,5,FALSE)-E64)/1000,3),"")</f>
        <v/>
      </c>
      <c r="G64" s="19">
        <f t="shared" si="1"/>
        <v>158</v>
      </c>
      <c r="H64" s="39"/>
      <c r="I64" s="39"/>
      <c r="J64" s="15" t="str">
        <f>IF(AND(H64&lt;&gt;"",I64&lt;&gt;""),ROUND(H64,3)+ROUND(J63,3)-ROUND(I64,3),IF(AND(EXACT(UPPER(G64),"TBM"),H64&lt;&gt;""),ROUND(H64,3),IF(H64="",J63,IF(ISNA(VLOOKUP(G64,A6:E105,5,FALSE)),IF(ISNA(VLOOKUP(G64,G6:K63,5,FALSE)),"",ROUND(VLOOKUP(G64,G6:K63,5,FALSE),0)/1000+ROUND(H64,3)),ROUND(VLOOKUP(G64,A6:E105,5,FALSE),0)/1000+ROUND(H64,3)))))</f>
        <v/>
      </c>
      <c r="K64" s="18" t="str">
        <f t="shared" si="5"/>
        <v/>
      </c>
      <c r="L64" s="45" t="str">
        <f>IF(AND(NOT(ISNA(VLOOKUP(G64,A6:E105,5,FALSE))),H64="",I64&lt;&gt;""),ROUND((VLOOKUP(G64,A6:E105,5,FALSE)-K64)/1000,3),IF(AND(NOT(ISNA(VLOOKUP(G64,G6:K63,5,FALSE))),H64="",I64&lt;&gt;""),ROUND((VLOOKUP(G64,G6:K63,5,FALSE)-K64)/1000,3),""))</f>
        <v/>
      </c>
      <c r="M64" s="19">
        <f>IF(M63="","",M63+1)</f>
        <v>258</v>
      </c>
      <c r="N64" s="39"/>
      <c r="O64" s="39"/>
      <c r="P64" s="15" t="str">
        <f>IF(AND(N64&lt;&gt;"",O64&lt;&gt;""),ROUND(N64,3)+ROUND(P63,3)-ROUND(O64,3),IF(AND(EXACT(UPPER(M64),"TBM"),N64&lt;&gt;""),ROUND(N64,3),IF(N64="",P63,IF(ISNA(VLOOKUP(M64,A6:E105,5,FALSE)),IF(ISNA(VLOOKUP(M64,G6:K105,5,FALSE)),IF(ISNA(VLOOKUP(M64,M6:Q63,5,FALSE)),"",ROUND(VLOOKUP(M64,M6:Q63,5,FALSE),0)/1000+ROUND(N64,3)),ROUND(VLOOKUP(M64,G6:K105,5,FALSE),0)/1000+ROUND(N64,3)),ROUND(VLOOKUP(M64,A6:E105,5,FALSE),0)/1000+ROUND(N64,3)))))</f>
        <v/>
      </c>
      <c r="Q64" s="18" t="str">
        <f>IF(OR(NOT(EXACT(UPPER(M64),"TBM")),N64=""),IF(AND(N64&lt;&gt;"",O64="",P64&lt;&gt;""),"",IF(AND(N64="",O64&lt;&gt;"",P64&lt;&gt;""),ROUND(ROUND(P64,3)-ROUND(O64,3),3)*1000,IF(AND(N64&lt;&gt;"",O64&lt;&gt;"",P64&lt;&gt;""),ROUND(ROUND(P63,3)-ROUND(O64,3),3)*1000,""))),"")</f>
        <v/>
      </c>
      <c r="R64" s="45" t="str">
        <f>IF(AND(NOT(ISNA(VLOOKUP(M64,A6:E105,5,FALSE))),N64="",O64&lt;&gt;""),ROUND((VLOOKUP(M64,A6:E105,5,FALSE)-Q64)/1000,3),IF(AND(NOT(ISNA(VLOOKUP(M64,G6:K105,5,FALSE))),N64="",O64&lt;&gt;""),ROUND((VLOOKUP(M64,G6:K105,5,FALSE)-Q64)/1000,3),IF(AND(NOT(ISNA(VLOOKUP(M64,M6:Q63,5,FALSE))),N64="",O64&lt;&gt;""),ROUND((VLOOKUP(M64,M6:Q63,5,FALSE)-Q64)/1000,3),"")))</f>
        <v/>
      </c>
      <c r="S64" s="19">
        <f>IF(S63="","",S63+1)</f>
        <v>358</v>
      </c>
      <c r="T64" s="39"/>
      <c r="U64" s="39"/>
      <c r="V64" s="15" t="str">
        <f>IF(AND(T64&lt;&gt;"",U64&lt;&gt;""),ROUND(T64,3)+ROUND(V63,3)-ROUND(U64,3),IF(AND(EXACT(UPPER(S64),"TBM"),T64&lt;&gt;""),ROUND(T64,3),IF(T64="",V63,IF(ISNA(VLOOKUP(S64,A6:E105,5,FALSE)),IF(ISNA(VLOOKUP(S64,G6:K105,5,FALSE)),IF(ISNA(VLOOKUP(S64,M6:Q105,5,FALSE)),IF(ISNA(VLOOKUP(S64,S6:W63,5,FALSE)),"",ROUND(VLOOKUP(S64,S6:W63,5,FALSE),0)/1000+ROUND(T64,3)),ROUND(VLOOKUP(S64,M6:Q105,5,FALSE),0)/1000+ROUND(T64,3)),ROUND(VLOOKUP(S64,G6:K105,5,FALSE),0)/1000+ROUND(T64,3)),ROUND(VLOOKUP(S64,A6:E105,5,FALSE),0)/1000+ROUND(T64,3)))))</f>
        <v/>
      </c>
      <c r="W64" s="18" t="str">
        <f>IF(OR(NOT(EXACT(UPPER(S64),"TBM")),T64=""),IF(AND(T64&lt;&gt;"",U64="",V64&lt;&gt;""),"",IF(AND(T64="",U64&lt;&gt;"",V64&lt;&gt;""),ROUND(ROUND(V64,3)-ROUND(U64,3),3)*1000,IF(AND(T64&lt;&gt;"",U64&lt;&gt;"",V64&lt;&gt;""),ROUND(ROUND(V63,3)-ROUND(U64,3),3)*1000,""))),"")</f>
        <v/>
      </c>
      <c r="X64" s="45" t="str">
        <f>IF(AND(NOT(ISNA(VLOOKUP(S64,A6:E105,5,FALSE))),T64="",U64&lt;&gt;""),ROUND((VLOOKUP(S64,A6:E105,5,FALSE)-W64)/1000,3),IF(AND(NOT(ISNA(VLOOKUP(S64,G6:K105,5,FALSE))),T64="",U64&lt;&gt;""),ROUND((VLOOKUP(S64,G6:K105,5,FALSE)-W64)/1000,3),IF(AND(NOT(ISNA(VLOOKUP(S64,M6:Q105,5,FALSE))),T64="",U64&lt;&gt;""),ROUND((VLOOKUP(S64,M6:Q105,5,FALSE)-W64)/1000,3),IF(AND(NOT(ISNA(VLOOKUP(S64,S6:W63,5,FALSE))),T64="",U64&lt;&gt;""),ROUND((VLOOKUP(S64,S6:W63,5,FALSE)-W64)/1000,3),""))))</f>
        <v/>
      </c>
      <c r="Y64" s="19">
        <f>IF(Y63="","",Y63+1)</f>
        <v>458</v>
      </c>
      <c r="Z64" s="39"/>
      <c r="AA64" s="39"/>
      <c r="AB64" s="15" t="str">
        <f>IF(AND(Z64&lt;&gt;"",AA64&lt;&gt;""),ROUND(Z64,3)+ROUND(AB63,3)-ROUND(AA64,3),IF(AND(EXACT(UPPER(Y64),"TBM"),Z64&lt;&gt;""),ROUND(Z64,3),IF(Z64="",AB63,IF(ISNA(VLOOKUP(Y64,A6:E105,5,FALSE)),IF(ISNA(VLOOKUP(Y64,G6:K105,5,FALSE)),IF(ISNA(VLOOKUP(Y64,M6:Q105,5,FALSE)),IF(ISNA(VLOOKUP(Y64,S6:W105,5,FALSE)),IF(ISNA(VLOOKUP(Y64,Y6:AC63,5,FALSE)),"",ROUND(VLOOKUP(Y64,Y6:AC63,5,FALSE),0)/1000+ROUND(Z64,3)),ROUND(VLOOKUP(Y64,S6:W105,5,FALSE),0)/1000+ROUND(Z64,3)),ROUND(VLOOKUP(Y64,M6:Q105,5,FALSE),0)/1000+ROUND(Z64,3)),ROUND(VLOOKUP(Y64,G6:K105,5,FALSE),0)/1000+ROUND(Z64,3)),ROUND(VLOOKUP(Y64,A6:E105,5,FALSE),0)/1000+ROUND(Z64,3)))))</f>
        <v/>
      </c>
      <c r="AC64" s="18" t="str">
        <f>IF(OR(NOT(EXACT(UPPER(Y64),"TBM")),Z64=""),IF(AND(Z64&lt;&gt;"",AA64="",AB64&lt;&gt;""),"",IF(AND(Z64="",AA64&lt;&gt;"",AB64&lt;&gt;""),ROUND(ROUND(AB64,3)-ROUND(AA64,3),3)*1000,IF(AND(Z64&lt;&gt;"",AA64&lt;&gt;"",AB64&lt;&gt;""),ROUND(ROUND(AB63,3)-ROUND(AA64,3),3)*1000,""))),"")</f>
        <v/>
      </c>
      <c r="AD64" s="45" t="str">
        <f>IF(AND(NOT(ISNA(VLOOKUP(Y64,A6:E105,5,FALSE))),Z64="",AA64&lt;&gt;""),ROUND((VLOOKUP(Y64,A6:E105,5,FALSE)-AC64)/1000,3),IF(AND(NOT(ISNA(VLOOKUP(Y64,G6:K105,5,FALSE))),Z64="",AA64&lt;&gt;""),ROUND((VLOOKUP(Y64,G6:K105,5,FALSE)-AC64)/1000,3),IF(AND(NOT(ISNA(VLOOKUP(Y64,M6:Q105,5,FALSE))),Z64="",AA64&lt;&gt;""),ROUND((VLOOKUP(Y64,M6:Q105,5,FALSE)-AC64)/1000,3),IF(AND(NOT(ISNA(VLOOKUP(Y64,S6:W105,5,FALSE))),Z64="",AA64&lt;&gt;""),ROUND((VLOOKUP(Y64,S6:W105,5,FALSE)-AC64)/1000,3),IF(AND(NOT(ISNA(VLOOKUP(Y64,Y6:AC63,5,FALSE))),Z64="",AA64&lt;&gt;""),ROUND((VLOOKUP(Y64,Y6:AC63,5,FALSE)-AC64)/1000,3),"")))))</f>
        <v/>
      </c>
      <c r="AE64" s="19">
        <f>IF(AE63="","",AE63+1)</f>
        <v>558</v>
      </c>
      <c r="AF64" s="39"/>
      <c r="AG64" s="39"/>
      <c r="AH64" s="15" t="str">
        <f>IF(AND(AF64&lt;&gt;"",AG64&lt;&gt;""),ROUND(AF64,3)+ROUND(AH63,3)-ROUND(AG64,3),IF(AND(EXACT(UPPER(AE64),"TBM"),AF64&lt;&gt;""),ROUND(AF64,3),IF(AF64="",AH63,IF(ISNA(VLOOKUP(AE64,A6:E105,5,FALSE)),IF(ISNA(VLOOKUP(AE64,G6:K105,5,FALSE)),IF(ISNA(VLOOKUP(AE64,M6:Q105,5,FALSE)),IF(ISNA(VLOOKUP(AE64,S6:W105,5,FALSE)),IF(ISNA(VLOOKUP(AE64,Y6:AC105,5,FALSE)),IF(ISNA(VLOOKUP(AE64,AE6:AI63,5,FALSE)),"",ROUND(VLOOKUP(AE64,AE6:AI63,5,FALSE),0)/1000+ROUND(AF64,3)),ROUND(VLOOKUP(AE64,Y6:AC105,5,FALSE),0)/1000+ROUND(AF64,3)),ROUND(VLOOKUP(AE64,S6:W105,5,FALSE),0)/1000+ROUND(AF64,3)),ROUND(VLOOKUP(AE64,M6:Q105,5,FALSE),0)/1000+ROUND(AF64,3)),ROUND(VLOOKUP(AE64,G6:K105,5,FALSE),0)/1000+ROUND(AF64,3)),ROUND(VLOOKUP(AE64,A6:E105,5,FALSE),0)/1000+ROUND(AF64,3)))))</f>
        <v/>
      </c>
      <c r="AI64" s="18" t="str">
        <f>IF(OR(NOT(EXACT(UPPER(AE64),"TBM")),AF64=""),IF(AND(AF64&lt;&gt;"",AG64="",AH64&lt;&gt;""),"",IF(AND(AF64="",AG64&lt;&gt;"",AH64&lt;&gt;""),ROUND(ROUND(AH64,3)-ROUND(AG64,3),3)*1000,IF(AND(AF64&lt;&gt;"",AG64&lt;&gt;"",AH64&lt;&gt;""),ROUND(ROUND(AH63,3)-ROUND(AG64,3),3)*1000,""))),"")</f>
        <v/>
      </c>
      <c r="AJ64" s="45" t="str">
        <f>IF(AND(NOT(ISNA(VLOOKUP(AE64,A6:E105,5,FALSE))),AF64="",AG64&lt;&gt;""),ROUND((VLOOKUP(AE64,A6:E105,5,FALSE)-AI64)/1000,3),IF(AND(NOT(ISNA(VLOOKUP(AE64,G6:K105,5,FALSE))),AF64="",AG64&lt;&gt;""),ROUND((VLOOKUP(AE64,G6:K105,5,FALSE)-AI64)/1000,3),IF(AND(NOT(ISNA(VLOOKUP(AE64,M6:Q105,5,FALSE))),AF64="",AG64&lt;&gt;""),ROUND((VLOOKUP(AE64,M6:Q105,5,FALSE)-AI64)/1000,3),IF(AND(NOT(ISNA(VLOOKUP(AE64,S6:W105,5,FALSE))),AF64="",AG64&lt;&gt;""),ROUND((VLOOKUP(AE64,S6:W105,5,FALSE)-AI64)/1000,3),IF(AND(NOT(ISNA(VLOOKUP(AE64,Y6:AC105,5,FALSE))),AF64="",AG64&lt;&gt;""),ROUND((VLOOKUP(AE64,Y6:AC105,5,FALSE)-AI64)/1000,3),IF(AND(NOT(ISNA(VLOOKUP(AE64,AE6:AI63,5,FALSE))),AF64="",AG64&lt;&gt;""),ROUND((VLOOKUP(AE64,AE6:AI63,5,FALSE)-AI64)/1000,3),""))))))</f>
        <v/>
      </c>
      <c r="AK64" s="19">
        <f>IF(AK63="","",AK63+1)</f>
        <v>658</v>
      </c>
      <c r="AL64" s="39"/>
      <c r="AM64" s="39"/>
      <c r="AN64" s="15" t="str">
        <f>IF(AND(AL64&lt;&gt;"",AM64&lt;&gt;""),ROUND(AL64,3)+ROUND(AN63,3)-ROUND(AM64,3),IF(AND(EXACT(UPPER(AK64),"TBM"),AL64&lt;&gt;""),ROUND(AL64,3),IF(AL64="",AN63,IF(ISNA(VLOOKUP(AK64,A6:E105,5,FALSE)),IF(ISNA(VLOOKUP(AK64,G6:K105,5,FALSE)),IF(ISNA(VLOOKUP(AK64,M6:Q105,5,FALSE)),IF(ISNA(VLOOKUP(AK64,S6:W105,5,FALSE)),IF(ISNA(VLOOKUP(AK64,Y6:AC105,5,FALSE)),IF(ISNA(VLOOKUP(AK64,AE6:AI105,5,FALSE)),IF(ISNA(VLOOKUP(AK64,AK6:AO63,5,FALSE)),"",ROUND(VLOOKUP(AK64,AK6:AO63,5,FALSE),0)/1000+ROUND(AL64,3)),ROUND(VLOOKUP(AK64,AE6:AI105,5,FALSE),0)/1000+ROUND(AL64,3)),ROUND(VLOOKUP(AK64,Y6:AC105,5,FALSE),0)/1000+ROUND(AL64,3)),ROUND(VLOOKUP(AK64,S6:W105,5,FALSE),0)/1000+ROUND(AL64,3)),ROUND(VLOOKUP(AK64,M6:Q105,5,FALSE),0)/1000+ROUND(AL64,3)),ROUND(VLOOKUP(AK64,G6:K105,5,FALSE),0)/1000+ROUND(AL64,3)),ROUND(VLOOKUP(AK64,A6:E105,5,FALSE),0)/1000+ROUND(AL64,3)))))</f>
        <v/>
      </c>
      <c r="AO64" s="18" t="str">
        <f>IF(OR(NOT(EXACT(UPPER(AK64),"TBM")),AL64=""),IF(AND(AL64&lt;&gt;"",AM64="",AN64&lt;&gt;""),"",IF(AND(AL64="",AM64&lt;&gt;"",AN64&lt;&gt;""),ROUND(ROUND(AN64,3)-ROUND(AM64,3),3)*1000,IF(AND(AL64&lt;&gt;"",AM64&lt;&gt;"",AN64&lt;&gt;""),ROUND(ROUND(AN63,3)-ROUND(AM64,3),3)*1000,""))),"")</f>
        <v/>
      </c>
      <c r="AP64" s="45" t="str">
        <f>IF(AND(NOT(ISNA(VLOOKUP(AK64,A6:E105,5,FALSE))),AL64="",AM64&lt;&gt;""),ROUND((VLOOKUP(AK64,A6:E105,5,FALSE)-AO64)/1000,3),IF(AND(NOT(ISNA(VLOOKUP(AK64,G6:K105,5,FALSE))),AL64="",AM64&lt;&gt;""),ROUND((VLOOKUP(AK64,G6:K105,5,FALSE)-AO64)/1000,3),IF(AND(NOT(ISNA(VLOOKUP(AK64,M6:Q105,5,FALSE))),AL64="",AM64&lt;&gt;""),ROUND((VLOOKUP(AK64,M6:Q105,5,FALSE)-AO64)/1000,3),IF(AND(NOT(ISNA(VLOOKUP(AK64,S6:W105,5,FALSE))),AL64="",AM64&lt;&gt;""),ROUND((VLOOKUP(AK64,S6:W105,5,FALSE)-AO64)/1000,3),IF(AND(NOT(ISNA(VLOOKUP(AK64,Y6:AC105,5,FALSE))),AL64="",AM64&lt;&gt;""),ROUND((VLOOKUP(AK64,Y6:AC105,5,FALSE)-AO64)/1000,3),IF(AND(NOT(ISNA(VLOOKUP(AK64,AE6:AI105,5,FALSE))),AL64="",AM64&lt;&gt;""),ROUND((VLOOKUP(AK64,AE6:AI105,5,FALSE)-AO64)/1000,3),IF(AND(NOT(ISNA(VLOOKUP(AK64,AK6:AO63,5,FALSE))),AL64="",AM64&lt;&gt;""),ROUND((VLOOKUP(AK64,AK6:AO63,5,FALSE)-AO64)/1000,3),"")))))))</f>
        <v/>
      </c>
      <c r="AQ64" s="19">
        <f>IF(AQ63="","",AQ63+1)</f>
        <v>758</v>
      </c>
      <c r="AR64" s="39"/>
      <c r="AS64" s="39"/>
      <c r="AT64" s="15" t="str">
        <f>IF(AND(AR64&lt;&gt;"",AS64&lt;&gt;""),ROUND(AR64,3)+ROUND(AT63,3)-ROUND(AS64,3),IF(AND(EXACT(UPPER(AQ64),"TBM"),AR64&lt;&gt;""),ROUND(AR64,3),IF(AR64="",AT63,IF(ISNA(VLOOKUP(AQ64,A6:E105,5,FALSE)),IF(ISNA(VLOOKUP(AQ64,G6:K105,5,FALSE)),IF(ISNA(VLOOKUP(AQ64,M6:Q105,5,FALSE)),IF(ISNA(VLOOKUP(AQ64,S6:W105,5,FALSE)),IF(ISNA(VLOOKUP(AQ64,Y6:AC105,5,FALSE)),IF(ISNA(VLOOKUP(AQ64,AE6:AI105,5,FALSE)),IF(ISNA(VLOOKUP(AQ64,AK6:AO105,5,FALSE)),IF(ISNA(VLOOKUP(AQ64,AQ6:AU63,5,FALSE)),"",ROUND(VLOOKUP(AQ64,AQ6:AU63,5,FALSE),0)/1000+ROUND(AR64,3)),ROUND(VLOOKUP(AQ64,AK6:AO105,5,FALSE),0)/1000+ROUND(AR64,3)),ROUND(VLOOKUP(AQ64,AE6:AI105,5,FALSE),0)/1000+ROUND(AR64,3)),ROUND(VLOOKUP(AQ64,Y6:AC105,5,FALSE),0)/1000+ROUND(AR64,3)),ROUND(VLOOKUP(AQ64,S6:W105,5,FALSE),0)/1000+ROUND(AR64,3)),ROUND(VLOOKUP(AQ64,M6:Q105,5,FALSE),0)/1000+ROUND(AR64,3)),ROUND(VLOOKUP(AQ64,G6:K105,5,FALSE),0)/1000+ROUND(AR64,3)),ROUND(VLOOKUP(AQ64,A6:E105,5,FALSE),0)/1000+ROUND(AR64,3)))))</f>
        <v/>
      </c>
      <c r="AU64" s="18" t="str">
        <f>IF(OR(NOT(EXACT(UPPER(AQ64),"TBM")),AR64=""),IF(AND(AR64&lt;&gt;"",AS64="",AT64&lt;&gt;""),"",IF(AND(AR64="",AS64&lt;&gt;"",AT64&lt;&gt;""),ROUND(ROUND(AT64,3)-ROUND(AS64,3),3)*1000,IF(AND(AR64&lt;&gt;"",AS64&lt;&gt;"",AT64&lt;&gt;""),ROUND(ROUND(AT63,3)-ROUND(AS64,3),3)*1000,""))),"")</f>
        <v/>
      </c>
      <c r="AV64" s="45" t="str">
        <f>IF(AND(NOT(ISNA(VLOOKUP(AQ64,A6:E105,5,FALSE))),AR64="",AS64&lt;&gt;""),ROUND((VLOOKUP(AQ64,A6:E105,5,FALSE)-AU64)/1000,3),IF(AND(NOT(ISNA(VLOOKUP(AQ64,G6:K105,5,FALSE))),AR64="",AS64&lt;&gt;""),ROUND((VLOOKUP(AQ64,G6:K105,5,FALSE)-AU64)/1000,3),IF(AND(NOT(ISNA(VLOOKUP(AQ64,M6:Q105,5,FALSE))),AR64="",AS64&lt;&gt;""),ROUND((VLOOKUP(AQ64,M6:Q105,5,FALSE)-AU64)/1000,3),IF(AND(NOT(ISNA(VLOOKUP(AQ64,S6:W105,5,FALSE))),AR64="",AS64&lt;&gt;""),ROUND((VLOOKUP(AQ64,S6:W105,5,FALSE)-AU64)/1000,3),IF(AND(NOT(ISNA(VLOOKUP(AQ64,Y6:AC105,5,FALSE))),AR64="",AS64&lt;&gt;""),ROUND((VLOOKUP(AQ64,Y6:AC105,5,FALSE)-AU64)/1000,3),IF(AND(NOT(ISNA(VLOOKUP(AQ64,AE6:AI105,5,FALSE))),AR64="",AS64&lt;&gt;""),ROUND((VLOOKUP(AQ64,AE6:AI105,5,FALSE)-AU64)/1000,3),IF(AND(NOT(ISNA(VLOOKUP(AQ64,AK6:AO105,5,FALSE))),AR64="",AS64&lt;&gt;""),ROUND((VLOOKUP(AQ64,AK6:AO105,5,FALSE)-AU64)/1000,3),IF(AND(NOT(ISNA(VLOOKUP(AQ64,AQ6:AU63,5,FALSE))),AR64="",AS64&lt;&gt;""),ROUND((VLOOKUP(AQ64,AQ6:AU63,5,FALSE)-AU64)/1000,3),""))))))))</f>
        <v/>
      </c>
      <c r="AW64" s="19">
        <f>IF(AW63="","",AW63+1)</f>
        <v>858</v>
      </c>
      <c r="AX64" s="39"/>
      <c r="AY64" s="39"/>
      <c r="AZ64" s="15" t="str">
        <f>IF(AND(AX64&lt;&gt;"",AY64&lt;&gt;""),ROUND(AX64,3)+ROUND(AZ63,3)-ROUND(AY64,3),IF(AND(EXACT(UPPER(AW64),"TBM"),AX64&lt;&gt;""),ROUND(AX64,3),IF(AX64="",AZ63,IF(ISNA(VLOOKUP(AW64,A6:E105,5,FALSE)),IF(ISNA(VLOOKUP(AW64,G6:K105,5,FALSE)),IF(ISNA(VLOOKUP(AW64,M6:Q105,5,FALSE)),IF(ISNA(VLOOKUP(AW64,S6:W105,5,FALSE)),IF(ISNA(VLOOKUP(AW64,Y6:AC105,5,FALSE)),IF(ISNA(VLOOKUP(AW64,AE6:AI105,5,FALSE)),IF(ISNA(VLOOKUP(AW64,AK6:AO105,5,FALSE)),IF(ISNA(VLOOKUP(AW64,AQ6:AU105,5,FALSE)),IF(ISNA(VLOOKUP(AW64,AW6:BA63,5,FALSE)),"",ROUND(VLOOKUP(AW64,AW6:BA63,5,FALSE),0)/1000+ROUND(AX64,3)),ROUND(VLOOKUP(AW64,AQ6:AU105,5,FALSE),0)/1000+ROUND(AX64,3)),ROUND(VLOOKUP(AW64,AK6:AO105,5,FALSE),0)/1000+ROUND(AX64,3)),ROUND(VLOOKUP(AW64,AE6:AI105,5,FALSE),0)/1000+ROUND(AX64,3)),ROUND(VLOOKUP(AW64,Y6:AC105,5,FALSE),0)/1000+ROUND(AX64,3)),ROUND(VLOOKUP(AW64,S6:W105,5,FALSE),0)/1000+ROUND(AX64,3)),ROUND(VLOOKUP(AW64,M6:Q105,5,FALSE),0)/1000+ROUND(AX64,3)),ROUND(VLOOKUP(AW64,G6:K105,5,FALSE),0)/1000+ROUND(AX64,3)),ROUND(VLOOKUP(AW64,A6:E105,5,FALSE),0)/1000+ROUND(AX64,3)))))</f>
        <v/>
      </c>
      <c r="BA64" s="18" t="str">
        <f>IF(OR(NOT(EXACT(UPPER(AW64),"TBM")),AX64=""),IF(AND(AX64&lt;&gt;"",AY64="",AZ64&lt;&gt;""),"",IF(AND(AX64="",AY64&lt;&gt;"",AZ64&lt;&gt;""),ROUND(ROUND(AZ64,3)-ROUND(AY64,3),3)*1000,IF(AND(AX64&lt;&gt;"",AY64&lt;&gt;"",AZ64&lt;&gt;""),ROUND(ROUND(AZ63,3)-ROUND(AY64,3),3)*1000,""))),"")</f>
        <v/>
      </c>
      <c r="BB64" s="45" t="str">
        <f>IF(AND(NOT(ISNA(VLOOKUP(AW64,A6:E105,5,FALSE))),AX64="",AY64&lt;&gt;""),ROUND((VLOOKUP(AW64,A6:E105,5,FALSE)-BA64)/1000,3),IF(AND(NOT(ISNA(VLOOKUP(AW64,G6:K105,5,FALSE))),AX64="",AY64&lt;&gt;""),ROUND((VLOOKUP(AW64,G6:K105,5,FALSE)-BA64)/1000,3),IF(AND(NOT(ISNA(VLOOKUP(AW64,M6:Q105,5,FALSE))),AX64="",AY64&lt;&gt;""),ROUND((VLOOKUP(AW64,M6:Q105,5,FALSE)-BA64)/1000,3),IF(AND(NOT(ISNA(VLOOKUP(AW64,S6:W105,5,FALSE))),AX64="",AY64&lt;&gt;""),ROUND((VLOOKUP(AW64,S6:W105,5,FALSE)-BA64)/1000,3),IF(AND(NOT(ISNA(VLOOKUP(AW64,Y6:AC105,5,FALSE))),AX64="",AY64&lt;&gt;""),ROUND((VLOOKUP(AW64,Y6:AC105,5,FALSE)-BA64)/1000,3),IF(AND(NOT(ISNA(VLOOKUP(AW64,AE6:AI105,5,FALSE))),AX64="",AY64&lt;&gt;""),ROUND((VLOOKUP(AW64,AE6:AI105,5,FALSE)-BA64)/1000,3),IF(AND(NOT(ISNA(VLOOKUP(AW64,AK6:AO105,5,FALSE))),AX64="",AY64&lt;&gt;""),ROUND((VLOOKUP(AW64,AK6:AO105,5,FALSE)-BA64)/1000,3),IF(AND(NOT(ISNA(VLOOKUP(AW64,AQ6:AU105,5,FALSE))),AX64="",AY64&lt;&gt;""),ROUND((VLOOKUP(AW64,AQ6:AU105,5,FALSE)-BA64)/1000,3),IF(AND(NOT(ISNA(VLOOKUP(AW64,AW6:BA63,5,FALSE))),AX64="",AY64&lt;&gt;""),ROUND((VLOOKUP(AW64,AW6:BA63,5,FALSE)-BA64)/1000,3),"")))))))))</f>
        <v/>
      </c>
      <c r="BC64" s="19">
        <f>IF(BC63="","",BC63+1)</f>
        <v>958</v>
      </c>
      <c r="BD64" s="39"/>
      <c r="BE64" s="39"/>
      <c r="BF64" s="15" t="str">
        <f>IF(AND(BD64&lt;&gt;"",BE64&lt;&gt;""),ROUND(BD64,3)+ROUND(BF63,3)-ROUND(BE64,3),IF(AND(EXACT(UPPER(BC64),"TBM"),BD64&lt;&gt;""),ROUND(BD64,3),IF(BD64="",BF63,IF(ISNA(VLOOKUP(BC64,A6:E105,5,FALSE)),IF(ISNA(VLOOKUP(BC64,G6:K105,5,FALSE)),IF(ISNA(VLOOKUP(BC64,M6:Q105,5,FALSE)),IF(ISNA(VLOOKUP(BC64,S6:W105,5,FALSE)),IF(ISNA(VLOOKUP(BC64,Y6:AC105,5,FALSE)),IF(ISNA(VLOOKUP(BC64,AE6:AI105,5,FALSE)),IF(ISNA(VLOOKUP(BC64,AK6:AO105,5,FALSE)),IF(ISNA(VLOOKUP(BC64,AQ6:AU105,5,FALSE)),IF(ISNA(VLOOKUP(BC64,AW6:BA105,5,FALSE)),IF(ISNA(VLOOKUP(BC64,BC6:BG63,5,FALSE)),"",ROUND(VLOOKUP(BC64,BC6:BG63,5,FALSE),0)/1000+ROUND(BD64,3)),ROUND(VLOOKUP(BC64,AW6:BA105,5,FALSE),0)/1000+ROUND(BD64,3)),ROUND(VLOOKUP(BC64,AQ6:AU105,5,FALSE),0)/1000+ROUND(BD64,3)),ROUND(VLOOKUP(BC64,AK6:AO105,5,FALSE),0)/1000+ROUND(BD64,3)),ROUND(VLOOKUP(BC64,AE6:AI105,5,FALSE),0)/1000+ROUND(BD64,3)),ROUND(VLOOKUP(BC64,Y6:AC105,5,FALSE),0)/1000+ROUND(BD64,3)),ROUND(VLOOKUP(BC64,S6:W105,5,FALSE),0)/1000+ROUND(BD64,3)),ROUND(VLOOKUP(BC64,M6:Q105,5,FALSE),0)/1000+ROUND(BD64,3)),ROUND(VLOOKUP(BC64,G6:K105,5,FALSE),0)/1000+ROUND(BD64,3)),ROUND(VLOOKUP(BC64,A6:E105,5,FALSE),0)/1000+ROUND(BD64,3)))))</f>
        <v/>
      </c>
      <c r="BG64" s="18" t="str">
        <f>IF(OR(NOT(EXACT(UPPER(BC64),"TBM")),BD64=""),IF(AND(BD64&lt;&gt;"",BE64="",BF64&lt;&gt;""),"",IF(AND(BD64="",BE64&lt;&gt;"",BF64&lt;&gt;""),ROUND(ROUND(BF64,3)-ROUND(BE64,3),3)*1000,IF(AND(BD64&lt;&gt;"",BE64&lt;&gt;"",BF64&lt;&gt;""),ROUND(ROUND(BF63,3)-ROUND(BE64,3),3)*1000,""))),"")</f>
        <v/>
      </c>
      <c r="BH64" s="45" t="str">
        <f>IF(AND(NOT(ISNA(VLOOKUP(BC64,A6:E105,5,FALSE))),BD64="",BE64&lt;&gt;""),ROUND((VLOOKUP(BC64,A6:E105,5,FALSE)-BG64)/1000,3),IF(AND(NOT(ISNA(VLOOKUP(BC64,G6:K105,5,FALSE))),BD64="",BE64&lt;&gt;""),ROUND((VLOOKUP(BC64,G6:K105,5,FALSE)-BG64)/1000,3),IF(AND(NOT(ISNA(VLOOKUP(BC64,M6:Q105,5,FALSE))),BD64="",BE64&lt;&gt;""),ROUND((VLOOKUP(BC64,M6:Q105,5,FALSE)-BG64)/1000,3),IF(AND(NOT(ISNA(VLOOKUP(BC64,S6:W105,5,FALSE))),BD64="",BE64&lt;&gt;""),ROUND((VLOOKUP(BC64,S6:W105,5,FALSE)-BG64)/1000,3),IF(AND(NOT(ISNA(VLOOKUP(BC64,Y6:AC105,5,FALSE))),BD64="",BE64&lt;&gt;""),ROUND((VLOOKUP(BC64,Y6:AC105,5,FALSE)-BG64)/1000,3),IF(AND(NOT(ISNA(VLOOKUP(BC64,AE6:AI105,5,FALSE))),BD64="",BE64&lt;&gt;""),ROUND((VLOOKUP(BC64,AE6:AI105,5,FALSE)-BG64)/1000,3),IF(AND(NOT(ISNA(VLOOKUP(BC64,AK6:AO105,5,FALSE))),BD64="",BE64&lt;&gt;""),ROUND((VLOOKUP(BC64,AK6:AO105,5,FALSE)-BG64)/1000,3),IF(AND(NOT(ISNA(VLOOKUP(BC64,AQ6:AU105,5,FALSE))),BD64="",BE64&lt;&gt;""),ROUND((VLOOKUP(BC64,AQ6:AU105,5,FALSE)-BG64)/1000,3),IF(AND(NOT(ISNA(VLOOKUP(BC64,AW6:BA105,5,FALSE))),BD64="",BE64&lt;&gt;""),ROUND((VLOOKUP(BC64,AW6:BA105,5,FALSE)-BG64)/1000,3),IF(AND(NOT(ISNA(VLOOKUP(BC64,BC6:BG63,5,FALSE))),BD64="",BE64&lt;&gt;""),ROUND((VLOOKUP(BC64,BC6:BG63,5,FALSE)-BG64)/1000,3),""))))))))))</f>
        <v/>
      </c>
    </row>
    <row r="65" spans="1:60" x14ac:dyDescent="0.25">
      <c r="A65" s="81">
        <f t="shared" si="3"/>
        <v>59</v>
      </c>
      <c r="B65" s="82"/>
      <c r="C65" s="82"/>
      <c r="D65" s="83" t="str">
        <f>IF(AND(B65&lt;&gt;"",C65&lt;&gt;""),ROUND(B65,3)+ROUND(D64,3)-ROUND(C65,3),IF(AND(EXACT(UPPER(A65),"TBM"),B65&lt;&gt;""),ROUND(B65,3),IF(B65="",D64,IF(ISNA(VLOOKUP(A65,A6:E64,5,FALSE)),"",ROUND(VLOOKUP(A65,A6:E64,5,FALSE),0)/1000+ROUND(B65,3)))))</f>
        <v/>
      </c>
      <c r="E65" s="88" t="str">
        <f t="shared" si="4"/>
        <v/>
      </c>
      <c r="F65" s="85" t="str">
        <f>IF(AND(NOT(ISNA(VLOOKUP(A65,A6:E64,5,FALSE))),B65="",C65&lt;&gt;""),ROUND((VLOOKUP(A65,A6:E64,5,FALSE)-E65)/1000,3),"")</f>
        <v/>
      </c>
      <c r="G65" s="81">
        <f t="shared" si="1"/>
        <v>159</v>
      </c>
      <c r="H65" s="82"/>
      <c r="I65" s="82"/>
      <c r="J65" s="83" t="str">
        <f>IF(AND(H65&lt;&gt;"",I65&lt;&gt;""),ROUND(H65,3)+ROUND(J64,3)-ROUND(I65,3),IF(AND(EXACT(UPPER(G65),"TBM"),H65&lt;&gt;""),ROUND(H65,3),IF(H65="",J64,IF(ISNA(VLOOKUP(G65,A6:E105,5,FALSE)),IF(ISNA(VLOOKUP(G65,G6:K64,5,FALSE)),"",ROUND(VLOOKUP(G65,G6:K64,5,FALSE),0)/1000+ROUND(H65,3)),ROUND(VLOOKUP(G65,A6:E105,5,FALSE),0)/1000+ROUND(H65,3)))))</f>
        <v/>
      </c>
      <c r="K65" s="95" t="str">
        <f t="shared" si="5"/>
        <v/>
      </c>
      <c r="L65" s="85" t="str">
        <f>IF(AND(NOT(ISNA(VLOOKUP(G65,A6:E105,5,FALSE))),H65="",I65&lt;&gt;""),ROUND((VLOOKUP(G65,A6:E105,5,FALSE)-K65)/1000,3),IF(AND(NOT(ISNA(VLOOKUP(G65,G6:K64,5,FALSE))),H65="",I65&lt;&gt;""),ROUND((VLOOKUP(G65,G6:K64,5,FALSE)-K65)/1000,3),""))</f>
        <v/>
      </c>
      <c r="M65" s="81">
        <f>IF(M64="","",M64+1)</f>
        <v>259</v>
      </c>
      <c r="N65" s="82"/>
      <c r="O65" s="82"/>
      <c r="P65" s="83" t="str">
        <f>IF(AND(N65&lt;&gt;"",O65&lt;&gt;""),ROUND(N65,3)+ROUND(P64,3)-ROUND(O65,3),IF(AND(EXACT(UPPER(M65),"TBM"),N65&lt;&gt;""),ROUND(N65,3),IF(N65="",P64,IF(ISNA(VLOOKUP(M65,A6:E105,5,FALSE)),IF(ISNA(VLOOKUP(M65,G6:K105,5,FALSE)),IF(ISNA(VLOOKUP(M65,M6:Q64,5,FALSE)),"",ROUND(VLOOKUP(M65,M6:Q64,5,FALSE),0)/1000+ROUND(N65,3)),ROUND(VLOOKUP(M65,G6:K105,5,FALSE),0)/1000+ROUND(N65,3)),ROUND(VLOOKUP(M65,A6:E105,5,FALSE),0)/1000+ROUND(N65,3)))))</f>
        <v/>
      </c>
      <c r="Q65" s="95" t="str">
        <f>IF(OR(NOT(EXACT(UPPER(M65),"TBM")),N65=""),IF(AND(N65&lt;&gt;"",O65="",P65&lt;&gt;""),"",IF(AND(N65="",O65&lt;&gt;"",P65&lt;&gt;""),ROUND(ROUND(P65,3)-ROUND(O65,3),3)*1000,IF(AND(N65&lt;&gt;"",O65&lt;&gt;"",P65&lt;&gt;""),ROUND(ROUND(P64,3)-ROUND(O65,3),3)*1000,""))),"")</f>
        <v/>
      </c>
      <c r="R65" s="85" t="str">
        <f>IF(AND(NOT(ISNA(VLOOKUP(M65,A6:E105,5,FALSE))),N65="",O65&lt;&gt;""),ROUND((VLOOKUP(M65,A6:E105,5,FALSE)-Q65)/1000,3),IF(AND(NOT(ISNA(VLOOKUP(M65,G6:K105,5,FALSE))),N65="",O65&lt;&gt;""),ROUND((VLOOKUP(M65,G6:K105,5,FALSE)-Q65)/1000,3),IF(AND(NOT(ISNA(VLOOKUP(M65,M6:Q64,5,FALSE))),N65="",O65&lt;&gt;""),ROUND((VLOOKUP(M65,M6:Q64,5,FALSE)-Q65)/1000,3),"")))</f>
        <v/>
      </c>
      <c r="S65" s="81">
        <f>IF(S64="","",S64+1)</f>
        <v>359</v>
      </c>
      <c r="T65" s="82"/>
      <c r="U65" s="82"/>
      <c r="V65" s="83" t="str">
        <f>IF(AND(T65&lt;&gt;"",U65&lt;&gt;""),ROUND(T65,3)+ROUND(V64,3)-ROUND(U65,3),IF(AND(EXACT(UPPER(S65),"TBM"),T65&lt;&gt;""),ROUND(T65,3),IF(T65="",V64,IF(ISNA(VLOOKUP(S65,A6:E105,5,FALSE)),IF(ISNA(VLOOKUP(S65,G6:K105,5,FALSE)),IF(ISNA(VLOOKUP(S65,M6:Q105,5,FALSE)),IF(ISNA(VLOOKUP(S65,S6:W64,5,FALSE)),"",ROUND(VLOOKUP(S65,S6:W64,5,FALSE),0)/1000+ROUND(T65,3)),ROUND(VLOOKUP(S65,M6:Q105,5,FALSE),0)/1000+ROUND(T65,3)),ROUND(VLOOKUP(S65,G6:K105,5,FALSE),0)/1000+ROUND(T65,3)),ROUND(VLOOKUP(S65,A6:E105,5,FALSE),0)/1000+ROUND(T65,3)))))</f>
        <v/>
      </c>
      <c r="W65" s="95" t="str">
        <f>IF(OR(NOT(EXACT(UPPER(S65),"TBM")),T65=""),IF(AND(T65&lt;&gt;"",U65="",V65&lt;&gt;""),"",IF(AND(T65="",U65&lt;&gt;"",V65&lt;&gt;""),ROUND(ROUND(V65,3)-ROUND(U65,3),3)*1000,IF(AND(T65&lt;&gt;"",U65&lt;&gt;"",V65&lt;&gt;""),ROUND(ROUND(V64,3)-ROUND(U65,3),3)*1000,""))),"")</f>
        <v/>
      </c>
      <c r="X65" s="85" t="str">
        <f>IF(AND(NOT(ISNA(VLOOKUP(S65,A6:E105,5,FALSE))),T65="",U65&lt;&gt;""),ROUND((VLOOKUP(S65,A6:E105,5,FALSE)-W65)/1000,3),IF(AND(NOT(ISNA(VLOOKUP(S65,G6:K105,5,FALSE))),T65="",U65&lt;&gt;""),ROUND((VLOOKUP(S65,G6:K105,5,FALSE)-W65)/1000,3),IF(AND(NOT(ISNA(VLOOKUP(S65,M6:Q105,5,FALSE))),T65="",U65&lt;&gt;""),ROUND((VLOOKUP(S65,M6:Q105,5,FALSE)-W65)/1000,3),IF(AND(NOT(ISNA(VLOOKUP(S65,S6:W64,5,FALSE))),T65="",U65&lt;&gt;""),ROUND((VLOOKUP(S65,S6:W64,5,FALSE)-W65)/1000,3),""))))</f>
        <v/>
      </c>
      <c r="Y65" s="81">
        <f>IF(Y64="","",Y64+1)</f>
        <v>459</v>
      </c>
      <c r="Z65" s="82"/>
      <c r="AA65" s="82"/>
      <c r="AB65" s="83" t="str">
        <f>IF(AND(Z65&lt;&gt;"",AA65&lt;&gt;""),ROUND(Z65,3)+ROUND(AB64,3)-ROUND(AA65,3),IF(AND(EXACT(UPPER(Y65),"TBM"),Z65&lt;&gt;""),ROUND(Z65,3),IF(Z65="",AB64,IF(ISNA(VLOOKUP(Y65,A6:E105,5,FALSE)),IF(ISNA(VLOOKUP(Y65,G6:K105,5,FALSE)),IF(ISNA(VLOOKUP(Y65,M6:Q105,5,FALSE)),IF(ISNA(VLOOKUP(Y65,S6:W105,5,FALSE)),IF(ISNA(VLOOKUP(Y65,Y6:AC64,5,FALSE)),"",ROUND(VLOOKUP(Y65,Y6:AC64,5,FALSE),0)/1000+ROUND(Z65,3)),ROUND(VLOOKUP(Y65,S6:W105,5,FALSE),0)/1000+ROUND(Z65,3)),ROUND(VLOOKUP(Y65,M6:Q105,5,FALSE),0)/1000+ROUND(Z65,3)),ROUND(VLOOKUP(Y65,G6:K105,5,FALSE),0)/1000+ROUND(Z65,3)),ROUND(VLOOKUP(Y65,A6:E105,5,FALSE),0)/1000+ROUND(Z65,3)))))</f>
        <v/>
      </c>
      <c r="AC65" s="95" t="str">
        <f>IF(OR(NOT(EXACT(UPPER(Y65),"TBM")),Z65=""),IF(AND(Z65&lt;&gt;"",AA65="",AB65&lt;&gt;""),"",IF(AND(Z65="",AA65&lt;&gt;"",AB65&lt;&gt;""),ROUND(ROUND(AB65,3)-ROUND(AA65,3),3)*1000,IF(AND(Z65&lt;&gt;"",AA65&lt;&gt;"",AB65&lt;&gt;""),ROUND(ROUND(AB64,3)-ROUND(AA65,3),3)*1000,""))),"")</f>
        <v/>
      </c>
      <c r="AD65" s="85" t="str">
        <f>IF(AND(NOT(ISNA(VLOOKUP(Y65,A6:E105,5,FALSE))),Z65="",AA65&lt;&gt;""),ROUND((VLOOKUP(Y65,A6:E105,5,FALSE)-AC65)/1000,3),IF(AND(NOT(ISNA(VLOOKUP(Y65,G6:K105,5,FALSE))),Z65="",AA65&lt;&gt;""),ROUND((VLOOKUP(Y65,G6:K105,5,FALSE)-AC65)/1000,3),IF(AND(NOT(ISNA(VLOOKUP(Y65,M6:Q105,5,FALSE))),Z65="",AA65&lt;&gt;""),ROUND((VLOOKUP(Y65,M6:Q105,5,FALSE)-AC65)/1000,3),IF(AND(NOT(ISNA(VLOOKUP(Y65,S6:W105,5,FALSE))),Z65="",AA65&lt;&gt;""),ROUND((VLOOKUP(Y65,S6:W105,5,FALSE)-AC65)/1000,3),IF(AND(NOT(ISNA(VLOOKUP(Y65,Y6:AC64,5,FALSE))),Z65="",AA65&lt;&gt;""),ROUND((VLOOKUP(Y65,Y6:AC64,5,FALSE)-AC65)/1000,3),"")))))</f>
        <v/>
      </c>
      <c r="AE65" s="81">
        <f>IF(AE64="","",AE64+1)</f>
        <v>559</v>
      </c>
      <c r="AF65" s="82"/>
      <c r="AG65" s="82"/>
      <c r="AH65" s="83" t="str">
        <f>IF(AND(AF65&lt;&gt;"",AG65&lt;&gt;""),ROUND(AF65,3)+ROUND(AH64,3)-ROUND(AG65,3),IF(AND(EXACT(UPPER(AE65),"TBM"),AF65&lt;&gt;""),ROUND(AF65,3),IF(AF65="",AH64,IF(ISNA(VLOOKUP(AE65,A6:E105,5,FALSE)),IF(ISNA(VLOOKUP(AE65,G6:K105,5,FALSE)),IF(ISNA(VLOOKUP(AE65,M6:Q105,5,FALSE)),IF(ISNA(VLOOKUP(AE65,S6:W105,5,FALSE)),IF(ISNA(VLOOKUP(AE65,Y6:AC105,5,FALSE)),IF(ISNA(VLOOKUP(AE65,AE6:AI64,5,FALSE)),"",ROUND(VLOOKUP(AE65,AE6:AI64,5,FALSE),0)/1000+ROUND(AF65,3)),ROUND(VLOOKUP(AE65,Y6:AC105,5,FALSE),0)/1000+ROUND(AF65,3)),ROUND(VLOOKUP(AE65,S6:W105,5,FALSE),0)/1000+ROUND(AF65,3)),ROUND(VLOOKUP(AE65,M6:Q105,5,FALSE),0)/1000+ROUND(AF65,3)),ROUND(VLOOKUP(AE65,G6:K105,5,FALSE),0)/1000+ROUND(AF65,3)),ROUND(VLOOKUP(AE65,A6:E105,5,FALSE),0)/1000+ROUND(AF65,3)))))</f>
        <v/>
      </c>
      <c r="AI65" s="95" t="str">
        <f>IF(OR(NOT(EXACT(UPPER(AE65),"TBM")),AF65=""),IF(AND(AF65&lt;&gt;"",AG65="",AH65&lt;&gt;""),"",IF(AND(AF65="",AG65&lt;&gt;"",AH65&lt;&gt;""),ROUND(ROUND(AH65,3)-ROUND(AG65,3),3)*1000,IF(AND(AF65&lt;&gt;"",AG65&lt;&gt;"",AH65&lt;&gt;""),ROUND(ROUND(AH64,3)-ROUND(AG65,3),3)*1000,""))),"")</f>
        <v/>
      </c>
      <c r="AJ65" s="85" t="str">
        <f>IF(AND(NOT(ISNA(VLOOKUP(AE65,A6:E105,5,FALSE))),AF65="",AG65&lt;&gt;""),ROUND((VLOOKUP(AE65,A6:E105,5,FALSE)-AI65)/1000,3),IF(AND(NOT(ISNA(VLOOKUP(AE65,G6:K105,5,FALSE))),AF65="",AG65&lt;&gt;""),ROUND((VLOOKUP(AE65,G6:K105,5,FALSE)-AI65)/1000,3),IF(AND(NOT(ISNA(VLOOKUP(AE65,M6:Q105,5,FALSE))),AF65="",AG65&lt;&gt;""),ROUND((VLOOKUP(AE65,M6:Q105,5,FALSE)-AI65)/1000,3),IF(AND(NOT(ISNA(VLOOKUP(AE65,S6:W105,5,FALSE))),AF65="",AG65&lt;&gt;""),ROUND((VLOOKUP(AE65,S6:W105,5,FALSE)-AI65)/1000,3),IF(AND(NOT(ISNA(VLOOKUP(AE65,Y6:AC105,5,FALSE))),AF65="",AG65&lt;&gt;""),ROUND((VLOOKUP(AE65,Y6:AC105,5,FALSE)-AI65)/1000,3),IF(AND(NOT(ISNA(VLOOKUP(AE65,AE6:AI64,5,FALSE))),AF65="",AG65&lt;&gt;""),ROUND((VLOOKUP(AE65,AE6:AI64,5,FALSE)-AI65)/1000,3),""))))))</f>
        <v/>
      </c>
      <c r="AK65" s="81">
        <f>IF(AK64="","",AK64+1)</f>
        <v>659</v>
      </c>
      <c r="AL65" s="82"/>
      <c r="AM65" s="82"/>
      <c r="AN65" s="83" t="str">
        <f>IF(AND(AL65&lt;&gt;"",AM65&lt;&gt;""),ROUND(AL65,3)+ROUND(AN64,3)-ROUND(AM65,3),IF(AND(EXACT(UPPER(AK65),"TBM"),AL65&lt;&gt;""),ROUND(AL65,3),IF(AL65="",AN64,IF(ISNA(VLOOKUP(AK65,A6:E105,5,FALSE)),IF(ISNA(VLOOKUP(AK65,G6:K105,5,FALSE)),IF(ISNA(VLOOKUP(AK65,M6:Q105,5,FALSE)),IF(ISNA(VLOOKUP(AK65,S6:W105,5,FALSE)),IF(ISNA(VLOOKUP(AK65,Y6:AC105,5,FALSE)),IF(ISNA(VLOOKUP(AK65,AE6:AI105,5,FALSE)),IF(ISNA(VLOOKUP(AK65,AK6:AO64,5,FALSE)),"",ROUND(VLOOKUP(AK65,AK6:AO64,5,FALSE),0)/1000+ROUND(AL65,3)),ROUND(VLOOKUP(AK65,AE6:AI105,5,FALSE),0)/1000+ROUND(AL65,3)),ROUND(VLOOKUP(AK65,Y6:AC105,5,FALSE),0)/1000+ROUND(AL65,3)),ROUND(VLOOKUP(AK65,S6:W105,5,FALSE),0)/1000+ROUND(AL65,3)),ROUND(VLOOKUP(AK65,M6:Q105,5,FALSE),0)/1000+ROUND(AL65,3)),ROUND(VLOOKUP(AK65,G6:K105,5,FALSE),0)/1000+ROUND(AL65,3)),ROUND(VLOOKUP(AK65,A6:E105,5,FALSE),0)/1000+ROUND(AL65,3)))))</f>
        <v/>
      </c>
      <c r="AO65" s="95" t="str">
        <f>IF(OR(NOT(EXACT(UPPER(AK65),"TBM")),AL65=""),IF(AND(AL65&lt;&gt;"",AM65="",AN65&lt;&gt;""),"",IF(AND(AL65="",AM65&lt;&gt;"",AN65&lt;&gt;""),ROUND(ROUND(AN65,3)-ROUND(AM65,3),3)*1000,IF(AND(AL65&lt;&gt;"",AM65&lt;&gt;"",AN65&lt;&gt;""),ROUND(ROUND(AN64,3)-ROUND(AM65,3),3)*1000,""))),"")</f>
        <v/>
      </c>
      <c r="AP65" s="85" t="str">
        <f>IF(AND(NOT(ISNA(VLOOKUP(AK65,A6:E105,5,FALSE))),AL65="",AM65&lt;&gt;""),ROUND((VLOOKUP(AK65,A6:E105,5,FALSE)-AO65)/1000,3),IF(AND(NOT(ISNA(VLOOKUP(AK65,G6:K105,5,FALSE))),AL65="",AM65&lt;&gt;""),ROUND((VLOOKUP(AK65,G6:K105,5,FALSE)-AO65)/1000,3),IF(AND(NOT(ISNA(VLOOKUP(AK65,M6:Q105,5,FALSE))),AL65="",AM65&lt;&gt;""),ROUND((VLOOKUP(AK65,M6:Q105,5,FALSE)-AO65)/1000,3),IF(AND(NOT(ISNA(VLOOKUP(AK65,S6:W105,5,FALSE))),AL65="",AM65&lt;&gt;""),ROUND((VLOOKUP(AK65,S6:W105,5,FALSE)-AO65)/1000,3),IF(AND(NOT(ISNA(VLOOKUP(AK65,Y6:AC105,5,FALSE))),AL65="",AM65&lt;&gt;""),ROUND((VLOOKUP(AK65,Y6:AC105,5,FALSE)-AO65)/1000,3),IF(AND(NOT(ISNA(VLOOKUP(AK65,AE6:AI105,5,FALSE))),AL65="",AM65&lt;&gt;""),ROUND((VLOOKUP(AK65,AE6:AI105,5,FALSE)-AO65)/1000,3),IF(AND(NOT(ISNA(VLOOKUP(AK65,AK6:AO64,5,FALSE))),AL65="",AM65&lt;&gt;""),ROUND((VLOOKUP(AK65,AK6:AO64,5,FALSE)-AO65)/1000,3),"")))))))</f>
        <v/>
      </c>
      <c r="AQ65" s="81">
        <f>IF(AQ64="","",AQ64+1)</f>
        <v>759</v>
      </c>
      <c r="AR65" s="82"/>
      <c r="AS65" s="82"/>
      <c r="AT65" s="83" t="str">
        <f>IF(AND(AR65&lt;&gt;"",AS65&lt;&gt;""),ROUND(AR65,3)+ROUND(AT64,3)-ROUND(AS65,3),IF(AND(EXACT(UPPER(AQ65),"TBM"),AR65&lt;&gt;""),ROUND(AR65,3),IF(AR65="",AT64,IF(ISNA(VLOOKUP(AQ65,A6:E105,5,FALSE)),IF(ISNA(VLOOKUP(AQ65,G6:K105,5,FALSE)),IF(ISNA(VLOOKUP(AQ65,M6:Q105,5,FALSE)),IF(ISNA(VLOOKUP(AQ65,S6:W105,5,FALSE)),IF(ISNA(VLOOKUP(AQ65,Y6:AC105,5,FALSE)),IF(ISNA(VLOOKUP(AQ65,AE6:AI105,5,FALSE)),IF(ISNA(VLOOKUP(AQ65,AK6:AO105,5,FALSE)),IF(ISNA(VLOOKUP(AQ65,AQ6:AU64,5,FALSE)),"",ROUND(VLOOKUP(AQ65,AQ6:AU64,5,FALSE),0)/1000+ROUND(AR65,3)),ROUND(VLOOKUP(AQ65,AK6:AO105,5,FALSE),0)/1000+ROUND(AR65,3)),ROUND(VLOOKUP(AQ65,AE6:AI105,5,FALSE),0)/1000+ROUND(AR65,3)),ROUND(VLOOKUP(AQ65,Y6:AC105,5,FALSE),0)/1000+ROUND(AR65,3)),ROUND(VLOOKUP(AQ65,S6:W105,5,FALSE),0)/1000+ROUND(AR65,3)),ROUND(VLOOKUP(AQ65,M6:Q105,5,FALSE),0)/1000+ROUND(AR65,3)),ROUND(VLOOKUP(AQ65,G6:K105,5,FALSE),0)/1000+ROUND(AR65,3)),ROUND(VLOOKUP(AQ65,A6:E105,5,FALSE),0)/1000+ROUND(AR65,3)))))</f>
        <v/>
      </c>
      <c r="AU65" s="95" t="str">
        <f>IF(OR(NOT(EXACT(UPPER(AQ65),"TBM")),AR65=""),IF(AND(AR65&lt;&gt;"",AS65="",AT65&lt;&gt;""),"",IF(AND(AR65="",AS65&lt;&gt;"",AT65&lt;&gt;""),ROUND(ROUND(AT65,3)-ROUND(AS65,3),3)*1000,IF(AND(AR65&lt;&gt;"",AS65&lt;&gt;"",AT65&lt;&gt;""),ROUND(ROUND(AT64,3)-ROUND(AS65,3),3)*1000,""))),"")</f>
        <v/>
      </c>
      <c r="AV65" s="85" t="str">
        <f>IF(AND(NOT(ISNA(VLOOKUP(AQ65,A6:E105,5,FALSE))),AR65="",AS65&lt;&gt;""),ROUND((VLOOKUP(AQ65,A6:E105,5,FALSE)-AU65)/1000,3),IF(AND(NOT(ISNA(VLOOKUP(AQ65,G6:K105,5,FALSE))),AR65="",AS65&lt;&gt;""),ROUND((VLOOKUP(AQ65,G6:K105,5,FALSE)-AU65)/1000,3),IF(AND(NOT(ISNA(VLOOKUP(AQ65,M6:Q105,5,FALSE))),AR65="",AS65&lt;&gt;""),ROUND((VLOOKUP(AQ65,M6:Q105,5,FALSE)-AU65)/1000,3),IF(AND(NOT(ISNA(VLOOKUP(AQ65,S6:W105,5,FALSE))),AR65="",AS65&lt;&gt;""),ROUND((VLOOKUP(AQ65,S6:W105,5,FALSE)-AU65)/1000,3),IF(AND(NOT(ISNA(VLOOKUP(AQ65,Y6:AC105,5,FALSE))),AR65="",AS65&lt;&gt;""),ROUND((VLOOKUP(AQ65,Y6:AC105,5,FALSE)-AU65)/1000,3),IF(AND(NOT(ISNA(VLOOKUP(AQ65,AE6:AI105,5,FALSE))),AR65="",AS65&lt;&gt;""),ROUND((VLOOKUP(AQ65,AE6:AI105,5,FALSE)-AU65)/1000,3),IF(AND(NOT(ISNA(VLOOKUP(AQ65,AK6:AO105,5,FALSE))),AR65="",AS65&lt;&gt;""),ROUND((VLOOKUP(AQ65,AK6:AO105,5,FALSE)-AU65)/1000,3),IF(AND(NOT(ISNA(VLOOKUP(AQ65,AQ6:AU64,5,FALSE))),AR65="",AS65&lt;&gt;""),ROUND((VLOOKUP(AQ65,AQ6:AU64,5,FALSE)-AU65)/1000,3),""))))))))</f>
        <v/>
      </c>
      <c r="AW65" s="81">
        <f>IF(AW64="","",AW64+1)</f>
        <v>859</v>
      </c>
      <c r="AX65" s="82"/>
      <c r="AY65" s="82"/>
      <c r="AZ65" s="83" t="str">
        <f>IF(AND(AX65&lt;&gt;"",AY65&lt;&gt;""),ROUND(AX65,3)+ROUND(AZ64,3)-ROUND(AY65,3),IF(AND(EXACT(UPPER(AW65),"TBM"),AX65&lt;&gt;""),ROUND(AX65,3),IF(AX65="",AZ64,IF(ISNA(VLOOKUP(AW65,A6:E105,5,FALSE)),IF(ISNA(VLOOKUP(AW65,G6:K105,5,FALSE)),IF(ISNA(VLOOKUP(AW65,M6:Q105,5,FALSE)),IF(ISNA(VLOOKUP(AW65,S6:W105,5,FALSE)),IF(ISNA(VLOOKUP(AW65,Y6:AC105,5,FALSE)),IF(ISNA(VLOOKUP(AW65,AE6:AI105,5,FALSE)),IF(ISNA(VLOOKUP(AW65,AK6:AO105,5,FALSE)),IF(ISNA(VLOOKUP(AW65,AQ6:AU105,5,FALSE)),IF(ISNA(VLOOKUP(AW65,AW6:BA64,5,FALSE)),"",ROUND(VLOOKUP(AW65,AW6:BA64,5,FALSE),0)/1000+ROUND(AX65,3)),ROUND(VLOOKUP(AW65,AQ6:AU105,5,FALSE),0)/1000+ROUND(AX65,3)),ROUND(VLOOKUP(AW65,AK6:AO105,5,FALSE),0)/1000+ROUND(AX65,3)),ROUND(VLOOKUP(AW65,AE6:AI105,5,FALSE),0)/1000+ROUND(AX65,3)),ROUND(VLOOKUP(AW65,Y6:AC105,5,FALSE),0)/1000+ROUND(AX65,3)),ROUND(VLOOKUP(AW65,S6:W105,5,FALSE),0)/1000+ROUND(AX65,3)),ROUND(VLOOKUP(AW65,M6:Q105,5,FALSE),0)/1000+ROUND(AX65,3)),ROUND(VLOOKUP(AW65,G6:K105,5,FALSE),0)/1000+ROUND(AX65,3)),ROUND(VLOOKUP(AW65,A6:E105,5,FALSE),0)/1000+ROUND(AX65,3)))))</f>
        <v/>
      </c>
      <c r="BA65" s="95" t="str">
        <f>IF(OR(NOT(EXACT(UPPER(AW65),"TBM")),AX65=""),IF(AND(AX65&lt;&gt;"",AY65="",AZ65&lt;&gt;""),"",IF(AND(AX65="",AY65&lt;&gt;"",AZ65&lt;&gt;""),ROUND(ROUND(AZ65,3)-ROUND(AY65,3),3)*1000,IF(AND(AX65&lt;&gt;"",AY65&lt;&gt;"",AZ65&lt;&gt;""),ROUND(ROUND(AZ64,3)-ROUND(AY65,3),3)*1000,""))),"")</f>
        <v/>
      </c>
      <c r="BB65" s="85" t="str">
        <f>IF(AND(NOT(ISNA(VLOOKUP(AW65,A6:E105,5,FALSE))),AX65="",AY65&lt;&gt;""),ROUND((VLOOKUP(AW65,A6:E105,5,FALSE)-BA65)/1000,3),IF(AND(NOT(ISNA(VLOOKUP(AW65,G6:K105,5,FALSE))),AX65="",AY65&lt;&gt;""),ROUND((VLOOKUP(AW65,G6:K105,5,FALSE)-BA65)/1000,3),IF(AND(NOT(ISNA(VLOOKUP(AW65,M6:Q105,5,FALSE))),AX65="",AY65&lt;&gt;""),ROUND((VLOOKUP(AW65,M6:Q105,5,FALSE)-BA65)/1000,3),IF(AND(NOT(ISNA(VLOOKUP(AW65,S6:W105,5,FALSE))),AX65="",AY65&lt;&gt;""),ROUND((VLOOKUP(AW65,S6:W105,5,FALSE)-BA65)/1000,3),IF(AND(NOT(ISNA(VLOOKUP(AW65,Y6:AC105,5,FALSE))),AX65="",AY65&lt;&gt;""),ROUND((VLOOKUP(AW65,Y6:AC105,5,FALSE)-BA65)/1000,3),IF(AND(NOT(ISNA(VLOOKUP(AW65,AE6:AI105,5,FALSE))),AX65="",AY65&lt;&gt;""),ROUND((VLOOKUP(AW65,AE6:AI105,5,FALSE)-BA65)/1000,3),IF(AND(NOT(ISNA(VLOOKUP(AW65,AK6:AO105,5,FALSE))),AX65="",AY65&lt;&gt;""),ROUND((VLOOKUP(AW65,AK6:AO105,5,FALSE)-BA65)/1000,3),IF(AND(NOT(ISNA(VLOOKUP(AW65,AQ6:AU105,5,FALSE))),AX65="",AY65&lt;&gt;""),ROUND((VLOOKUP(AW65,AQ6:AU105,5,FALSE)-BA65)/1000,3),IF(AND(NOT(ISNA(VLOOKUP(AW65,AW6:BA64,5,FALSE))),AX65="",AY65&lt;&gt;""),ROUND((VLOOKUP(AW65,AW6:BA64,5,FALSE)-BA65)/1000,3),"")))))))))</f>
        <v/>
      </c>
      <c r="BC65" s="81">
        <f>IF(BC64="","",BC64+1)</f>
        <v>959</v>
      </c>
      <c r="BD65" s="82"/>
      <c r="BE65" s="82"/>
      <c r="BF65" s="83" t="str">
        <f>IF(AND(BD65&lt;&gt;"",BE65&lt;&gt;""),ROUND(BD65,3)+ROUND(BF64,3)-ROUND(BE65,3),IF(AND(EXACT(UPPER(BC65),"TBM"),BD65&lt;&gt;""),ROUND(BD65,3),IF(BD65="",BF64,IF(ISNA(VLOOKUP(BC65,A6:E105,5,FALSE)),IF(ISNA(VLOOKUP(BC65,G6:K105,5,FALSE)),IF(ISNA(VLOOKUP(BC65,M6:Q105,5,FALSE)),IF(ISNA(VLOOKUP(BC65,S6:W105,5,FALSE)),IF(ISNA(VLOOKUP(BC65,Y6:AC105,5,FALSE)),IF(ISNA(VLOOKUP(BC65,AE6:AI105,5,FALSE)),IF(ISNA(VLOOKUP(BC65,AK6:AO105,5,FALSE)),IF(ISNA(VLOOKUP(BC65,AQ6:AU105,5,FALSE)),IF(ISNA(VLOOKUP(BC65,AW6:BA105,5,FALSE)),IF(ISNA(VLOOKUP(BC65,BC6:BG64,5,FALSE)),"",ROUND(VLOOKUP(BC65,BC6:BG64,5,FALSE),0)/1000+ROUND(BD65,3)),ROUND(VLOOKUP(BC65,AW6:BA105,5,FALSE),0)/1000+ROUND(BD65,3)),ROUND(VLOOKUP(BC65,AQ6:AU105,5,FALSE),0)/1000+ROUND(BD65,3)),ROUND(VLOOKUP(BC65,AK6:AO105,5,FALSE),0)/1000+ROUND(BD65,3)),ROUND(VLOOKUP(BC65,AE6:AI105,5,FALSE),0)/1000+ROUND(BD65,3)),ROUND(VLOOKUP(BC65,Y6:AC105,5,FALSE),0)/1000+ROUND(BD65,3)),ROUND(VLOOKUP(BC65,S6:W105,5,FALSE),0)/1000+ROUND(BD65,3)),ROUND(VLOOKUP(BC65,M6:Q105,5,FALSE),0)/1000+ROUND(BD65,3)),ROUND(VLOOKUP(BC65,G6:K105,5,FALSE),0)/1000+ROUND(BD65,3)),ROUND(VLOOKUP(BC65,A6:E105,5,FALSE),0)/1000+ROUND(BD65,3)))))</f>
        <v/>
      </c>
      <c r="BG65" s="95" t="str">
        <f>IF(OR(NOT(EXACT(UPPER(BC65),"TBM")),BD65=""),IF(AND(BD65&lt;&gt;"",BE65="",BF65&lt;&gt;""),"",IF(AND(BD65="",BE65&lt;&gt;"",BF65&lt;&gt;""),ROUND(ROUND(BF65,3)-ROUND(BE65,3),3)*1000,IF(AND(BD65&lt;&gt;"",BE65&lt;&gt;"",BF65&lt;&gt;""),ROUND(ROUND(BF64,3)-ROUND(BE65,3),3)*1000,""))),"")</f>
        <v/>
      </c>
      <c r="BH65" s="85" t="str">
        <f>IF(AND(NOT(ISNA(VLOOKUP(BC65,A6:E105,5,FALSE))),BD65="",BE65&lt;&gt;""),ROUND((VLOOKUP(BC65,A6:E105,5,FALSE)-BG65)/1000,3),IF(AND(NOT(ISNA(VLOOKUP(BC65,G6:K105,5,FALSE))),BD65="",BE65&lt;&gt;""),ROUND((VLOOKUP(BC65,G6:K105,5,FALSE)-BG65)/1000,3),IF(AND(NOT(ISNA(VLOOKUP(BC65,M6:Q105,5,FALSE))),BD65="",BE65&lt;&gt;""),ROUND((VLOOKUP(BC65,M6:Q105,5,FALSE)-BG65)/1000,3),IF(AND(NOT(ISNA(VLOOKUP(BC65,S6:W105,5,FALSE))),BD65="",BE65&lt;&gt;""),ROUND((VLOOKUP(BC65,S6:W105,5,FALSE)-BG65)/1000,3),IF(AND(NOT(ISNA(VLOOKUP(BC65,Y6:AC105,5,FALSE))),BD65="",BE65&lt;&gt;""),ROUND((VLOOKUP(BC65,Y6:AC105,5,FALSE)-BG65)/1000,3),IF(AND(NOT(ISNA(VLOOKUP(BC65,AE6:AI105,5,FALSE))),BD65="",BE65&lt;&gt;""),ROUND((VLOOKUP(BC65,AE6:AI105,5,FALSE)-BG65)/1000,3),IF(AND(NOT(ISNA(VLOOKUP(BC65,AK6:AO105,5,FALSE))),BD65="",BE65&lt;&gt;""),ROUND((VLOOKUP(BC65,AK6:AO105,5,FALSE)-BG65)/1000,3),IF(AND(NOT(ISNA(VLOOKUP(BC65,AQ6:AU105,5,FALSE))),BD65="",BE65&lt;&gt;""),ROUND((VLOOKUP(BC65,AQ6:AU105,5,FALSE)-BG65)/1000,3),IF(AND(NOT(ISNA(VLOOKUP(BC65,AW6:BA105,5,FALSE))),BD65="",BE65&lt;&gt;""),ROUND((VLOOKUP(BC65,AW6:BA105,5,FALSE)-BG65)/1000,3),IF(AND(NOT(ISNA(VLOOKUP(BC65,BC6:BG64,5,FALSE))),BD65="",BE65&lt;&gt;""),ROUND((VLOOKUP(BC65,BC6:BG64,5,FALSE)-BG65)/1000,3),""))))))))))</f>
        <v/>
      </c>
    </row>
    <row r="66" spans="1:60" x14ac:dyDescent="0.25">
      <c r="A66" s="64">
        <f t="shared" si="3"/>
        <v>60</v>
      </c>
      <c r="B66" s="38"/>
      <c r="C66" s="38"/>
      <c r="D66" s="17" t="str">
        <f>IF(AND(B66&lt;&gt;"",C66&lt;&gt;""),ROUND(B66,3)+ROUND(D65,3)-ROUND(C66,3),IF(AND(EXACT(UPPER(A66),"TBM"),B66&lt;&gt;""),ROUND(B66,3),IF(B66="",D65,IF(ISNA(VLOOKUP(A66,A6:E65,5,FALSE)),"",ROUND(VLOOKUP(A66,A6:E65,5,FALSE),0)/1000+ROUND(B66,3)))))</f>
        <v/>
      </c>
      <c r="E66" s="65" t="str">
        <f t="shared" si="4"/>
        <v/>
      </c>
      <c r="F66" s="66" t="str">
        <f>IF(AND(NOT(ISNA(VLOOKUP(A66,A6:E65,5,FALSE))),B66="",C66&lt;&gt;""),ROUND((VLOOKUP(A66,A6:E65,5,FALSE)-E66)/1000,3),"")</f>
        <v/>
      </c>
      <c r="G66" s="64">
        <f t="shared" si="1"/>
        <v>160</v>
      </c>
      <c r="H66" s="38"/>
      <c r="I66" s="38"/>
      <c r="J66" s="17" t="str">
        <f>IF(AND(H66&lt;&gt;"",I66&lt;&gt;""),ROUND(H66,3)+ROUND(J65,3)-ROUND(I66,3),IF(AND(EXACT(UPPER(G66),"TBM"),H66&lt;&gt;""),ROUND(H66,3),IF(H66="",J65,IF(ISNA(VLOOKUP(G66,A6:E105,5,FALSE)),IF(ISNA(VLOOKUP(G66,G6:K65,5,FALSE)),"",ROUND(VLOOKUP(G66,G6:K65,5,FALSE),0)/1000+ROUND(H66,3)),ROUND(VLOOKUP(G66,A6:E105,5,FALSE),0)/1000+ROUND(H66,3)))))</f>
        <v/>
      </c>
      <c r="K66" s="18" t="str">
        <f t="shared" si="5"/>
        <v/>
      </c>
      <c r="L66" s="66" t="str">
        <f>IF(AND(NOT(ISNA(VLOOKUP(G66,A6:E105,5,FALSE))),H66="",I66&lt;&gt;""),ROUND((VLOOKUP(G66,A6:E105,5,FALSE)-K66)/1000,3),IF(AND(NOT(ISNA(VLOOKUP(G66,G6:K65,5,FALSE))),H66="",I66&lt;&gt;""),ROUND((VLOOKUP(G66,G6:K65,5,FALSE)-K66)/1000,3),""))</f>
        <v/>
      </c>
      <c r="M66" s="64">
        <f>IF(M65="","",M65+1)</f>
        <v>260</v>
      </c>
      <c r="N66" s="38"/>
      <c r="O66" s="38"/>
      <c r="P66" s="17" t="str">
        <f>IF(AND(N66&lt;&gt;"",O66&lt;&gt;""),ROUND(N66,3)+ROUND(P65,3)-ROUND(O66,3),IF(AND(EXACT(UPPER(M66),"TBM"),N66&lt;&gt;""),ROUND(N66,3),IF(N66="",P65,IF(ISNA(VLOOKUP(M66,A6:E105,5,FALSE)),IF(ISNA(VLOOKUP(M66,G6:K105,5,FALSE)),IF(ISNA(VLOOKUP(M66,M6:Q65,5,FALSE)),"",ROUND(VLOOKUP(M66,M6:Q65,5,FALSE),0)/1000+ROUND(N66,3)),ROUND(VLOOKUP(M66,G6:K105,5,FALSE),0)/1000+ROUND(N66,3)),ROUND(VLOOKUP(M66,A6:E105,5,FALSE),0)/1000+ROUND(N66,3)))))</f>
        <v/>
      </c>
      <c r="Q66" s="18" t="str">
        <f>IF(OR(NOT(EXACT(UPPER(M66),"TBM")),N66=""),IF(AND(N66&lt;&gt;"",O66="",P66&lt;&gt;""),"",IF(AND(N66="",O66&lt;&gt;"",P66&lt;&gt;""),ROUND(ROUND(P66,3)-ROUND(O66,3),3)*1000,IF(AND(N66&lt;&gt;"",O66&lt;&gt;"",P66&lt;&gt;""),ROUND(ROUND(P65,3)-ROUND(O66,3),3)*1000,""))),"")</f>
        <v/>
      </c>
      <c r="R66" s="66" t="str">
        <f>IF(AND(NOT(ISNA(VLOOKUP(M66,A6:E105,5,FALSE))),N66="",O66&lt;&gt;""),ROUND((VLOOKUP(M66,A6:E105,5,FALSE)-Q66)/1000,3),IF(AND(NOT(ISNA(VLOOKUP(M66,G6:K105,5,FALSE))),N66="",O66&lt;&gt;""),ROUND((VLOOKUP(M66,G6:K105,5,FALSE)-Q66)/1000,3),IF(AND(NOT(ISNA(VLOOKUP(M66,M6:Q65,5,FALSE))),N66="",O66&lt;&gt;""),ROUND((VLOOKUP(M66,M6:Q65,5,FALSE)-Q66)/1000,3),"")))</f>
        <v/>
      </c>
      <c r="S66" s="64">
        <f>IF(S65="","",S65+1)</f>
        <v>360</v>
      </c>
      <c r="T66" s="38"/>
      <c r="U66" s="38"/>
      <c r="V66" s="17" t="str">
        <f>IF(AND(T66&lt;&gt;"",U66&lt;&gt;""),ROUND(T66,3)+ROUND(V65,3)-ROUND(U66,3),IF(AND(EXACT(UPPER(S66),"TBM"),T66&lt;&gt;""),ROUND(T66,3),IF(T66="",V65,IF(ISNA(VLOOKUP(S66,A6:E105,5,FALSE)),IF(ISNA(VLOOKUP(S66,G6:K105,5,FALSE)),IF(ISNA(VLOOKUP(S66,M6:Q105,5,FALSE)),IF(ISNA(VLOOKUP(S66,S6:W65,5,FALSE)),"",ROUND(VLOOKUP(S66,S6:W65,5,FALSE),0)/1000+ROUND(T66,3)),ROUND(VLOOKUP(S66,M6:Q105,5,FALSE),0)/1000+ROUND(T66,3)),ROUND(VLOOKUP(S66,G6:K105,5,FALSE),0)/1000+ROUND(T66,3)),ROUND(VLOOKUP(S66,A6:E105,5,FALSE),0)/1000+ROUND(T66,3)))))</f>
        <v/>
      </c>
      <c r="W66" s="18" t="str">
        <f>IF(OR(NOT(EXACT(UPPER(S66),"TBM")),T66=""),IF(AND(T66&lt;&gt;"",U66="",V66&lt;&gt;""),"",IF(AND(T66="",U66&lt;&gt;"",V66&lt;&gt;""),ROUND(ROUND(V66,3)-ROUND(U66,3),3)*1000,IF(AND(T66&lt;&gt;"",U66&lt;&gt;"",V66&lt;&gt;""),ROUND(ROUND(V65,3)-ROUND(U66,3),3)*1000,""))),"")</f>
        <v/>
      </c>
      <c r="X66" s="66" t="str">
        <f>IF(AND(NOT(ISNA(VLOOKUP(S66,A6:E105,5,FALSE))),T66="",U66&lt;&gt;""),ROUND((VLOOKUP(S66,A6:E105,5,FALSE)-W66)/1000,3),IF(AND(NOT(ISNA(VLOOKUP(S66,G6:K105,5,FALSE))),T66="",U66&lt;&gt;""),ROUND((VLOOKUP(S66,G6:K105,5,FALSE)-W66)/1000,3),IF(AND(NOT(ISNA(VLOOKUP(S66,M6:Q105,5,FALSE))),T66="",U66&lt;&gt;""),ROUND((VLOOKUP(S66,M6:Q105,5,FALSE)-W66)/1000,3),IF(AND(NOT(ISNA(VLOOKUP(S66,S6:W65,5,FALSE))),T66="",U66&lt;&gt;""),ROUND((VLOOKUP(S66,S6:W65,5,FALSE)-W66)/1000,3),""))))</f>
        <v/>
      </c>
      <c r="Y66" s="64">
        <f>IF(Y65="","",Y65+1)</f>
        <v>460</v>
      </c>
      <c r="Z66" s="38"/>
      <c r="AA66" s="38"/>
      <c r="AB66" s="17" t="str">
        <f>IF(AND(Z66&lt;&gt;"",AA66&lt;&gt;""),ROUND(Z66,3)+ROUND(AB65,3)-ROUND(AA66,3),IF(AND(EXACT(UPPER(Y66),"TBM"),Z66&lt;&gt;""),ROUND(Z66,3),IF(Z66="",AB65,IF(ISNA(VLOOKUP(Y66,A6:E105,5,FALSE)),IF(ISNA(VLOOKUP(Y66,G6:K105,5,FALSE)),IF(ISNA(VLOOKUP(Y66,M6:Q105,5,FALSE)),IF(ISNA(VLOOKUP(Y66,S6:W105,5,FALSE)),IF(ISNA(VLOOKUP(Y66,Y6:AC65,5,FALSE)),"",ROUND(VLOOKUP(Y66,Y6:AC65,5,FALSE),0)/1000+ROUND(Z66,3)),ROUND(VLOOKUP(Y66,S6:W105,5,FALSE),0)/1000+ROUND(Z66,3)),ROUND(VLOOKUP(Y66,M6:Q105,5,FALSE),0)/1000+ROUND(Z66,3)),ROUND(VLOOKUP(Y66,G6:K105,5,FALSE),0)/1000+ROUND(Z66,3)),ROUND(VLOOKUP(Y66,A6:E105,5,FALSE),0)/1000+ROUND(Z66,3)))))</f>
        <v/>
      </c>
      <c r="AC66" s="18" t="str">
        <f>IF(OR(NOT(EXACT(UPPER(Y66),"TBM")),Z66=""),IF(AND(Z66&lt;&gt;"",AA66="",AB66&lt;&gt;""),"",IF(AND(Z66="",AA66&lt;&gt;"",AB66&lt;&gt;""),ROUND(ROUND(AB66,3)-ROUND(AA66,3),3)*1000,IF(AND(Z66&lt;&gt;"",AA66&lt;&gt;"",AB66&lt;&gt;""),ROUND(ROUND(AB65,3)-ROUND(AA66,3),3)*1000,""))),"")</f>
        <v/>
      </c>
      <c r="AD66" s="66" t="str">
        <f>IF(AND(NOT(ISNA(VLOOKUP(Y66,A6:E105,5,FALSE))),Z66="",AA66&lt;&gt;""),ROUND((VLOOKUP(Y66,A6:E105,5,FALSE)-AC66)/1000,3),IF(AND(NOT(ISNA(VLOOKUP(Y66,G6:K105,5,FALSE))),Z66="",AA66&lt;&gt;""),ROUND((VLOOKUP(Y66,G6:K105,5,FALSE)-AC66)/1000,3),IF(AND(NOT(ISNA(VLOOKUP(Y66,M6:Q105,5,FALSE))),Z66="",AA66&lt;&gt;""),ROUND((VLOOKUP(Y66,M6:Q105,5,FALSE)-AC66)/1000,3),IF(AND(NOT(ISNA(VLOOKUP(Y66,S6:W105,5,FALSE))),Z66="",AA66&lt;&gt;""),ROUND((VLOOKUP(Y66,S6:W105,5,FALSE)-AC66)/1000,3),IF(AND(NOT(ISNA(VLOOKUP(Y66,Y6:AC65,5,FALSE))),Z66="",AA66&lt;&gt;""),ROUND((VLOOKUP(Y66,Y6:AC65,5,FALSE)-AC66)/1000,3),"")))))</f>
        <v/>
      </c>
      <c r="AE66" s="64">
        <f>IF(AE65="","",AE65+1)</f>
        <v>560</v>
      </c>
      <c r="AF66" s="38"/>
      <c r="AG66" s="38"/>
      <c r="AH66" s="17" t="str">
        <f>IF(AND(AF66&lt;&gt;"",AG66&lt;&gt;""),ROUND(AF66,3)+ROUND(AH65,3)-ROUND(AG66,3),IF(AND(EXACT(UPPER(AE66),"TBM"),AF66&lt;&gt;""),ROUND(AF66,3),IF(AF66="",AH65,IF(ISNA(VLOOKUP(AE66,A6:E105,5,FALSE)),IF(ISNA(VLOOKUP(AE66,G6:K105,5,FALSE)),IF(ISNA(VLOOKUP(AE66,M6:Q105,5,FALSE)),IF(ISNA(VLOOKUP(AE66,S6:W105,5,FALSE)),IF(ISNA(VLOOKUP(AE66,Y6:AC105,5,FALSE)),IF(ISNA(VLOOKUP(AE66,AE6:AI65,5,FALSE)),"",ROUND(VLOOKUP(AE66,AE6:AI65,5,FALSE),0)/1000+ROUND(AF66,3)),ROUND(VLOOKUP(AE66,Y6:AC105,5,FALSE),0)/1000+ROUND(AF66,3)),ROUND(VLOOKUP(AE66,S6:W105,5,FALSE),0)/1000+ROUND(AF66,3)),ROUND(VLOOKUP(AE66,M6:Q105,5,FALSE),0)/1000+ROUND(AF66,3)),ROUND(VLOOKUP(AE66,G6:K105,5,FALSE),0)/1000+ROUND(AF66,3)),ROUND(VLOOKUP(AE66,A6:E105,5,FALSE),0)/1000+ROUND(AF66,3)))))</f>
        <v/>
      </c>
      <c r="AI66" s="18" t="str">
        <f>IF(OR(NOT(EXACT(UPPER(AE66),"TBM")),AF66=""),IF(AND(AF66&lt;&gt;"",AG66="",AH66&lt;&gt;""),"",IF(AND(AF66="",AG66&lt;&gt;"",AH66&lt;&gt;""),ROUND(ROUND(AH66,3)-ROUND(AG66,3),3)*1000,IF(AND(AF66&lt;&gt;"",AG66&lt;&gt;"",AH66&lt;&gt;""),ROUND(ROUND(AH65,3)-ROUND(AG66,3),3)*1000,""))),"")</f>
        <v/>
      </c>
      <c r="AJ66" s="66" t="str">
        <f>IF(AND(NOT(ISNA(VLOOKUP(AE66,A6:E105,5,FALSE))),AF66="",AG66&lt;&gt;""),ROUND((VLOOKUP(AE66,A6:E105,5,FALSE)-AI66)/1000,3),IF(AND(NOT(ISNA(VLOOKUP(AE66,G6:K105,5,FALSE))),AF66="",AG66&lt;&gt;""),ROUND((VLOOKUP(AE66,G6:K105,5,FALSE)-AI66)/1000,3),IF(AND(NOT(ISNA(VLOOKUP(AE66,M6:Q105,5,FALSE))),AF66="",AG66&lt;&gt;""),ROUND((VLOOKUP(AE66,M6:Q105,5,FALSE)-AI66)/1000,3),IF(AND(NOT(ISNA(VLOOKUP(AE66,S6:W105,5,FALSE))),AF66="",AG66&lt;&gt;""),ROUND((VLOOKUP(AE66,S6:W105,5,FALSE)-AI66)/1000,3),IF(AND(NOT(ISNA(VLOOKUP(AE66,Y6:AC105,5,FALSE))),AF66="",AG66&lt;&gt;""),ROUND((VLOOKUP(AE66,Y6:AC105,5,FALSE)-AI66)/1000,3),IF(AND(NOT(ISNA(VLOOKUP(AE66,AE6:AI65,5,FALSE))),AF66="",AG66&lt;&gt;""),ROUND((VLOOKUP(AE66,AE6:AI65,5,FALSE)-AI66)/1000,3),""))))))</f>
        <v/>
      </c>
      <c r="AK66" s="64">
        <f>IF(AK65="","",AK65+1)</f>
        <v>660</v>
      </c>
      <c r="AL66" s="38"/>
      <c r="AM66" s="38"/>
      <c r="AN66" s="17" t="str">
        <f>IF(AND(AL66&lt;&gt;"",AM66&lt;&gt;""),ROUND(AL66,3)+ROUND(AN65,3)-ROUND(AM66,3),IF(AND(EXACT(UPPER(AK66),"TBM"),AL66&lt;&gt;""),ROUND(AL66,3),IF(AL66="",AN65,IF(ISNA(VLOOKUP(AK66,A6:E105,5,FALSE)),IF(ISNA(VLOOKUP(AK66,G6:K105,5,FALSE)),IF(ISNA(VLOOKUP(AK66,M6:Q105,5,FALSE)),IF(ISNA(VLOOKUP(AK66,S6:W105,5,FALSE)),IF(ISNA(VLOOKUP(AK66,Y6:AC105,5,FALSE)),IF(ISNA(VLOOKUP(AK66,AE6:AI105,5,FALSE)),IF(ISNA(VLOOKUP(AK66,AK6:AO65,5,FALSE)),"",ROUND(VLOOKUP(AK66,AK6:AO65,5,FALSE),0)/1000+ROUND(AL66,3)),ROUND(VLOOKUP(AK66,AE6:AI105,5,FALSE),0)/1000+ROUND(AL66,3)),ROUND(VLOOKUP(AK66,Y6:AC105,5,FALSE),0)/1000+ROUND(AL66,3)),ROUND(VLOOKUP(AK66,S6:W105,5,FALSE),0)/1000+ROUND(AL66,3)),ROUND(VLOOKUP(AK66,M6:Q105,5,FALSE),0)/1000+ROUND(AL66,3)),ROUND(VLOOKUP(AK66,G6:K105,5,FALSE),0)/1000+ROUND(AL66,3)),ROUND(VLOOKUP(AK66,A6:E105,5,FALSE),0)/1000+ROUND(AL66,3)))))</f>
        <v/>
      </c>
      <c r="AO66" s="18" t="str">
        <f>IF(OR(NOT(EXACT(UPPER(AK66),"TBM")),AL66=""),IF(AND(AL66&lt;&gt;"",AM66="",AN66&lt;&gt;""),"",IF(AND(AL66="",AM66&lt;&gt;"",AN66&lt;&gt;""),ROUND(ROUND(AN66,3)-ROUND(AM66,3),3)*1000,IF(AND(AL66&lt;&gt;"",AM66&lt;&gt;"",AN66&lt;&gt;""),ROUND(ROUND(AN65,3)-ROUND(AM66,3),3)*1000,""))),"")</f>
        <v/>
      </c>
      <c r="AP66" s="66" t="str">
        <f>IF(AND(NOT(ISNA(VLOOKUP(AK66,A6:E105,5,FALSE))),AL66="",AM66&lt;&gt;""),ROUND((VLOOKUP(AK66,A6:E105,5,FALSE)-AO66)/1000,3),IF(AND(NOT(ISNA(VLOOKUP(AK66,G6:K105,5,FALSE))),AL66="",AM66&lt;&gt;""),ROUND((VLOOKUP(AK66,G6:K105,5,FALSE)-AO66)/1000,3),IF(AND(NOT(ISNA(VLOOKUP(AK66,M6:Q105,5,FALSE))),AL66="",AM66&lt;&gt;""),ROUND((VLOOKUP(AK66,M6:Q105,5,FALSE)-AO66)/1000,3),IF(AND(NOT(ISNA(VLOOKUP(AK66,S6:W105,5,FALSE))),AL66="",AM66&lt;&gt;""),ROUND((VLOOKUP(AK66,S6:W105,5,FALSE)-AO66)/1000,3),IF(AND(NOT(ISNA(VLOOKUP(AK66,Y6:AC105,5,FALSE))),AL66="",AM66&lt;&gt;""),ROUND((VLOOKUP(AK66,Y6:AC105,5,FALSE)-AO66)/1000,3),IF(AND(NOT(ISNA(VLOOKUP(AK66,AE6:AI105,5,FALSE))),AL66="",AM66&lt;&gt;""),ROUND((VLOOKUP(AK66,AE6:AI105,5,FALSE)-AO66)/1000,3),IF(AND(NOT(ISNA(VLOOKUP(AK66,AK6:AO65,5,FALSE))),AL66="",AM66&lt;&gt;""),ROUND((VLOOKUP(AK66,AK6:AO65,5,FALSE)-AO66)/1000,3),"")))))))</f>
        <v/>
      </c>
      <c r="AQ66" s="64">
        <f>IF(AQ65="","",AQ65+1)</f>
        <v>760</v>
      </c>
      <c r="AR66" s="38"/>
      <c r="AS66" s="38"/>
      <c r="AT66" s="17" t="str">
        <f>IF(AND(AR66&lt;&gt;"",AS66&lt;&gt;""),ROUND(AR66,3)+ROUND(AT65,3)-ROUND(AS66,3),IF(AND(EXACT(UPPER(AQ66),"TBM"),AR66&lt;&gt;""),ROUND(AR66,3),IF(AR66="",AT65,IF(ISNA(VLOOKUP(AQ66,A6:E105,5,FALSE)),IF(ISNA(VLOOKUP(AQ66,G6:K105,5,FALSE)),IF(ISNA(VLOOKUP(AQ66,M6:Q105,5,FALSE)),IF(ISNA(VLOOKUP(AQ66,S6:W105,5,FALSE)),IF(ISNA(VLOOKUP(AQ66,Y6:AC105,5,FALSE)),IF(ISNA(VLOOKUP(AQ66,AE6:AI105,5,FALSE)),IF(ISNA(VLOOKUP(AQ66,AK6:AO105,5,FALSE)),IF(ISNA(VLOOKUP(AQ66,AQ6:AU65,5,FALSE)),"",ROUND(VLOOKUP(AQ66,AQ6:AU65,5,FALSE),0)/1000+ROUND(AR66,3)),ROUND(VLOOKUP(AQ66,AK6:AO105,5,FALSE),0)/1000+ROUND(AR66,3)),ROUND(VLOOKUP(AQ66,AE6:AI105,5,FALSE),0)/1000+ROUND(AR66,3)),ROUND(VLOOKUP(AQ66,Y6:AC105,5,FALSE),0)/1000+ROUND(AR66,3)),ROUND(VLOOKUP(AQ66,S6:W105,5,FALSE),0)/1000+ROUND(AR66,3)),ROUND(VLOOKUP(AQ66,M6:Q105,5,FALSE),0)/1000+ROUND(AR66,3)),ROUND(VLOOKUP(AQ66,G6:K105,5,FALSE),0)/1000+ROUND(AR66,3)),ROUND(VLOOKUP(AQ66,A6:E105,5,FALSE),0)/1000+ROUND(AR66,3)))))</f>
        <v/>
      </c>
      <c r="AU66" s="18" t="str">
        <f>IF(OR(NOT(EXACT(UPPER(AQ66),"TBM")),AR66=""),IF(AND(AR66&lt;&gt;"",AS66="",AT66&lt;&gt;""),"",IF(AND(AR66="",AS66&lt;&gt;"",AT66&lt;&gt;""),ROUND(ROUND(AT66,3)-ROUND(AS66,3),3)*1000,IF(AND(AR66&lt;&gt;"",AS66&lt;&gt;"",AT66&lt;&gt;""),ROUND(ROUND(AT65,3)-ROUND(AS66,3),3)*1000,""))),"")</f>
        <v/>
      </c>
      <c r="AV66" s="66" t="str">
        <f>IF(AND(NOT(ISNA(VLOOKUP(AQ66,A6:E105,5,FALSE))),AR66="",AS66&lt;&gt;""),ROUND((VLOOKUP(AQ66,A6:E105,5,FALSE)-AU66)/1000,3),IF(AND(NOT(ISNA(VLOOKUP(AQ66,G6:K105,5,FALSE))),AR66="",AS66&lt;&gt;""),ROUND((VLOOKUP(AQ66,G6:K105,5,FALSE)-AU66)/1000,3),IF(AND(NOT(ISNA(VLOOKUP(AQ66,M6:Q105,5,FALSE))),AR66="",AS66&lt;&gt;""),ROUND((VLOOKUP(AQ66,M6:Q105,5,FALSE)-AU66)/1000,3),IF(AND(NOT(ISNA(VLOOKUP(AQ66,S6:W105,5,FALSE))),AR66="",AS66&lt;&gt;""),ROUND((VLOOKUP(AQ66,S6:W105,5,FALSE)-AU66)/1000,3),IF(AND(NOT(ISNA(VLOOKUP(AQ66,Y6:AC105,5,FALSE))),AR66="",AS66&lt;&gt;""),ROUND((VLOOKUP(AQ66,Y6:AC105,5,FALSE)-AU66)/1000,3),IF(AND(NOT(ISNA(VLOOKUP(AQ66,AE6:AI105,5,FALSE))),AR66="",AS66&lt;&gt;""),ROUND((VLOOKUP(AQ66,AE6:AI105,5,FALSE)-AU66)/1000,3),IF(AND(NOT(ISNA(VLOOKUP(AQ66,AK6:AO105,5,FALSE))),AR66="",AS66&lt;&gt;""),ROUND((VLOOKUP(AQ66,AK6:AO105,5,FALSE)-AU66)/1000,3),IF(AND(NOT(ISNA(VLOOKUP(AQ66,AQ6:AU65,5,FALSE))),AR66="",AS66&lt;&gt;""),ROUND((VLOOKUP(AQ66,AQ6:AU65,5,FALSE)-AU66)/1000,3),""))))))))</f>
        <v/>
      </c>
      <c r="AW66" s="64">
        <f>IF(AW65="","",AW65+1)</f>
        <v>860</v>
      </c>
      <c r="AX66" s="38"/>
      <c r="AY66" s="38"/>
      <c r="AZ66" s="17" t="str">
        <f>IF(AND(AX66&lt;&gt;"",AY66&lt;&gt;""),ROUND(AX66,3)+ROUND(AZ65,3)-ROUND(AY66,3),IF(AND(EXACT(UPPER(AW66),"TBM"),AX66&lt;&gt;""),ROUND(AX66,3),IF(AX66="",AZ65,IF(ISNA(VLOOKUP(AW66,A6:E105,5,FALSE)),IF(ISNA(VLOOKUP(AW66,G6:K105,5,FALSE)),IF(ISNA(VLOOKUP(AW66,M6:Q105,5,FALSE)),IF(ISNA(VLOOKUP(AW66,S6:W105,5,FALSE)),IF(ISNA(VLOOKUP(AW66,Y6:AC105,5,FALSE)),IF(ISNA(VLOOKUP(AW66,AE6:AI105,5,FALSE)),IF(ISNA(VLOOKUP(AW66,AK6:AO105,5,FALSE)),IF(ISNA(VLOOKUP(AW66,AQ6:AU105,5,FALSE)),IF(ISNA(VLOOKUP(AW66,AW6:BA65,5,FALSE)),"",ROUND(VLOOKUP(AW66,AW6:BA65,5,FALSE),0)/1000+ROUND(AX66,3)),ROUND(VLOOKUP(AW66,AQ6:AU105,5,FALSE),0)/1000+ROUND(AX66,3)),ROUND(VLOOKUP(AW66,AK6:AO105,5,FALSE),0)/1000+ROUND(AX66,3)),ROUND(VLOOKUP(AW66,AE6:AI105,5,FALSE),0)/1000+ROUND(AX66,3)),ROUND(VLOOKUP(AW66,Y6:AC105,5,FALSE),0)/1000+ROUND(AX66,3)),ROUND(VLOOKUP(AW66,S6:W105,5,FALSE),0)/1000+ROUND(AX66,3)),ROUND(VLOOKUP(AW66,M6:Q105,5,FALSE),0)/1000+ROUND(AX66,3)),ROUND(VLOOKUP(AW66,G6:K105,5,FALSE),0)/1000+ROUND(AX66,3)),ROUND(VLOOKUP(AW66,A6:E105,5,FALSE),0)/1000+ROUND(AX66,3)))))</f>
        <v/>
      </c>
      <c r="BA66" s="18" t="str">
        <f>IF(OR(NOT(EXACT(UPPER(AW66),"TBM")),AX66=""),IF(AND(AX66&lt;&gt;"",AY66="",AZ66&lt;&gt;""),"",IF(AND(AX66="",AY66&lt;&gt;"",AZ66&lt;&gt;""),ROUND(ROUND(AZ66,3)-ROUND(AY66,3),3)*1000,IF(AND(AX66&lt;&gt;"",AY66&lt;&gt;"",AZ66&lt;&gt;""),ROUND(ROUND(AZ65,3)-ROUND(AY66,3),3)*1000,""))),"")</f>
        <v/>
      </c>
      <c r="BB66" s="66" t="str">
        <f>IF(AND(NOT(ISNA(VLOOKUP(AW66,A6:E105,5,FALSE))),AX66="",AY66&lt;&gt;""),ROUND((VLOOKUP(AW66,A6:E105,5,FALSE)-BA66)/1000,3),IF(AND(NOT(ISNA(VLOOKUP(AW66,G6:K105,5,FALSE))),AX66="",AY66&lt;&gt;""),ROUND((VLOOKUP(AW66,G6:K105,5,FALSE)-BA66)/1000,3),IF(AND(NOT(ISNA(VLOOKUP(AW66,M6:Q105,5,FALSE))),AX66="",AY66&lt;&gt;""),ROUND((VLOOKUP(AW66,M6:Q105,5,FALSE)-BA66)/1000,3),IF(AND(NOT(ISNA(VLOOKUP(AW66,S6:W105,5,FALSE))),AX66="",AY66&lt;&gt;""),ROUND((VLOOKUP(AW66,S6:W105,5,FALSE)-BA66)/1000,3),IF(AND(NOT(ISNA(VLOOKUP(AW66,Y6:AC105,5,FALSE))),AX66="",AY66&lt;&gt;""),ROUND((VLOOKUP(AW66,Y6:AC105,5,FALSE)-BA66)/1000,3),IF(AND(NOT(ISNA(VLOOKUP(AW66,AE6:AI105,5,FALSE))),AX66="",AY66&lt;&gt;""),ROUND((VLOOKUP(AW66,AE6:AI105,5,FALSE)-BA66)/1000,3),IF(AND(NOT(ISNA(VLOOKUP(AW66,AK6:AO105,5,FALSE))),AX66="",AY66&lt;&gt;""),ROUND((VLOOKUP(AW66,AK6:AO105,5,FALSE)-BA66)/1000,3),IF(AND(NOT(ISNA(VLOOKUP(AW66,AQ6:AU105,5,FALSE))),AX66="",AY66&lt;&gt;""),ROUND((VLOOKUP(AW66,AQ6:AU105,5,FALSE)-BA66)/1000,3),IF(AND(NOT(ISNA(VLOOKUP(AW66,AW6:BA65,5,FALSE))),AX66="",AY66&lt;&gt;""),ROUND((VLOOKUP(AW66,AW6:BA65,5,FALSE)-BA66)/1000,3),"")))))))))</f>
        <v/>
      </c>
      <c r="BC66" s="64">
        <f>IF(BC65="","",BC65+1)</f>
        <v>960</v>
      </c>
      <c r="BD66" s="38"/>
      <c r="BE66" s="38"/>
      <c r="BF66" s="17" t="str">
        <f>IF(AND(BD66&lt;&gt;"",BE66&lt;&gt;""),ROUND(BD66,3)+ROUND(BF65,3)-ROUND(BE66,3),IF(AND(EXACT(UPPER(BC66),"TBM"),BD66&lt;&gt;""),ROUND(BD66,3),IF(BD66="",BF65,IF(ISNA(VLOOKUP(BC66,A6:E105,5,FALSE)),IF(ISNA(VLOOKUP(BC66,G6:K105,5,FALSE)),IF(ISNA(VLOOKUP(BC66,M6:Q105,5,FALSE)),IF(ISNA(VLOOKUP(BC66,S6:W105,5,FALSE)),IF(ISNA(VLOOKUP(BC66,Y6:AC105,5,FALSE)),IF(ISNA(VLOOKUP(BC66,AE6:AI105,5,FALSE)),IF(ISNA(VLOOKUP(BC66,AK6:AO105,5,FALSE)),IF(ISNA(VLOOKUP(BC66,AQ6:AU105,5,FALSE)),IF(ISNA(VLOOKUP(BC66,AW6:BA105,5,FALSE)),IF(ISNA(VLOOKUP(BC66,BC6:BG65,5,FALSE)),"",ROUND(VLOOKUP(BC66,BC6:BG65,5,FALSE),0)/1000+ROUND(BD66,3)),ROUND(VLOOKUP(BC66,AW6:BA105,5,FALSE),0)/1000+ROUND(BD66,3)),ROUND(VLOOKUP(BC66,AQ6:AU105,5,FALSE),0)/1000+ROUND(BD66,3)),ROUND(VLOOKUP(BC66,AK6:AO105,5,FALSE),0)/1000+ROUND(BD66,3)),ROUND(VLOOKUP(BC66,AE6:AI105,5,FALSE),0)/1000+ROUND(BD66,3)),ROUND(VLOOKUP(BC66,Y6:AC105,5,FALSE),0)/1000+ROUND(BD66,3)),ROUND(VLOOKUP(BC66,S6:W105,5,FALSE),0)/1000+ROUND(BD66,3)),ROUND(VLOOKUP(BC66,M6:Q105,5,FALSE),0)/1000+ROUND(BD66,3)),ROUND(VLOOKUP(BC66,G6:K105,5,FALSE),0)/1000+ROUND(BD66,3)),ROUND(VLOOKUP(BC66,A6:E105,5,FALSE),0)/1000+ROUND(BD66,3)))))</f>
        <v/>
      </c>
      <c r="BG66" s="18" t="str">
        <f>IF(OR(NOT(EXACT(UPPER(BC66),"TBM")),BD66=""),IF(AND(BD66&lt;&gt;"",BE66="",BF66&lt;&gt;""),"",IF(AND(BD66="",BE66&lt;&gt;"",BF66&lt;&gt;""),ROUND(ROUND(BF66,3)-ROUND(BE66,3),3)*1000,IF(AND(BD66&lt;&gt;"",BE66&lt;&gt;"",BF66&lt;&gt;""),ROUND(ROUND(BF65,3)-ROUND(BE66,3),3)*1000,""))),"")</f>
        <v/>
      </c>
      <c r="BH66" s="66" t="str">
        <f>IF(AND(NOT(ISNA(VLOOKUP(BC66,A6:E105,5,FALSE))),BD66="",BE66&lt;&gt;""),ROUND((VLOOKUP(BC66,A6:E105,5,FALSE)-BG66)/1000,3),IF(AND(NOT(ISNA(VLOOKUP(BC66,G6:K105,5,FALSE))),BD66="",BE66&lt;&gt;""),ROUND((VLOOKUP(BC66,G6:K105,5,FALSE)-BG66)/1000,3),IF(AND(NOT(ISNA(VLOOKUP(BC66,M6:Q105,5,FALSE))),BD66="",BE66&lt;&gt;""),ROUND((VLOOKUP(BC66,M6:Q105,5,FALSE)-BG66)/1000,3),IF(AND(NOT(ISNA(VLOOKUP(BC66,S6:W105,5,FALSE))),BD66="",BE66&lt;&gt;""),ROUND((VLOOKUP(BC66,S6:W105,5,FALSE)-BG66)/1000,3),IF(AND(NOT(ISNA(VLOOKUP(BC66,Y6:AC105,5,FALSE))),BD66="",BE66&lt;&gt;""),ROUND((VLOOKUP(BC66,Y6:AC105,5,FALSE)-BG66)/1000,3),IF(AND(NOT(ISNA(VLOOKUP(BC66,AE6:AI105,5,FALSE))),BD66="",BE66&lt;&gt;""),ROUND((VLOOKUP(BC66,AE6:AI105,5,FALSE)-BG66)/1000,3),IF(AND(NOT(ISNA(VLOOKUP(BC66,AK6:AO105,5,FALSE))),BD66="",BE66&lt;&gt;""),ROUND((VLOOKUP(BC66,AK6:AO105,5,FALSE)-BG66)/1000,3),IF(AND(NOT(ISNA(VLOOKUP(BC66,AQ6:AU105,5,FALSE))),BD66="",BE66&lt;&gt;""),ROUND((VLOOKUP(BC66,AQ6:AU105,5,FALSE)-BG66)/1000,3),IF(AND(NOT(ISNA(VLOOKUP(BC66,AW6:BA105,5,FALSE))),BD66="",BE66&lt;&gt;""),ROUND((VLOOKUP(BC66,AW6:BA105,5,FALSE)-BG66)/1000,3),IF(AND(NOT(ISNA(VLOOKUP(BC66,BC6:BG65,5,FALSE))),BD66="",BE66&lt;&gt;""),ROUND((VLOOKUP(BC66,BC6:BG65,5,FALSE)-BG66)/1000,3),""))))))))))</f>
        <v/>
      </c>
    </row>
    <row r="67" spans="1:60" x14ac:dyDescent="0.25">
      <c r="A67" s="19">
        <f t="shared" si="3"/>
        <v>61</v>
      </c>
      <c r="B67" s="39"/>
      <c r="C67" s="39"/>
      <c r="D67" s="15" t="str">
        <f>IF(AND(B67&lt;&gt;"",C67&lt;&gt;""),ROUND(B67,3)+ROUND(D66,3)-ROUND(C67,3),IF(AND(EXACT(UPPER(A67),"TBM"),B67&lt;&gt;""),ROUND(B67,3),IF(B67="",D66,IF(ISNA(VLOOKUP(A67,A6:E66,5,FALSE)),"",ROUND(VLOOKUP(A67,A6:E66,5,FALSE),0)/1000+ROUND(B67,3)))))</f>
        <v/>
      </c>
      <c r="E67" s="21" t="str">
        <f t="shared" si="4"/>
        <v/>
      </c>
      <c r="F67" s="45" t="str">
        <f>IF(AND(NOT(ISNA(VLOOKUP(A67,A6:E66,5,FALSE))),B67="",C67&lt;&gt;""),ROUND((VLOOKUP(A67,A6:E66,5,FALSE)-E67)/1000,3),"")</f>
        <v/>
      </c>
      <c r="G67" s="19">
        <f t="shared" si="1"/>
        <v>161</v>
      </c>
      <c r="H67" s="39"/>
      <c r="I67" s="39"/>
      <c r="J67" s="15" t="str">
        <f>IF(AND(H67&lt;&gt;"",I67&lt;&gt;""),ROUND(H67,3)+ROUND(J66,3)-ROUND(I67,3),IF(AND(EXACT(UPPER(G67),"TBM"),H67&lt;&gt;""),ROUND(H67,3),IF(H67="",J66,IF(ISNA(VLOOKUP(G67,A6:E105,5,FALSE)),IF(ISNA(VLOOKUP(G67,G6:K66,5,FALSE)),"",ROUND(VLOOKUP(G67,G6:K66,5,FALSE),0)/1000+ROUND(H67,3)),ROUND(VLOOKUP(G67,A6:E105,5,FALSE),0)/1000+ROUND(H67,3)))))</f>
        <v/>
      </c>
      <c r="K67" s="18" t="str">
        <f t="shared" si="5"/>
        <v/>
      </c>
      <c r="L67" s="45" t="str">
        <f>IF(AND(NOT(ISNA(VLOOKUP(G67,A6:E105,5,FALSE))),H67="",I67&lt;&gt;""),ROUND((VLOOKUP(G67,A6:E105,5,FALSE)-K67)/1000,3),IF(AND(NOT(ISNA(VLOOKUP(G67,G6:K66,5,FALSE))),H67="",I67&lt;&gt;""),ROUND((VLOOKUP(G67,G6:K66,5,FALSE)-K67)/1000,3),""))</f>
        <v/>
      </c>
      <c r="M67" s="19">
        <f>IF(M66="","",M66+1)</f>
        <v>261</v>
      </c>
      <c r="N67" s="39"/>
      <c r="O67" s="39"/>
      <c r="P67" s="15" t="str">
        <f>IF(AND(N67&lt;&gt;"",O67&lt;&gt;""),ROUND(N67,3)+ROUND(P66,3)-ROUND(O67,3),IF(AND(EXACT(UPPER(M67),"TBM"),N67&lt;&gt;""),ROUND(N67,3),IF(N67="",P66,IF(ISNA(VLOOKUP(M67,A6:E105,5,FALSE)),IF(ISNA(VLOOKUP(M67,G6:K105,5,FALSE)),IF(ISNA(VLOOKUP(M67,M6:Q66,5,FALSE)),"",ROUND(VLOOKUP(M67,M6:Q66,5,FALSE),0)/1000+ROUND(N67,3)),ROUND(VLOOKUP(M67,G6:K105,5,FALSE),0)/1000+ROUND(N67,3)),ROUND(VLOOKUP(M67,A6:E105,5,FALSE),0)/1000+ROUND(N67,3)))))</f>
        <v/>
      </c>
      <c r="Q67" s="18" t="str">
        <f>IF(OR(NOT(EXACT(UPPER(M67),"TBM")),N67=""),IF(AND(N67&lt;&gt;"",O67="",P67&lt;&gt;""),"",IF(AND(N67="",O67&lt;&gt;"",P67&lt;&gt;""),ROUND(ROUND(P67,3)-ROUND(O67,3),3)*1000,IF(AND(N67&lt;&gt;"",O67&lt;&gt;"",P67&lt;&gt;""),ROUND(ROUND(P66,3)-ROUND(O67,3),3)*1000,""))),"")</f>
        <v/>
      </c>
      <c r="R67" s="45" t="str">
        <f>IF(AND(NOT(ISNA(VLOOKUP(M67,A6:E105,5,FALSE))),N67="",O67&lt;&gt;""),ROUND((VLOOKUP(M67,A6:E105,5,FALSE)-Q67)/1000,3),IF(AND(NOT(ISNA(VLOOKUP(M67,G6:K105,5,FALSE))),N67="",O67&lt;&gt;""),ROUND((VLOOKUP(M67,G6:K105,5,FALSE)-Q67)/1000,3),IF(AND(NOT(ISNA(VLOOKUP(M67,M6:Q66,5,FALSE))),N67="",O67&lt;&gt;""),ROUND((VLOOKUP(M67,M6:Q66,5,FALSE)-Q67)/1000,3),"")))</f>
        <v/>
      </c>
      <c r="S67" s="19">
        <f>IF(S66="","",S66+1)</f>
        <v>361</v>
      </c>
      <c r="T67" s="39"/>
      <c r="U67" s="39"/>
      <c r="V67" s="15" t="str">
        <f>IF(AND(T67&lt;&gt;"",U67&lt;&gt;""),ROUND(T67,3)+ROUND(V66,3)-ROUND(U67,3),IF(AND(EXACT(UPPER(S67),"TBM"),T67&lt;&gt;""),ROUND(T67,3),IF(T67="",V66,IF(ISNA(VLOOKUP(S67,A6:E105,5,FALSE)),IF(ISNA(VLOOKUP(S67,G6:K105,5,FALSE)),IF(ISNA(VLOOKUP(S67,M6:Q105,5,FALSE)),IF(ISNA(VLOOKUP(S67,S6:W66,5,FALSE)),"",ROUND(VLOOKUP(S67,S6:W66,5,FALSE),0)/1000+ROUND(T67,3)),ROUND(VLOOKUP(S67,M6:Q105,5,FALSE),0)/1000+ROUND(T67,3)),ROUND(VLOOKUP(S67,G6:K105,5,FALSE),0)/1000+ROUND(T67,3)),ROUND(VLOOKUP(S67,A6:E105,5,FALSE),0)/1000+ROUND(T67,3)))))</f>
        <v/>
      </c>
      <c r="W67" s="18" t="str">
        <f>IF(OR(NOT(EXACT(UPPER(S67),"TBM")),T67=""),IF(AND(T67&lt;&gt;"",U67="",V67&lt;&gt;""),"",IF(AND(T67="",U67&lt;&gt;"",V67&lt;&gt;""),ROUND(ROUND(V67,3)-ROUND(U67,3),3)*1000,IF(AND(T67&lt;&gt;"",U67&lt;&gt;"",V67&lt;&gt;""),ROUND(ROUND(V66,3)-ROUND(U67,3),3)*1000,""))),"")</f>
        <v/>
      </c>
      <c r="X67" s="45" t="str">
        <f>IF(AND(NOT(ISNA(VLOOKUP(S67,A6:E105,5,FALSE))),T67="",U67&lt;&gt;""),ROUND((VLOOKUP(S67,A6:E105,5,FALSE)-W67)/1000,3),IF(AND(NOT(ISNA(VLOOKUP(S67,G6:K105,5,FALSE))),T67="",U67&lt;&gt;""),ROUND((VLOOKUP(S67,G6:K105,5,FALSE)-W67)/1000,3),IF(AND(NOT(ISNA(VLOOKUP(S67,M6:Q105,5,FALSE))),T67="",U67&lt;&gt;""),ROUND((VLOOKUP(S67,M6:Q105,5,FALSE)-W67)/1000,3),IF(AND(NOT(ISNA(VLOOKUP(S67,S6:W66,5,FALSE))),T67="",U67&lt;&gt;""),ROUND((VLOOKUP(S67,S6:W66,5,FALSE)-W67)/1000,3),""))))</f>
        <v/>
      </c>
      <c r="Y67" s="19">
        <f>IF(Y66="","",Y66+1)</f>
        <v>461</v>
      </c>
      <c r="Z67" s="39"/>
      <c r="AA67" s="39"/>
      <c r="AB67" s="15" t="str">
        <f>IF(AND(Z67&lt;&gt;"",AA67&lt;&gt;""),ROUND(Z67,3)+ROUND(AB66,3)-ROUND(AA67,3),IF(AND(EXACT(UPPER(Y67),"TBM"),Z67&lt;&gt;""),ROUND(Z67,3),IF(Z67="",AB66,IF(ISNA(VLOOKUP(Y67,A6:E105,5,FALSE)),IF(ISNA(VLOOKUP(Y67,G6:K105,5,FALSE)),IF(ISNA(VLOOKUP(Y67,M6:Q105,5,FALSE)),IF(ISNA(VLOOKUP(Y67,S6:W105,5,FALSE)),IF(ISNA(VLOOKUP(Y67,Y6:AC66,5,FALSE)),"",ROUND(VLOOKUP(Y67,Y6:AC66,5,FALSE),0)/1000+ROUND(Z67,3)),ROUND(VLOOKUP(Y67,S6:W105,5,FALSE),0)/1000+ROUND(Z67,3)),ROUND(VLOOKUP(Y67,M6:Q105,5,FALSE),0)/1000+ROUND(Z67,3)),ROUND(VLOOKUP(Y67,G6:K105,5,FALSE),0)/1000+ROUND(Z67,3)),ROUND(VLOOKUP(Y67,A6:E105,5,FALSE),0)/1000+ROUND(Z67,3)))))</f>
        <v/>
      </c>
      <c r="AC67" s="18" t="str">
        <f>IF(OR(NOT(EXACT(UPPER(Y67),"TBM")),Z67=""),IF(AND(Z67&lt;&gt;"",AA67="",AB67&lt;&gt;""),"",IF(AND(Z67="",AA67&lt;&gt;"",AB67&lt;&gt;""),ROUND(ROUND(AB67,3)-ROUND(AA67,3),3)*1000,IF(AND(Z67&lt;&gt;"",AA67&lt;&gt;"",AB67&lt;&gt;""),ROUND(ROUND(AB66,3)-ROUND(AA67,3),3)*1000,""))),"")</f>
        <v/>
      </c>
      <c r="AD67" s="45" t="str">
        <f>IF(AND(NOT(ISNA(VLOOKUP(Y67,A6:E105,5,FALSE))),Z67="",AA67&lt;&gt;""),ROUND((VLOOKUP(Y67,A6:E105,5,FALSE)-AC67)/1000,3),IF(AND(NOT(ISNA(VLOOKUP(Y67,G6:K105,5,FALSE))),Z67="",AA67&lt;&gt;""),ROUND((VLOOKUP(Y67,G6:K105,5,FALSE)-AC67)/1000,3),IF(AND(NOT(ISNA(VLOOKUP(Y67,M6:Q105,5,FALSE))),Z67="",AA67&lt;&gt;""),ROUND((VLOOKUP(Y67,M6:Q105,5,FALSE)-AC67)/1000,3),IF(AND(NOT(ISNA(VLOOKUP(Y67,S6:W105,5,FALSE))),Z67="",AA67&lt;&gt;""),ROUND((VLOOKUP(Y67,S6:W105,5,FALSE)-AC67)/1000,3),IF(AND(NOT(ISNA(VLOOKUP(Y67,Y6:AC66,5,FALSE))),Z67="",AA67&lt;&gt;""),ROUND((VLOOKUP(Y67,Y6:AC66,5,FALSE)-AC67)/1000,3),"")))))</f>
        <v/>
      </c>
      <c r="AE67" s="19">
        <f>IF(AE66="","",AE66+1)</f>
        <v>561</v>
      </c>
      <c r="AF67" s="39"/>
      <c r="AG67" s="39"/>
      <c r="AH67" s="15" t="str">
        <f>IF(AND(AF67&lt;&gt;"",AG67&lt;&gt;""),ROUND(AF67,3)+ROUND(AH66,3)-ROUND(AG67,3),IF(AND(EXACT(UPPER(AE67),"TBM"),AF67&lt;&gt;""),ROUND(AF67,3),IF(AF67="",AH66,IF(ISNA(VLOOKUP(AE67,A6:E105,5,FALSE)),IF(ISNA(VLOOKUP(AE67,G6:K105,5,FALSE)),IF(ISNA(VLOOKUP(AE67,M6:Q105,5,FALSE)),IF(ISNA(VLOOKUP(AE67,S6:W105,5,FALSE)),IF(ISNA(VLOOKUP(AE67,Y6:AC105,5,FALSE)),IF(ISNA(VLOOKUP(AE67,AE6:AI66,5,FALSE)),"",ROUND(VLOOKUP(AE67,AE6:AI66,5,FALSE),0)/1000+ROUND(AF67,3)),ROUND(VLOOKUP(AE67,Y6:AC105,5,FALSE),0)/1000+ROUND(AF67,3)),ROUND(VLOOKUP(AE67,S6:W105,5,FALSE),0)/1000+ROUND(AF67,3)),ROUND(VLOOKUP(AE67,M6:Q105,5,FALSE),0)/1000+ROUND(AF67,3)),ROUND(VLOOKUP(AE67,G6:K105,5,FALSE),0)/1000+ROUND(AF67,3)),ROUND(VLOOKUP(AE67,A6:E105,5,FALSE),0)/1000+ROUND(AF67,3)))))</f>
        <v/>
      </c>
      <c r="AI67" s="18" t="str">
        <f>IF(OR(NOT(EXACT(UPPER(AE67),"TBM")),AF67=""),IF(AND(AF67&lt;&gt;"",AG67="",AH67&lt;&gt;""),"",IF(AND(AF67="",AG67&lt;&gt;"",AH67&lt;&gt;""),ROUND(ROUND(AH67,3)-ROUND(AG67,3),3)*1000,IF(AND(AF67&lt;&gt;"",AG67&lt;&gt;"",AH67&lt;&gt;""),ROUND(ROUND(AH66,3)-ROUND(AG67,3),3)*1000,""))),"")</f>
        <v/>
      </c>
      <c r="AJ67" s="45" t="str">
        <f>IF(AND(NOT(ISNA(VLOOKUP(AE67,A6:E105,5,FALSE))),AF67="",AG67&lt;&gt;""),ROUND((VLOOKUP(AE67,A6:E105,5,FALSE)-AI67)/1000,3),IF(AND(NOT(ISNA(VLOOKUP(AE67,G6:K105,5,FALSE))),AF67="",AG67&lt;&gt;""),ROUND((VLOOKUP(AE67,G6:K105,5,FALSE)-AI67)/1000,3),IF(AND(NOT(ISNA(VLOOKUP(AE67,M6:Q105,5,FALSE))),AF67="",AG67&lt;&gt;""),ROUND((VLOOKUP(AE67,M6:Q105,5,FALSE)-AI67)/1000,3),IF(AND(NOT(ISNA(VLOOKUP(AE67,S6:W105,5,FALSE))),AF67="",AG67&lt;&gt;""),ROUND((VLOOKUP(AE67,S6:W105,5,FALSE)-AI67)/1000,3),IF(AND(NOT(ISNA(VLOOKUP(AE67,Y6:AC105,5,FALSE))),AF67="",AG67&lt;&gt;""),ROUND((VLOOKUP(AE67,Y6:AC105,5,FALSE)-AI67)/1000,3),IF(AND(NOT(ISNA(VLOOKUP(AE67,AE6:AI66,5,FALSE))),AF67="",AG67&lt;&gt;""),ROUND((VLOOKUP(AE67,AE6:AI66,5,FALSE)-AI67)/1000,3),""))))))</f>
        <v/>
      </c>
      <c r="AK67" s="19">
        <f>IF(AK66="","",AK66+1)</f>
        <v>661</v>
      </c>
      <c r="AL67" s="39"/>
      <c r="AM67" s="39"/>
      <c r="AN67" s="15" t="str">
        <f>IF(AND(AL67&lt;&gt;"",AM67&lt;&gt;""),ROUND(AL67,3)+ROUND(AN66,3)-ROUND(AM67,3),IF(AND(EXACT(UPPER(AK67),"TBM"),AL67&lt;&gt;""),ROUND(AL67,3),IF(AL67="",AN66,IF(ISNA(VLOOKUP(AK67,A6:E105,5,FALSE)),IF(ISNA(VLOOKUP(AK67,G6:K105,5,FALSE)),IF(ISNA(VLOOKUP(AK67,M6:Q105,5,FALSE)),IF(ISNA(VLOOKUP(AK67,S6:W105,5,FALSE)),IF(ISNA(VLOOKUP(AK67,Y6:AC105,5,FALSE)),IF(ISNA(VLOOKUP(AK67,AE6:AI105,5,FALSE)),IF(ISNA(VLOOKUP(AK67,AK6:AO66,5,FALSE)),"",ROUND(VLOOKUP(AK67,AK6:AO66,5,FALSE),0)/1000+ROUND(AL67,3)),ROUND(VLOOKUP(AK67,AE6:AI105,5,FALSE),0)/1000+ROUND(AL67,3)),ROUND(VLOOKUP(AK67,Y6:AC105,5,FALSE),0)/1000+ROUND(AL67,3)),ROUND(VLOOKUP(AK67,S6:W105,5,FALSE),0)/1000+ROUND(AL67,3)),ROUND(VLOOKUP(AK67,M6:Q105,5,FALSE),0)/1000+ROUND(AL67,3)),ROUND(VLOOKUP(AK67,G6:K105,5,FALSE),0)/1000+ROUND(AL67,3)),ROUND(VLOOKUP(AK67,A6:E105,5,FALSE),0)/1000+ROUND(AL67,3)))))</f>
        <v/>
      </c>
      <c r="AO67" s="18" t="str">
        <f>IF(OR(NOT(EXACT(UPPER(AK67),"TBM")),AL67=""),IF(AND(AL67&lt;&gt;"",AM67="",AN67&lt;&gt;""),"",IF(AND(AL67="",AM67&lt;&gt;"",AN67&lt;&gt;""),ROUND(ROUND(AN67,3)-ROUND(AM67,3),3)*1000,IF(AND(AL67&lt;&gt;"",AM67&lt;&gt;"",AN67&lt;&gt;""),ROUND(ROUND(AN66,3)-ROUND(AM67,3),3)*1000,""))),"")</f>
        <v/>
      </c>
      <c r="AP67" s="45" t="str">
        <f>IF(AND(NOT(ISNA(VLOOKUP(AK67,A6:E105,5,FALSE))),AL67="",AM67&lt;&gt;""),ROUND((VLOOKUP(AK67,A6:E105,5,FALSE)-AO67)/1000,3),IF(AND(NOT(ISNA(VLOOKUP(AK67,G6:K105,5,FALSE))),AL67="",AM67&lt;&gt;""),ROUND((VLOOKUP(AK67,G6:K105,5,FALSE)-AO67)/1000,3),IF(AND(NOT(ISNA(VLOOKUP(AK67,M6:Q105,5,FALSE))),AL67="",AM67&lt;&gt;""),ROUND((VLOOKUP(AK67,M6:Q105,5,FALSE)-AO67)/1000,3),IF(AND(NOT(ISNA(VLOOKUP(AK67,S6:W105,5,FALSE))),AL67="",AM67&lt;&gt;""),ROUND((VLOOKUP(AK67,S6:W105,5,FALSE)-AO67)/1000,3),IF(AND(NOT(ISNA(VLOOKUP(AK67,Y6:AC105,5,FALSE))),AL67="",AM67&lt;&gt;""),ROUND((VLOOKUP(AK67,Y6:AC105,5,FALSE)-AO67)/1000,3),IF(AND(NOT(ISNA(VLOOKUP(AK67,AE6:AI105,5,FALSE))),AL67="",AM67&lt;&gt;""),ROUND((VLOOKUP(AK67,AE6:AI105,5,FALSE)-AO67)/1000,3),IF(AND(NOT(ISNA(VLOOKUP(AK67,AK6:AO66,5,FALSE))),AL67="",AM67&lt;&gt;""),ROUND((VLOOKUP(AK67,AK6:AO66,5,FALSE)-AO67)/1000,3),"")))))))</f>
        <v/>
      </c>
      <c r="AQ67" s="19">
        <f>IF(AQ66="","",AQ66+1)</f>
        <v>761</v>
      </c>
      <c r="AR67" s="39"/>
      <c r="AS67" s="39"/>
      <c r="AT67" s="15" t="str">
        <f>IF(AND(AR67&lt;&gt;"",AS67&lt;&gt;""),ROUND(AR67,3)+ROUND(AT66,3)-ROUND(AS67,3),IF(AND(EXACT(UPPER(AQ67),"TBM"),AR67&lt;&gt;""),ROUND(AR67,3),IF(AR67="",AT66,IF(ISNA(VLOOKUP(AQ67,A6:E105,5,FALSE)),IF(ISNA(VLOOKUP(AQ67,G6:K105,5,FALSE)),IF(ISNA(VLOOKUP(AQ67,M6:Q105,5,FALSE)),IF(ISNA(VLOOKUP(AQ67,S6:W105,5,FALSE)),IF(ISNA(VLOOKUP(AQ67,Y6:AC105,5,FALSE)),IF(ISNA(VLOOKUP(AQ67,AE6:AI105,5,FALSE)),IF(ISNA(VLOOKUP(AQ67,AK6:AO105,5,FALSE)),IF(ISNA(VLOOKUP(AQ67,AQ6:AU66,5,FALSE)),"",ROUND(VLOOKUP(AQ67,AQ6:AU66,5,FALSE),0)/1000+ROUND(AR67,3)),ROUND(VLOOKUP(AQ67,AK6:AO105,5,FALSE),0)/1000+ROUND(AR67,3)),ROUND(VLOOKUP(AQ67,AE6:AI105,5,FALSE),0)/1000+ROUND(AR67,3)),ROUND(VLOOKUP(AQ67,Y6:AC105,5,FALSE),0)/1000+ROUND(AR67,3)),ROUND(VLOOKUP(AQ67,S6:W105,5,FALSE),0)/1000+ROUND(AR67,3)),ROUND(VLOOKUP(AQ67,M6:Q105,5,FALSE),0)/1000+ROUND(AR67,3)),ROUND(VLOOKUP(AQ67,G6:K105,5,FALSE),0)/1000+ROUND(AR67,3)),ROUND(VLOOKUP(AQ67,A6:E105,5,FALSE),0)/1000+ROUND(AR67,3)))))</f>
        <v/>
      </c>
      <c r="AU67" s="18" t="str">
        <f>IF(OR(NOT(EXACT(UPPER(AQ67),"TBM")),AR67=""),IF(AND(AR67&lt;&gt;"",AS67="",AT67&lt;&gt;""),"",IF(AND(AR67="",AS67&lt;&gt;"",AT67&lt;&gt;""),ROUND(ROUND(AT67,3)-ROUND(AS67,3),3)*1000,IF(AND(AR67&lt;&gt;"",AS67&lt;&gt;"",AT67&lt;&gt;""),ROUND(ROUND(AT66,3)-ROUND(AS67,3),3)*1000,""))),"")</f>
        <v/>
      </c>
      <c r="AV67" s="45" t="str">
        <f>IF(AND(NOT(ISNA(VLOOKUP(AQ67,A6:E105,5,FALSE))),AR67="",AS67&lt;&gt;""),ROUND((VLOOKUP(AQ67,A6:E105,5,FALSE)-AU67)/1000,3),IF(AND(NOT(ISNA(VLOOKUP(AQ67,G6:K105,5,FALSE))),AR67="",AS67&lt;&gt;""),ROUND((VLOOKUP(AQ67,G6:K105,5,FALSE)-AU67)/1000,3),IF(AND(NOT(ISNA(VLOOKUP(AQ67,M6:Q105,5,FALSE))),AR67="",AS67&lt;&gt;""),ROUND((VLOOKUP(AQ67,M6:Q105,5,FALSE)-AU67)/1000,3),IF(AND(NOT(ISNA(VLOOKUP(AQ67,S6:W105,5,FALSE))),AR67="",AS67&lt;&gt;""),ROUND((VLOOKUP(AQ67,S6:W105,5,FALSE)-AU67)/1000,3),IF(AND(NOT(ISNA(VLOOKUP(AQ67,Y6:AC105,5,FALSE))),AR67="",AS67&lt;&gt;""),ROUND((VLOOKUP(AQ67,Y6:AC105,5,FALSE)-AU67)/1000,3),IF(AND(NOT(ISNA(VLOOKUP(AQ67,AE6:AI105,5,FALSE))),AR67="",AS67&lt;&gt;""),ROUND((VLOOKUP(AQ67,AE6:AI105,5,FALSE)-AU67)/1000,3),IF(AND(NOT(ISNA(VLOOKUP(AQ67,AK6:AO105,5,FALSE))),AR67="",AS67&lt;&gt;""),ROUND((VLOOKUP(AQ67,AK6:AO105,5,FALSE)-AU67)/1000,3),IF(AND(NOT(ISNA(VLOOKUP(AQ67,AQ6:AU66,5,FALSE))),AR67="",AS67&lt;&gt;""),ROUND((VLOOKUP(AQ67,AQ6:AU66,5,FALSE)-AU67)/1000,3),""))))))))</f>
        <v/>
      </c>
      <c r="AW67" s="19">
        <f>IF(AW66="","",AW66+1)</f>
        <v>861</v>
      </c>
      <c r="AX67" s="39"/>
      <c r="AY67" s="39"/>
      <c r="AZ67" s="15" t="str">
        <f>IF(AND(AX67&lt;&gt;"",AY67&lt;&gt;""),ROUND(AX67,3)+ROUND(AZ66,3)-ROUND(AY67,3),IF(AND(EXACT(UPPER(AW67),"TBM"),AX67&lt;&gt;""),ROUND(AX67,3),IF(AX67="",AZ66,IF(ISNA(VLOOKUP(AW67,A6:E105,5,FALSE)),IF(ISNA(VLOOKUP(AW67,G6:K105,5,FALSE)),IF(ISNA(VLOOKUP(AW67,M6:Q105,5,FALSE)),IF(ISNA(VLOOKUP(AW67,S6:W105,5,FALSE)),IF(ISNA(VLOOKUP(AW67,Y6:AC105,5,FALSE)),IF(ISNA(VLOOKUP(AW67,AE6:AI105,5,FALSE)),IF(ISNA(VLOOKUP(AW67,AK6:AO105,5,FALSE)),IF(ISNA(VLOOKUP(AW67,AQ6:AU105,5,FALSE)),IF(ISNA(VLOOKUP(AW67,AW6:BA66,5,FALSE)),"",ROUND(VLOOKUP(AW67,AW6:BA66,5,FALSE),0)/1000+ROUND(AX67,3)),ROUND(VLOOKUP(AW67,AQ6:AU105,5,FALSE),0)/1000+ROUND(AX67,3)),ROUND(VLOOKUP(AW67,AK6:AO105,5,FALSE),0)/1000+ROUND(AX67,3)),ROUND(VLOOKUP(AW67,AE6:AI105,5,FALSE),0)/1000+ROUND(AX67,3)),ROUND(VLOOKUP(AW67,Y6:AC105,5,FALSE),0)/1000+ROUND(AX67,3)),ROUND(VLOOKUP(AW67,S6:W105,5,FALSE),0)/1000+ROUND(AX67,3)),ROUND(VLOOKUP(AW67,M6:Q105,5,FALSE),0)/1000+ROUND(AX67,3)),ROUND(VLOOKUP(AW67,G6:K105,5,FALSE),0)/1000+ROUND(AX67,3)),ROUND(VLOOKUP(AW67,A6:E105,5,FALSE),0)/1000+ROUND(AX67,3)))))</f>
        <v/>
      </c>
      <c r="BA67" s="18" t="str">
        <f>IF(OR(NOT(EXACT(UPPER(AW67),"TBM")),AX67=""),IF(AND(AX67&lt;&gt;"",AY67="",AZ67&lt;&gt;""),"",IF(AND(AX67="",AY67&lt;&gt;"",AZ67&lt;&gt;""),ROUND(ROUND(AZ67,3)-ROUND(AY67,3),3)*1000,IF(AND(AX67&lt;&gt;"",AY67&lt;&gt;"",AZ67&lt;&gt;""),ROUND(ROUND(AZ66,3)-ROUND(AY67,3),3)*1000,""))),"")</f>
        <v/>
      </c>
      <c r="BB67" s="45" t="str">
        <f>IF(AND(NOT(ISNA(VLOOKUP(AW67,A6:E105,5,FALSE))),AX67="",AY67&lt;&gt;""),ROUND((VLOOKUP(AW67,A6:E105,5,FALSE)-BA67)/1000,3),IF(AND(NOT(ISNA(VLOOKUP(AW67,G6:K105,5,FALSE))),AX67="",AY67&lt;&gt;""),ROUND((VLOOKUP(AW67,G6:K105,5,FALSE)-BA67)/1000,3),IF(AND(NOT(ISNA(VLOOKUP(AW67,M6:Q105,5,FALSE))),AX67="",AY67&lt;&gt;""),ROUND((VLOOKUP(AW67,M6:Q105,5,FALSE)-BA67)/1000,3),IF(AND(NOT(ISNA(VLOOKUP(AW67,S6:W105,5,FALSE))),AX67="",AY67&lt;&gt;""),ROUND((VLOOKUP(AW67,S6:W105,5,FALSE)-BA67)/1000,3),IF(AND(NOT(ISNA(VLOOKUP(AW67,Y6:AC105,5,FALSE))),AX67="",AY67&lt;&gt;""),ROUND((VLOOKUP(AW67,Y6:AC105,5,FALSE)-BA67)/1000,3),IF(AND(NOT(ISNA(VLOOKUP(AW67,AE6:AI105,5,FALSE))),AX67="",AY67&lt;&gt;""),ROUND((VLOOKUP(AW67,AE6:AI105,5,FALSE)-BA67)/1000,3),IF(AND(NOT(ISNA(VLOOKUP(AW67,AK6:AO105,5,FALSE))),AX67="",AY67&lt;&gt;""),ROUND((VLOOKUP(AW67,AK6:AO105,5,FALSE)-BA67)/1000,3),IF(AND(NOT(ISNA(VLOOKUP(AW67,AQ6:AU105,5,FALSE))),AX67="",AY67&lt;&gt;""),ROUND((VLOOKUP(AW67,AQ6:AU105,5,FALSE)-BA67)/1000,3),IF(AND(NOT(ISNA(VLOOKUP(AW67,AW6:BA66,5,FALSE))),AX67="",AY67&lt;&gt;""),ROUND((VLOOKUP(AW67,AW6:BA66,5,FALSE)-BA67)/1000,3),"")))))))))</f>
        <v/>
      </c>
      <c r="BC67" s="19">
        <f>IF(BC66="","",BC66+1)</f>
        <v>961</v>
      </c>
      <c r="BD67" s="39"/>
      <c r="BE67" s="39"/>
      <c r="BF67" s="15" t="str">
        <f>IF(AND(BD67&lt;&gt;"",BE67&lt;&gt;""),ROUND(BD67,3)+ROUND(BF66,3)-ROUND(BE67,3),IF(AND(EXACT(UPPER(BC67),"TBM"),BD67&lt;&gt;""),ROUND(BD67,3),IF(BD67="",BF66,IF(ISNA(VLOOKUP(BC67,A6:E105,5,FALSE)),IF(ISNA(VLOOKUP(BC67,G6:K105,5,FALSE)),IF(ISNA(VLOOKUP(BC67,M6:Q105,5,FALSE)),IF(ISNA(VLOOKUP(BC67,S6:W105,5,FALSE)),IF(ISNA(VLOOKUP(BC67,Y6:AC105,5,FALSE)),IF(ISNA(VLOOKUP(BC67,AE6:AI105,5,FALSE)),IF(ISNA(VLOOKUP(BC67,AK6:AO105,5,FALSE)),IF(ISNA(VLOOKUP(BC67,AQ6:AU105,5,FALSE)),IF(ISNA(VLOOKUP(BC67,AW6:BA105,5,FALSE)),IF(ISNA(VLOOKUP(BC67,BC6:BG66,5,FALSE)),"",ROUND(VLOOKUP(BC67,BC6:BG66,5,FALSE),0)/1000+ROUND(BD67,3)),ROUND(VLOOKUP(BC67,AW6:BA105,5,FALSE),0)/1000+ROUND(BD67,3)),ROUND(VLOOKUP(BC67,AQ6:AU105,5,FALSE),0)/1000+ROUND(BD67,3)),ROUND(VLOOKUP(BC67,AK6:AO105,5,FALSE),0)/1000+ROUND(BD67,3)),ROUND(VLOOKUP(BC67,AE6:AI105,5,FALSE),0)/1000+ROUND(BD67,3)),ROUND(VLOOKUP(BC67,Y6:AC105,5,FALSE),0)/1000+ROUND(BD67,3)),ROUND(VLOOKUP(BC67,S6:W105,5,FALSE),0)/1000+ROUND(BD67,3)),ROUND(VLOOKUP(BC67,M6:Q105,5,FALSE),0)/1000+ROUND(BD67,3)),ROUND(VLOOKUP(BC67,G6:K105,5,FALSE),0)/1000+ROUND(BD67,3)),ROUND(VLOOKUP(BC67,A6:E105,5,FALSE),0)/1000+ROUND(BD67,3)))))</f>
        <v/>
      </c>
      <c r="BG67" s="18" t="str">
        <f>IF(OR(NOT(EXACT(UPPER(BC67),"TBM")),BD67=""),IF(AND(BD67&lt;&gt;"",BE67="",BF67&lt;&gt;""),"",IF(AND(BD67="",BE67&lt;&gt;"",BF67&lt;&gt;""),ROUND(ROUND(BF67,3)-ROUND(BE67,3),3)*1000,IF(AND(BD67&lt;&gt;"",BE67&lt;&gt;"",BF67&lt;&gt;""),ROUND(ROUND(BF66,3)-ROUND(BE67,3),3)*1000,""))),"")</f>
        <v/>
      </c>
      <c r="BH67" s="45" t="str">
        <f>IF(AND(NOT(ISNA(VLOOKUP(BC67,A6:E105,5,FALSE))),BD67="",BE67&lt;&gt;""),ROUND((VLOOKUP(BC67,A6:E105,5,FALSE)-BG67)/1000,3),IF(AND(NOT(ISNA(VLOOKUP(BC67,G6:K105,5,FALSE))),BD67="",BE67&lt;&gt;""),ROUND((VLOOKUP(BC67,G6:K105,5,FALSE)-BG67)/1000,3),IF(AND(NOT(ISNA(VLOOKUP(BC67,M6:Q105,5,FALSE))),BD67="",BE67&lt;&gt;""),ROUND((VLOOKUP(BC67,M6:Q105,5,FALSE)-BG67)/1000,3),IF(AND(NOT(ISNA(VLOOKUP(BC67,S6:W105,5,FALSE))),BD67="",BE67&lt;&gt;""),ROUND((VLOOKUP(BC67,S6:W105,5,FALSE)-BG67)/1000,3),IF(AND(NOT(ISNA(VLOOKUP(BC67,Y6:AC105,5,FALSE))),BD67="",BE67&lt;&gt;""),ROUND((VLOOKUP(BC67,Y6:AC105,5,FALSE)-BG67)/1000,3),IF(AND(NOT(ISNA(VLOOKUP(BC67,AE6:AI105,5,FALSE))),BD67="",BE67&lt;&gt;""),ROUND((VLOOKUP(BC67,AE6:AI105,5,FALSE)-BG67)/1000,3),IF(AND(NOT(ISNA(VLOOKUP(BC67,AK6:AO105,5,FALSE))),BD67="",BE67&lt;&gt;""),ROUND((VLOOKUP(BC67,AK6:AO105,5,FALSE)-BG67)/1000,3),IF(AND(NOT(ISNA(VLOOKUP(BC67,AQ6:AU105,5,FALSE))),BD67="",BE67&lt;&gt;""),ROUND((VLOOKUP(BC67,AQ6:AU105,5,FALSE)-BG67)/1000,3),IF(AND(NOT(ISNA(VLOOKUP(BC67,AW6:BA105,5,FALSE))),BD67="",BE67&lt;&gt;""),ROUND((VLOOKUP(BC67,AW6:BA105,5,FALSE)-BG67)/1000,3),IF(AND(NOT(ISNA(VLOOKUP(BC67,BC6:BG66,5,FALSE))),BD67="",BE67&lt;&gt;""),ROUND((VLOOKUP(BC67,BC6:BG66,5,FALSE)-BG67)/1000,3),""))))))))))</f>
        <v/>
      </c>
    </row>
    <row r="68" spans="1:60" x14ac:dyDescent="0.25">
      <c r="A68" s="19">
        <f t="shared" si="3"/>
        <v>62</v>
      </c>
      <c r="B68" s="39"/>
      <c r="C68" s="39"/>
      <c r="D68" s="15" t="str">
        <f>IF(AND(B68&lt;&gt;"",C68&lt;&gt;""),ROUND(B68,3)+ROUND(D67,3)-ROUND(C68,3),IF(AND(EXACT(UPPER(A68),"TBM"),B68&lt;&gt;""),ROUND(B68,3),IF(B68="",D67,IF(ISNA(VLOOKUP(A68,A6:E67,5,FALSE)),"",ROUND(VLOOKUP(A68,A6:E67,5,FALSE),0)/1000+ROUND(B68,3)))))</f>
        <v/>
      </c>
      <c r="E68" s="21" t="str">
        <f t="shared" si="4"/>
        <v/>
      </c>
      <c r="F68" s="45" t="str">
        <f>IF(AND(NOT(ISNA(VLOOKUP(A68,A6:E67,5,FALSE))),B68="",C68&lt;&gt;""),ROUND((VLOOKUP(A68,A6:E67,5,FALSE)-E68)/1000,3),"")</f>
        <v/>
      </c>
      <c r="G68" s="19">
        <f t="shared" si="1"/>
        <v>162</v>
      </c>
      <c r="H68" s="39"/>
      <c r="I68" s="39"/>
      <c r="J68" s="15" t="str">
        <f>IF(AND(H68&lt;&gt;"",I68&lt;&gt;""),ROUND(H68,3)+ROUND(J67,3)-ROUND(I68,3),IF(AND(EXACT(UPPER(G68),"TBM"),H68&lt;&gt;""),ROUND(H68,3),IF(H68="",J67,IF(ISNA(VLOOKUP(G68,A6:E105,5,FALSE)),IF(ISNA(VLOOKUP(G68,G6:K67,5,FALSE)),"",ROUND(VLOOKUP(G68,G6:K67,5,FALSE),0)/1000+ROUND(H68,3)),ROUND(VLOOKUP(G68,A6:E105,5,FALSE),0)/1000+ROUND(H68,3)))))</f>
        <v/>
      </c>
      <c r="K68" s="18" t="str">
        <f t="shared" si="5"/>
        <v/>
      </c>
      <c r="L68" s="45" t="str">
        <f>IF(AND(NOT(ISNA(VLOOKUP(G68,A6:E105,5,FALSE))),H68="",I68&lt;&gt;""),ROUND((VLOOKUP(G68,A6:E105,5,FALSE)-K68)/1000,3),IF(AND(NOT(ISNA(VLOOKUP(G68,G6:K67,5,FALSE))),H68="",I68&lt;&gt;""),ROUND((VLOOKUP(G68,G6:K67,5,FALSE)-K68)/1000,3),""))</f>
        <v/>
      </c>
      <c r="M68" s="19">
        <f>IF(M67="","",M67+1)</f>
        <v>262</v>
      </c>
      <c r="N68" s="39"/>
      <c r="O68" s="39"/>
      <c r="P68" s="15" t="str">
        <f>IF(AND(N68&lt;&gt;"",O68&lt;&gt;""),ROUND(N68,3)+ROUND(P67,3)-ROUND(O68,3),IF(AND(EXACT(UPPER(M68),"TBM"),N68&lt;&gt;""),ROUND(N68,3),IF(N68="",P67,IF(ISNA(VLOOKUP(M68,A6:E105,5,FALSE)),IF(ISNA(VLOOKUP(M68,G6:K105,5,FALSE)),IF(ISNA(VLOOKUP(M68,M6:Q67,5,FALSE)),"",ROUND(VLOOKUP(M68,M6:Q67,5,FALSE),0)/1000+ROUND(N68,3)),ROUND(VLOOKUP(M68,G6:K105,5,FALSE),0)/1000+ROUND(N68,3)),ROUND(VLOOKUP(M68,A6:E105,5,FALSE),0)/1000+ROUND(N68,3)))))</f>
        <v/>
      </c>
      <c r="Q68" s="18" t="str">
        <f>IF(OR(NOT(EXACT(UPPER(M68),"TBM")),N68=""),IF(AND(N68&lt;&gt;"",O68="",P68&lt;&gt;""),"",IF(AND(N68="",O68&lt;&gt;"",P68&lt;&gt;""),ROUND(ROUND(P68,3)-ROUND(O68,3),3)*1000,IF(AND(N68&lt;&gt;"",O68&lt;&gt;"",P68&lt;&gt;""),ROUND(ROUND(P67,3)-ROUND(O68,3),3)*1000,""))),"")</f>
        <v/>
      </c>
      <c r="R68" s="45" t="str">
        <f>IF(AND(NOT(ISNA(VLOOKUP(M68,A6:E105,5,FALSE))),N68="",O68&lt;&gt;""),ROUND((VLOOKUP(M68,A6:E105,5,FALSE)-Q68)/1000,3),IF(AND(NOT(ISNA(VLOOKUP(M68,G6:K105,5,FALSE))),N68="",O68&lt;&gt;""),ROUND((VLOOKUP(M68,G6:K105,5,FALSE)-Q68)/1000,3),IF(AND(NOT(ISNA(VLOOKUP(M68,M6:Q67,5,FALSE))),N68="",O68&lt;&gt;""),ROUND((VLOOKUP(M68,M6:Q67,5,FALSE)-Q68)/1000,3),"")))</f>
        <v/>
      </c>
      <c r="S68" s="19">
        <f>IF(S67="","",S67+1)</f>
        <v>362</v>
      </c>
      <c r="T68" s="39"/>
      <c r="U68" s="39"/>
      <c r="V68" s="15" t="str">
        <f>IF(AND(T68&lt;&gt;"",U68&lt;&gt;""),ROUND(T68,3)+ROUND(V67,3)-ROUND(U68,3),IF(AND(EXACT(UPPER(S68),"TBM"),T68&lt;&gt;""),ROUND(T68,3),IF(T68="",V67,IF(ISNA(VLOOKUP(S68,A6:E105,5,FALSE)),IF(ISNA(VLOOKUP(S68,G6:K105,5,FALSE)),IF(ISNA(VLOOKUP(S68,M6:Q105,5,FALSE)),IF(ISNA(VLOOKUP(S68,S6:W67,5,FALSE)),"",ROUND(VLOOKUP(S68,S6:W67,5,FALSE),0)/1000+ROUND(T68,3)),ROUND(VLOOKUP(S68,M6:Q105,5,FALSE),0)/1000+ROUND(T68,3)),ROUND(VLOOKUP(S68,G6:K105,5,FALSE),0)/1000+ROUND(T68,3)),ROUND(VLOOKUP(S68,A6:E105,5,FALSE),0)/1000+ROUND(T68,3)))))</f>
        <v/>
      </c>
      <c r="W68" s="18" t="str">
        <f>IF(OR(NOT(EXACT(UPPER(S68),"TBM")),T68=""),IF(AND(T68&lt;&gt;"",U68="",V68&lt;&gt;""),"",IF(AND(T68="",U68&lt;&gt;"",V68&lt;&gt;""),ROUND(ROUND(V68,3)-ROUND(U68,3),3)*1000,IF(AND(T68&lt;&gt;"",U68&lt;&gt;"",V68&lt;&gt;""),ROUND(ROUND(V67,3)-ROUND(U68,3),3)*1000,""))),"")</f>
        <v/>
      </c>
      <c r="X68" s="45" t="str">
        <f>IF(AND(NOT(ISNA(VLOOKUP(S68,A6:E105,5,FALSE))),T68="",U68&lt;&gt;""),ROUND((VLOOKUP(S68,A6:E105,5,FALSE)-W68)/1000,3),IF(AND(NOT(ISNA(VLOOKUP(S68,G6:K105,5,FALSE))),T68="",U68&lt;&gt;""),ROUND((VLOOKUP(S68,G6:K105,5,FALSE)-W68)/1000,3),IF(AND(NOT(ISNA(VLOOKUP(S68,M6:Q105,5,FALSE))),T68="",U68&lt;&gt;""),ROUND((VLOOKUP(S68,M6:Q105,5,FALSE)-W68)/1000,3),IF(AND(NOT(ISNA(VLOOKUP(S68,S6:W67,5,FALSE))),T68="",U68&lt;&gt;""),ROUND((VLOOKUP(S68,S6:W67,5,FALSE)-W68)/1000,3),""))))</f>
        <v/>
      </c>
      <c r="Y68" s="19">
        <f>IF(Y67="","",Y67+1)</f>
        <v>462</v>
      </c>
      <c r="Z68" s="39"/>
      <c r="AA68" s="39"/>
      <c r="AB68" s="15" t="str">
        <f>IF(AND(Z68&lt;&gt;"",AA68&lt;&gt;""),ROUND(Z68,3)+ROUND(AB67,3)-ROUND(AA68,3),IF(AND(EXACT(UPPER(Y68),"TBM"),Z68&lt;&gt;""),ROUND(Z68,3),IF(Z68="",AB67,IF(ISNA(VLOOKUP(Y68,A6:E105,5,FALSE)),IF(ISNA(VLOOKUP(Y68,G6:K105,5,FALSE)),IF(ISNA(VLOOKUP(Y68,M6:Q105,5,FALSE)),IF(ISNA(VLOOKUP(Y68,S6:W105,5,FALSE)),IF(ISNA(VLOOKUP(Y68,Y6:AC67,5,FALSE)),"",ROUND(VLOOKUP(Y68,Y6:AC67,5,FALSE),0)/1000+ROUND(Z68,3)),ROUND(VLOOKUP(Y68,S6:W105,5,FALSE),0)/1000+ROUND(Z68,3)),ROUND(VLOOKUP(Y68,M6:Q105,5,FALSE),0)/1000+ROUND(Z68,3)),ROUND(VLOOKUP(Y68,G6:K105,5,FALSE),0)/1000+ROUND(Z68,3)),ROUND(VLOOKUP(Y68,A6:E105,5,FALSE),0)/1000+ROUND(Z68,3)))))</f>
        <v/>
      </c>
      <c r="AC68" s="18" t="str">
        <f>IF(OR(NOT(EXACT(UPPER(Y68),"TBM")),Z68=""),IF(AND(Z68&lt;&gt;"",AA68="",AB68&lt;&gt;""),"",IF(AND(Z68="",AA68&lt;&gt;"",AB68&lt;&gt;""),ROUND(ROUND(AB68,3)-ROUND(AA68,3),3)*1000,IF(AND(Z68&lt;&gt;"",AA68&lt;&gt;"",AB68&lt;&gt;""),ROUND(ROUND(AB67,3)-ROUND(AA68,3),3)*1000,""))),"")</f>
        <v/>
      </c>
      <c r="AD68" s="45" t="str">
        <f>IF(AND(NOT(ISNA(VLOOKUP(Y68,A6:E105,5,FALSE))),Z68="",AA68&lt;&gt;""),ROUND((VLOOKUP(Y68,A6:E105,5,FALSE)-AC68)/1000,3),IF(AND(NOT(ISNA(VLOOKUP(Y68,G6:K105,5,FALSE))),Z68="",AA68&lt;&gt;""),ROUND((VLOOKUP(Y68,G6:K105,5,FALSE)-AC68)/1000,3),IF(AND(NOT(ISNA(VLOOKUP(Y68,M6:Q105,5,FALSE))),Z68="",AA68&lt;&gt;""),ROUND((VLOOKUP(Y68,M6:Q105,5,FALSE)-AC68)/1000,3),IF(AND(NOT(ISNA(VLOOKUP(Y68,S6:W105,5,FALSE))),Z68="",AA68&lt;&gt;""),ROUND((VLOOKUP(Y68,S6:W105,5,FALSE)-AC68)/1000,3),IF(AND(NOT(ISNA(VLOOKUP(Y68,Y6:AC67,5,FALSE))),Z68="",AA68&lt;&gt;""),ROUND((VLOOKUP(Y68,Y6:AC67,5,FALSE)-AC68)/1000,3),"")))))</f>
        <v/>
      </c>
      <c r="AE68" s="19">
        <f>IF(AE67="","",AE67+1)</f>
        <v>562</v>
      </c>
      <c r="AF68" s="39"/>
      <c r="AG68" s="39"/>
      <c r="AH68" s="15" t="str">
        <f>IF(AND(AF68&lt;&gt;"",AG68&lt;&gt;""),ROUND(AF68,3)+ROUND(AH67,3)-ROUND(AG68,3),IF(AND(EXACT(UPPER(AE68),"TBM"),AF68&lt;&gt;""),ROUND(AF68,3),IF(AF68="",AH67,IF(ISNA(VLOOKUP(AE68,A6:E105,5,FALSE)),IF(ISNA(VLOOKUP(AE68,G6:K105,5,FALSE)),IF(ISNA(VLOOKUP(AE68,M6:Q105,5,FALSE)),IF(ISNA(VLOOKUP(AE68,S6:W105,5,FALSE)),IF(ISNA(VLOOKUP(AE68,Y6:AC105,5,FALSE)),IF(ISNA(VLOOKUP(AE68,AE6:AI67,5,FALSE)),"",ROUND(VLOOKUP(AE68,AE6:AI67,5,FALSE),0)/1000+ROUND(AF68,3)),ROUND(VLOOKUP(AE68,Y6:AC105,5,FALSE),0)/1000+ROUND(AF68,3)),ROUND(VLOOKUP(AE68,S6:W105,5,FALSE),0)/1000+ROUND(AF68,3)),ROUND(VLOOKUP(AE68,M6:Q105,5,FALSE),0)/1000+ROUND(AF68,3)),ROUND(VLOOKUP(AE68,G6:K105,5,FALSE),0)/1000+ROUND(AF68,3)),ROUND(VLOOKUP(AE68,A6:E105,5,FALSE),0)/1000+ROUND(AF68,3)))))</f>
        <v/>
      </c>
      <c r="AI68" s="18" t="str">
        <f>IF(OR(NOT(EXACT(UPPER(AE68),"TBM")),AF68=""),IF(AND(AF68&lt;&gt;"",AG68="",AH68&lt;&gt;""),"",IF(AND(AF68="",AG68&lt;&gt;"",AH68&lt;&gt;""),ROUND(ROUND(AH68,3)-ROUND(AG68,3),3)*1000,IF(AND(AF68&lt;&gt;"",AG68&lt;&gt;"",AH68&lt;&gt;""),ROUND(ROUND(AH67,3)-ROUND(AG68,3),3)*1000,""))),"")</f>
        <v/>
      </c>
      <c r="AJ68" s="45" t="str">
        <f>IF(AND(NOT(ISNA(VLOOKUP(AE68,A6:E105,5,FALSE))),AF68="",AG68&lt;&gt;""),ROUND((VLOOKUP(AE68,A6:E105,5,FALSE)-AI68)/1000,3),IF(AND(NOT(ISNA(VLOOKUP(AE68,G6:K105,5,FALSE))),AF68="",AG68&lt;&gt;""),ROUND((VLOOKUP(AE68,G6:K105,5,FALSE)-AI68)/1000,3),IF(AND(NOT(ISNA(VLOOKUP(AE68,M6:Q105,5,FALSE))),AF68="",AG68&lt;&gt;""),ROUND((VLOOKUP(AE68,M6:Q105,5,FALSE)-AI68)/1000,3),IF(AND(NOT(ISNA(VLOOKUP(AE68,S6:W105,5,FALSE))),AF68="",AG68&lt;&gt;""),ROUND((VLOOKUP(AE68,S6:W105,5,FALSE)-AI68)/1000,3),IF(AND(NOT(ISNA(VLOOKUP(AE68,Y6:AC105,5,FALSE))),AF68="",AG68&lt;&gt;""),ROUND((VLOOKUP(AE68,Y6:AC105,5,FALSE)-AI68)/1000,3),IF(AND(NOT(ISNA(VLOOKUP(AE68,AE6:AI67,5,FALSE))),AF68="",AG68&lt;&gt;""),ROUND((VLOOKUP(AE68,AE6:AI67,5,FALSE)-AI68)/1000,3),""))))))</f>
        <v/>
      </c>
      <c r="AK68" s="19">
        <f>IF(AK67="","",AK67+1)</f>
        <v>662</v>
      </c>
      <c r="AL68" s="39"/>
      <c r="AM68" s="39"/>
      <c r="AN68" s="15" t="str">
        <f>IF(AND(AL68&lt;&gt;"",AM68&lt;&gt;""),ROUND(AL68,3)+ROUND(AN67,3)-ROUND(AM68,3),IF(AND(EXACT(UPPER(AK68),"TBM"),AL68&lt;&gt;""),ROUND(AL68,3),IF(AL68="",AN67,IF(ISNA(VLOOKUP(AK68,A6:E105,5,FALSE)),IF(ISNA(VLOOKUP(AK68,G6:K105,5,FALSE)),IF(ISNA(VLOOKUP(AK68,M6:Q105,5,FALSE)),IF(ISNA(VLOOKUP(AK68,S6:W105,5,FALSE)),IF(ISNA(VLOOKUP(AK68,Y6:AC105,5,FALSE)),IF(ISNA(VLOOKUP(AK68,AE6:AI105,5,FALSE)),IF(ISNA(VLOOKUP(AK68,AK6:AO67,5,FALSE)),"",ROUND(VLOOKUP(AK68,AK6:AO67,5,FALSE),0)/1000+ROUND(AL68,3)),ROUND(VLOOKUP(AK68,AE6:AI105,5,FALSE),0)/1000+ROUND(AL68,3)),ROUND(VLOOKUP(AK68,Y6:AC105,5,FALSE),0)/1000+ROUND(AL68,3)),ROUND(VLOOKUP(AK68,S6:W105,5,FALSE),0)/1000+ROUND(AL68,3)),ROUND(VLOOKUP(AK68,M6:Q105,5,FALSE),0)/1000+ROUND(AL68,3)),ROUND(VLOOKUP(AK68,G6:K105,5,FALSE),0)/1000+ROUND(AL68,3)),ROUND(VLOOKUP(AK68,A6:E105,5,FALSE),0)/1000+ROUND(AL68,3)))))</f>
        <v/>
      </c>
      <c r="AO68" s="18" t="str">
        <f>IF(OR(NOT(EXACT(UPPER(AK68),"TBM")),AL68=""),IF(AND(AL68&lt;&gt;"",AM68="",AN68&lt;&gt;""),"",IF(AND(AL68="",AM68&lt;&gt;"",AN68&lt;&gt;""),ROUND(ROUND(AN68,3)-ROUND(AM68,3),3)*1000,IF(AND(AL68&lt;&gt;"",AM68&lt;&gt;"",AN68&lt;&gt;""),ROUND(ROUND(AN67,3)-ROUND(AM68,3),3)*1000,""))),"")</f>
        <v/>
      </c>
      <c r="AP68" s="45" t="str">
        <f>IF(AND(NOT(ISNA(VLOOKUP(AK68,A6:E105,5,FALSE))),AL68="",AM68&lt;&gt;""),ROUND((VLOOKUP(AK68,A6:E105,5,FALSE)-AO68)/1000,3),IF(AND(NOT(ISNA(VLOOKUP(AK68,G6:K105,5,FALSE))),AL68="",AM68&lt;&gt;""),ROUND((VLOOKUP(AK68,G6:K105,5,FALSE)-AO68)/1000,3),IF(AND(NOT(ISNA(VLOOKUP(AK68,M6:Q105,5,FALSE))),AL68="",AM68&lt;&gt;""),ROUND((VLOOKUP(AK68,M6:Q105,5,FALSE)-AO68)/1000,3),IF(AND(NOT(ISNA(VLOOKUP(AK68,S6:W105,5,FALSE))),AL68="",AM68&lt;&gt;""),ROUND((VLOOKUP(AK68,S6:W105,5,FALSE)-AO68)/1000,3),IF(AND(NOT(ISNA(VLOOKUP(AK68,Y6:AC105,5,FALSE))),AL68="",AM68&lt;&gt;""),ROUND((VLOOKUP(AK68,Y6:AC105,5,FALSE)-AO68)/1000,3),IF(AND(NOT(ISNA(VLOOKUP(AK68,AE6:AI105,5,FALSE))),AL68="",AM68&lt;&gt;""),ROUND((VLOOKUP(AK68,AE6:AI105,5,FALSE)-AO68)/1000,3),IF(AND(NOT(ISNA(VLOOKUP(AK68,AK6:AO67,5,FALSE))),AL68="",AM68&lt;&gt;""),ROUND((VLOOKUP(AK68,AK6:AO67,5,FALSE)-AO68)/1000,3),"")))))))</f>
        <v/>
      </c>
      <c r="AQ68" s="19">
        <f>IF(AQ67="","",AQ67+1)</f>
        <v>762</v>
      </c>
      <c r="AR68" s="39"/>
      <c r="AS68" s="39"/>
      <c r="AT68" s="15" t="str">
        <f>IF(AND(AR68&lt;&gt;"",AS68&lt;&gt;""),ROUND(AR68,3)+ROUND(AT67,3)-ROUND(AS68,3),IF(AND(EXACT(UPPER(AQ68),"TBM"),AR68&lt;&gt;""),ROUND(AR68,3),IF(AR68="",AT67,IF(ISNA(VLOOKUP(AQ68,A6:E105,5,FALSE)),IF(ISNA(VLOOKUP(AQ68,G6:K105,5,FALSE)),IF(ISNA(VLOOKUP(AQ68,M6:Q105,5,FALSE)),IF(ISNA(VLOOKUP(AQ68,S6:W105,5,FALSE)),IF(ISNA(VLOOKUP(AQ68,Y6:AC105,5,FALSE)),IF(ISNA(VLOOKUP(AQ68,AE6:AI105,5,FALSE)),IF(ISNA(VLOOKUP(AQ68,AK6:AO105,5,FALSE)),IF(ISNA(VLOOKUP(AQ68,AQ6:AU67,5,FALSE)),"",ROUND(VLOOKUP(AQ68,AQ6:AU67,5,FALSE),0)/1000+ROUND(AR68,3)),ROUND(VLOOKUP(AQ68,AK6:AO105,5,FALSE),0)/1000+ROUND(AR68,3)),ROUND(VLOOKUP(AQ68,AE6:AI105,5,FALSE),0)/1000+ROUND(AR68,3)),ROUND(VLOOKUP(AQ68,Y6:AC105,5,FALSE),0)/1000+ROUND(AR68,3)),ROUND(VLOOKUP(AQ68,S6:W105,5,FALSE),0)/1000+ROUND(AR68,3)),ROUND(VLOOKUP(AQ68,M6:Q105,5,FALSE),0)/1000+ROUND(AR68,3)),ROUND(VLOOKUP(AQ68,G6:K105,5,FALSE),0)/1000+ROUND(AR68,3)),ROUND(VLOOKUP(AQ68,A6:E105,5,FALSE),0)/1000+ROUND(AR68,3)))))</f>
        <v/>
      </c>
      <c r="AU68" s="18" t="str">
        <f>IF(OR(NOT(EXACT(UPPER(AQ68),"TBM")),AR68=""),IF(AND(AR68&lt;&gt;"",AS68="",AT68&lt;&gt;""),"",IF(AND(AR68="",AS68&lt;&gt;"",AT68&lt;&gt;""),ROUND(ROUND(AT68,3)-ROUND(AS68,3),3)*1000,IF(AND(AR68&lt;&gt;"",AS68&lt;&gt;"",AT68&lt;&gt;""),ROUND(ROUND(AT67,3)-ROUND(AS68,3),3)*1000,""))),"")</f>
        <v/>
      </c>
      <c r="AV68" s="45" t="str">
        <f>IF(AND(NOT(ISNA(VLOOKUP(AQ68,A6:E105,5,FALSE))),AR68="",AS68&lt;&gt;""),ROUND((VLOOKUP(AQ68,A6:E105,5,FALSE)-AU68)/1000,3),IF(AND(NOT(ISNA(VLOOKUP(AQ68,G6:K105,5,FALSE))),AR68="",AS68&lt;&gt;""),ROUND((VLOOKUP(AQ68,G6:K105,5,FALSE)-AU68)/1000,3),IF(AND(NOT(ISNA(VLOOKUP(AQ68,M6:Q105,5,FALSE))),AR68="",AS68&lt;&gt;""),ROUND((VLOOKUP(AQ68,M6:Q105,5,FALSE)-AU68)/1000,3),IF(AND(NOT(ISNA(VLOOKUP(AQ68,S6:W105,5,FALSE))),AR68="",AS68&lt;&gt;""),ROUND((VLOOKUP(AQ68,S6:W105,5,FALSE)-AU68)/1000,3),IF(AND(NOT(ISNA(VLOOKUP(AQ68,Y6:AC105,5,FALSE))),AR68="",AS68&lt;&gt;""),ROUND((VLOOKUP(AQ68,Y6:AC105,5,FALSE)-AU68)/1000,3),IF(AND(NOT(ISNA(VLOOKUP(AQ68,AE6:AI105,5,FALSE))),AR68="",AS68&lt;&gt;""),ROUND((VLOOKUP(AQ68,AE6:AI105,5,FALSE)-AU68)/1000,3),IF(AND(NOT(ISNA(VLOOKUP(AQ68,AK6:AO105,5,FALSE))),AR68="",AS68&lt;&gt;""),ROUND((VLOOKUP(AQ68,AK6:AO105,5,FALSE)-AU68)/1000,3),IF(AND(NOT(ISNA(VLOOKUP(AQ68,AQ6:AU67,5,FALSE))),AR68="",AS68&lt;&gt;""),ROUND((VLOOKUP(AQ68,AQ6:AU67,5,FALSE)-AU68)/1000,3),""))))))))</f>
        <v/>
      </c>
      <c r="AW68" s="19">
        <f>IF(AW67="","",AW67+1)</f>
        <v>862</v>
      </c>
      <c r="AX68" s="39"/>
      <c r="AY68" s="39"/>
      <c r="AZ68" s="15" t="str">
        <f>IF(AND(AX68&lt;&gt;"",AY68&lt;&gt;""),ROUND(AX68,3)+ROUND(AZ67,3)-ROUND(AY68,3),IF(AND(EXACT(UPPER(AW68),"TBM"),AX68&lt;&gt;""),ROUND(AX68,3),IF(AX68="",AZ67,IF(ISNA(VLOOKUP(AW68,A6:E105,5,FALSE)),IF(ISNA(VLOOKUP(AW68,G6:K105,5,FALSE)),IF(ISNA(VLOOKUP(AW68,M6:Q105,5,FALSE)),IF(ISNA(VLOOKUP(AW68,S6:W105,5,FALSE)),IF(ISNA(VLOOKUP(AW68,Y6:AC105,5,FALSE)),IF(ISNA(VLOOKUP(AW68,AE6:AI105,5,FALSE)),IF(ISNA(VLOOKUP(AW68,AK6:AO105,5,FALSE)),IF(ISNA(VLOOKUP(AW68,AQ6:AU105,5,FALSE)),IF(ISNA(VLOOKUP(AW68,AW6:BA67,5,FALSE)),"",ROUND(VLOOKUP(AW68,AW6:BA67,5,FALSE),0)/1000+ROUND(AX68,3)),ROUND(VLOOKUP(AW68,AQ6:AU105,5,FALSE),0)/1000+ROUND(AX68,3)),ROUND(VLOOKUP(AW68,AK6:AO105,5,FALSE),0)/1000+ROUND(AX68,3)),ROUND(VLOOKUP(AW68,AE6:AI105,5,FALSE),0)/1000+ROUND(AX68,3)),ROUND(VLOOKUP(AW68,Y6:AC105,5,FALSE),0)/1000+ROUND(AX68,3)),ROUND(VLOOKUP(AW68,S6:W105,5,FALSE),0)/1000+ROUND(AX68,3)),ROUND(VLOOKUP(AW68,M6:Q105,5,FALSE),0)/1000+ROUND(AX68,3)),ROUND(VLOOKUP(AW68,G6:K105,5,FALSE),0)/1000+ROUND(AX68,3)),ROUND(VLOOKUP(AW68,A6:E105,5,FALSE),0)/1000+ROUND(AX68,3)))))</f>
        <v/>
      </c>
      <c r="BA68" s="18" t="str">
        <f>IF(OR(NOT(EXACT(UPPER(AW68),"TBM")),AX68=""),IF(AND(AX68&lt;&gt;"",AY68="",AZ68&lt;&gt;""),"",IF(AND(AX68="",AY68&lt;&gt;"",AZ68&lt;&gt;""),ROUND(ROUND(AZ68,3)-ROUND(AY68,3),3)*1000,IF(AND(AX68&lt;&gt;"",AY68&lt;&gt;"",AZ68&lt;&gt;""),ROUND(ROUND(AZ67,3)-ROUND(AY68,3),3)*1000,""))),"")</f>
        <v/>
      </c>
      <c r="BB68" s="45" t="str">
        <f>IF(AND(NOT(ISNA(VLOOKUP(AW68,A6:E105,5,FALSE))),AX68="",AY68&lt;&gt;""),ROUND((VLOOKUP(AW68,A6:E105,5,FALSE)-BA68)/1000,3),IF(AND(NOT(ISNA(VLOOKUP(AW68,G6:K105,5,FALSE))),AX68="",AY68&lt;&gt;""),ROUND((VLOOKUP(AW68,G6:K105,5,FALSE)-BA68)/1000,3),IF(AND(NOT(ISNA(VLOOKUP(AW68,M6:Q105,5,FALSE))),AX68="",AY68&lt;&gt;""),ROUND((VLOOKUP(AW68,M6:Q105,5,FALSE)-BA68)/1000,3),IF(AND(NOT(ISNA(VLOOKUP(AW68,S6:W105,5,FALSE))),AX68="",AY68&lt;&gt;""),ROUND((VLOOKUP(AW68,S6:W105,5,FALSE)-BA68)/1000,3),IF(AND(NOT(ISNA(VLOOKUP(AW68,Y6:AC105,5,FALSE))),AX68="",AY68&lt;&gt;""),ROUND((VLOOKUP(AW68,Y6:AC105,5,FALSE)-BA68)/1000,3),IF(AND(NOT(ISNA(VLOOKUP(AW68,AE6:AI105,5,FALSE))),AX68="",AY68&lt;&gt;""),ROUND((VLOOKUP(AW68,AE6:AI105,5,FALSE)-BA68)/1000,3),IF(AND(NOT(ISNA(VLOOKUP(AW68,AK6:AO105,5,FALSE))),AX68="",AY68&lt;&gt;""),ROUND((VLOOKUP(AW68,AK6:AO105,5,FALSE)-BA68)/1000,3),IF(AND(NOT(ISNA(VLOOKUP(AW68,AQ6:AU105,5,FALSE))),AX68="",AY68&lt;&gt;""),ROUND((VLOOKUP(AW68,AQ6:AU105,5,FALSE)-BA68)/1000,3),IF(AND(NOT(ISNA(VLOOKUP(AW68,AW6:BA67,5,FALSE))),AX68="",AY68&lt;&gt;""),ROUND((VLOOKUP(AW68,AW6:BA67,5,FALSE)-BA68)/1000,3),"")))))))))</f>
        <v/>
      </c>
      <c r="BC68" s="19">
        <f>IF(BC67="","",BC67+1)</f>
        <v>962</v>
      </c>
      <c r="BD68" s="39"/>
      <c r="BE68" s="39"/>
      <c r="BF68" s="15" t="str">
        <f>IF(AND(BD68&lt;&gt;"",BE68&lt;&gt;""),ROUND(BD68,3)+ROUND(BF67,3)-ROUND(BE68,3),IF(AND(EXACT(UPPER(BC68),"TBM"),BD68&lt;&gt;""),ROUND(BD68,3),IF(BD68="",BF67,IF(ISNA(VLOOKUP(BC68,A6:E105,5,FALSE)),IF(ISNA(VLOOKUP(BC68,G6:K105,5,FALSE)),IF(ISNA(VLOOKUP(BC68,M6:Q105,5,FALSE)),IF(ISNA(VLOOKUP(BC68,S6:W105,5,FALSE)),IF(ISNA(VLOOKUP(BC68,Y6:AC105,5,FALSE)),IF(ISNA(VLOOKUP(BC68,AE6:AI105,5,FALSE)),IF(ISNA(VLOOKUP(BC68,AK6:AO105,5,FALSE)),IF(ISNA(VLOOKUP(BC68,AQ6:AU105,5,FALSE)),IF(ISNA(VLOOKUP(BC68,AW6:BA105,5,FALSE)),IF(ISNA(VLOOKUP(BC68,BC6:BG67,5,FALSE)),"",ROUND(VLOOKUP(BC68,BC6:BG67,5,FALSE),0)/1000+ROUND(BD68,3)),ROUND(VLOOKUP(BC68,AW6:BA105,5,FALSE),0)/1000+ROUND(BD68,3)),ROUND(VLOOKUP(BC68,AQ6:AU105,5,FALSE),0)/1000+ROUND(BD68,3)),ROUND(VLOOKUP(BC68,AK6:AO105,5,FALSE),0)/1000+ROUND(BD68,3)),ROUND(VLOOKUP(BC68,AE6:AI105,5,FALSE),0)/1000+ROUND(BD68,3)),ROUND(VLOOKUP(BC68,Y6:AC105,5,FALSE),0)/1000+ROUND(BD68,3)),ROUND(VLOOKUP(BC68,S6:W105,5,FALSE),0)/1000+ROUND(BD68,3)),ROUND(VLOOKUP(BC68,M6:Q105,5,FALSE),0)/1000+ROUND(BD68,3)),ROUND(VLOOKUP(BC68,G6:K105,5,FALSE),0)/1000+ROUND(BD68,3)),ROUND(VLOOKUP(BC68,A6:E105,5,FALSE),0)/1000+ROUND(BD68,3)))))</f>
        <v/>
      </c>
      <c r="BG68" s="18" t="str">
        <f>IF(OR(NOT(EXACT(UPPER(BC68),"TBM")),BD68=""),IF(AND(BD68&lt;&gt;"",BE68="",BF68&lt;&gt;""),"",IF(AND(BD68="",BE68&lt;&gt;"",BF68&lt;&gt;""),ROUND(ROUND(BF68,3)-ROUND(BE68,3),3)*1000,IF(AND(BD68&lt;&gt;"",BE68&lt;&gt;"",BF68&lt;&gt;""),ROUND(ROUND(BF67,3)-ROUND(BE68,3),3)*1000,""))),"")</f>
        <v/>
      </c>
      <c r="BH68" s="45" t="str">
        <f>IF(AND(NOT(ISNA(VLOOKUP(BC68,A6:E105,5,FALSE))),BD68="",BE68&lt;&gt;""),ROUND((VLOOKUP(BC68,A6:E105,5,FALSE)-BG68)/1000,3),IF(AND(NOT(ISNA(VLOOKUP(BC68,G6:K105,5,FALSE))),BD68="",BE68&lt;&gt;""),ROUND((VLOOKUP(BC68,G6:K105,5,FALSE)-BG68)/1000,3),IF(AND(NOT(ISNA(VLOOKUP(BC68,M6:Q105,5,FALSE))),BD68="",BE68&lt;&gt;""),ROUND((VLOOKUP(BC68,M6:Q105,5,FALSE)-BG68)/1000,3),IF(AND(NOT(ISNA(VLOOKUP(BC68,S6:W105,5,FALSE))),BD68="",BE68&lt;&gt;""),ROUND((VLOOKUP(BC68,S6:W105,5,FALSE)-BG68)/1000,3),IF(AND(NOT(ISNA(VLOOKUP(BC68,Y6:AC105,5,FALSE))),BD68="",BE68&lt;&gt;""),ROUND((VLOOKUP(BC68,Y6:AC105,5,FALSE)-BG68)/1000,3),IF(AND(NOT(ISNA(VLOOKUP(BC68,AE6:AI105,5,FALSE))),BD68="",BE68&lt;&gt;""),ROUND((VLOOKUP(BC68,AE6:AI105,5,FALSE)-BG68)/1000,3),IF(AND(NOT(ISNA(VLOOKUP(BC68,AK6:AO105,5,FALSE))),BD68="",BE68&lt;&gt;""),ROUND((VLOOKUP(BC68,AK6:AO105,5,FALSE)-BG68)/1000,3),IF(AND(NOT(ISNA(VLOOKUP(BC68,AQ6:AU105,5,FALSE))),BD68="",BE68&lt;&gt;""),ROUND((VLOOKUP(BC68,AQ6:AU105,5,FALSE)-BG68)/1000,3),IF(AND(NOT(ISNA(VLOOKUP(BC68,AW6:BA105,5,FALSE))),BD68="",BE68&lt;&gt;""),ROUND((VLOOKUP(BC68,AW6:BA105,5,FALSE)-BG68)/1000,3),IF(AND(NOT(ISNA(VLOOKUP(BC68,BC6:BG67,5,FALSE))),BD68="",BE68&lt;&gt;""),ROUND((VLOOKUP(BC68,BC6:BG67,5,FALSE)-BG68)/1000,3),""))))))))))</f>
        <v/>
      </c>
    </row>
    <row r="69" spans="1:60" x14ac:dyDescent="0.25">
      <c r="A69" s="19">
        <f t="shared" si="3"/>
        <v>63</v>
      </c>
      <c r="B69" s="39"/>
      <c r="C69" s="39"/>
      <c r="D69" s="15" t="str">
        <f>IF(AND(B69&lt;&gt;"",C69&lt;&gt;""),ROUND(B69,3)+ROUND(D68,3)-ROUND(C69,3),IF(AND(EXACT(UPPER(A69),"TBM"),B69&lt;&gt;""),ROUND(B69,3),IF(B69="",D68,IF(ISNA(VLOOKUP(A69,A6:E68,5,FALSE)),"",ROUND(VLOOKUP(A69,A6:E68,5,FALSE),0)/1000+ROUND(B69,3)))))</f>
        <v/>
      </c>
      <c r="E69" s="21" t="str">
        <f t="shared" si="4"/>
        <v/>
      </c>
      <c r="F69" s="45" t="str">
        <f>IF(AND(NOT(ISNA(VLOOKUP(A69,A6:E68,5,FALSE))),B69="",C69&lt;&gt;""),ROUND((VLOOKUP(A69,A6:E68,5,FALSE)-E69)/1000,3),"")</f>
        <v/>
      </c>
      <c r="G69" s="19">
        <f t="shared" si="1"/>
        <v>163</v>
      </c>
      <c r="H69" s="39"/>
      <c r="I69" s="39"/>
      <c r="J69" s="15" t="str">
        <f>IF(AND(H69&lt;&gt;"",I69&lt;&gt;""),ROUND(H69,3)+ROUND(J68,3)-ROUND(I69,3),IF(AND(EXACT(UPPER(G69),"TBM"),H69&lt;&gt;""),ROUND(H69,3),IF(H69="",J68,IF(ISNA(VLOOKUP(G69,A6:E105,5,FALSE)),IF(ISNA(VLOOKUP(G69,G6:K68,5,FALSE)),"",ROUND(VLOOKUP(G69,G6:K68,5,FALSE),0)/1000+ROUND(H69,3)),ROUND(VLOOKUP(G69,A6:E105,5,FALSE),0)/1000+ROUND(H69,3)))))</f>
        <v/>
      </c>
      <c r="K69" s="18" t="str">
        <f t="shared" si="5"/>
        <v/>
      </c>
      <c r="L69" s="45" t="str">
        <f>IF(AND(NOT(ISNA(VLOOKUP(G69,A6:E105,5,FALSE))),H69="",I69&lt;&gt;""),ROUND((VLOOKUP(G69,A6:E105,5,FALSE)-K69)/1000,3),IF(AND(NOT(ISNA(VLOOKUP(G69,G6:K68,5,FALSE))),H69="",I69&lt;&gt;""),ROUND((VLOOKUP(G69,G6:K68,5,FALSE)-K69)/1000,3),""))</f>
        <v/>
      </c>
      <c r="M69" s="19">
        <f>IF(M68="","",M68+1)</f>
        <v>263</v>
      </c>
      <c r="N69" s="39"/>
      <c r="O69" s="39"/>
      <c r="P69" s="15" t="str">
        <f>IF(AND(N69&lt;&gt;"",O69&lt;&gt;""),ROUND(N69,3)+ROUND(P68,3)-ROUND(O69,3),IF(AND(EXACT(UPPER(M69),"TBM"),N69&lt;&gt;""),ROUND(N69,3),IF(N69="",P68,IF(ISNA(VLOOKUP(M69,A6:E105,5,FALSE)),IF(ISNA(VLOOKUP(M69,G6:K105,5,FALSE)),IF(ISNA(VLOOKUP(M69,M6:Q68,5,FALSE)),"",ROUND(VLOOKUP(M69,M6:Q68,5,FALSE),0)/1000+ROUND(N69,3)),ROUND(VLOOKUP(M69,G6:K105,5,FALSE),0)/1000+ROUND(N69,3)),ROUND(VLOOKUP(M69,A6:E105,5,FALSE),0)/1000+ROUND(N69,3)))))</f>
        <v/>
      </c>
      <c r="Q69" s="18" t="str">
        <f>IF(OR(NOT(EXACT(UPPER(M69),"TBM")),N69=""),IF(AND(N69&lt;&gt;"",O69="",P69&lt;&gt;""),"",IF(AND(N69="",O69&lt;&gt;"",P69&lt;&gt;""),ROUND(ROUND(P69,3)-ROUND(O69,3),3)*1000,IF(AND(N69&lt;&gt;"",O69&lt;&gt;"",P69&lt;&gt;""),ROUND(ROUND(P68,3)-ROUND(O69,3),3)*1000,""))),"")</f>
        <v/>
      </c>
      <c r="R69" s="45" t="str">
        <f>IF(AND(NOT(ISNA(VLOOKUP(M69,A6:E105,5,FALSE))),N69="",O69&lt;&gt;""),ROUND((VLOOKUP(M69,A6:E105,5,FALSE)-Q69)/1000,3),IF(AND(NOT(ISNA(VLOOKUP(M69,G6:K105,5,FALSE))),N69="",O69&lt;&gt;""),ROUND((VLOOKUP(M69,G6:K105,5,FALSE)-Q69)/1000,3),IF(AND(NOT(ISNA(VLOOKUP(M69,M6:Q68,5,FALSE))),N69="",O69&lt;&gt;""),ROUND((VLOOKUP(M69,M6:Q68,5,FALSE)-Q69)/1000,3),"")))</f>
        <v/>
      </c>
      <c r="S69" s="19">
        <f>IF(S68="","",S68+1)</f>
        <v>363</v>
      </c>
      <c r="T69" s="39"/>
      <c r="U69" s="39"/>
      <c r="V69" s="15" t="str">
        <f>IF(AND(T69&lt;&gt;"",U69&lt;&gt;""),ROUND(T69,3)+ROUND(V68,3)-ROUND(U69,3),IF(AND(EXACT(UPPER(S69),"TBM"),T69&lt;&gt;""),ROUND(T69,3),IF(T69="",V68,IF(ISNA(VLOOKUP(S69,A6:E105,5,FALSE)),IF(ISNA(VLOOKUP(S69,G6:K105,5,FALSE)),IF(ISNA(VLOOKUP(S69,M6:Q105,5,FALSE)),IF(ISNA(VLOOKUP(S69,S6:W68,5,FALSE)),"",ROUND(VLOOKUP(S69,S6:W68,5,FALSE),0)/1000+ROUND(T69,3)),ROUND(VLOOKUP(S69,M6:Q105,5,FALSE),0)/1000+ROUND(T69,3)),ROUND(VLOOKUP(S69,G6:K105,5,FALSE),0)/1000+ROUND(T69,3)),ROUND(VLOOKUP(S69,A6:E105,5,FALSE),0)/1000+ROUND(T69,3)))))</f>
        <v/>
      </c>
      <c r="W69" s="18" t="str">
        <f>IF(OR(NOT(EXACT(UPPER(S69),"TBM")),T69=""),IF(AND(T69&lt;&gt;"",U69="",V69&lt;&gt;""),"",IF(AND(T69="",U69&lt;&gt;"",V69&lt;&gt;""),ROUND(ROUND(V69,3)-ROUND(U69,3),3)*1000,IF(AND(T69&lt;&gt;"",U69&lt;&gt;"",V69&lt;&gt;""),ROUND(ROUND(V68,3)-ROUND(U69,3),3)*1000,""))),"")</f>
        <v/>
      </c>
      <c r="X69" s="45" t="str">
        <f>IF(AND(NOT(ISNA(VLOOKUP(S69,A6:E105,5,FALSE))),T69="",U69&lt;&gt;""),ROUND((VLOOKUP(S69,A6:E105,5,FALSE)-W69)/1000,3),IF(AND(NOT(ISNA(VLOOKUP(S69,G6:K105,5,FALSE))),T69="",U69&lt;&gt;""),ROUND((VLOOKUP(S69,G6:K105,5,FALSE)-W69)/1000,3),IF(AND(NOT(ISNA(VLOOKUP(S69,M6:Q105,5,FALSE))),T69="",U69&lt;&gt;""),ROUND((VLOOKUP(S69,M6:Q105,5,FALSE)-W69)/1000,3),IF(AND(NOT(ISNA(VLOOKUP(S69,S6:W68,5,FALSE))),T69="",U69&lt;&gt;""),ROUND((VLOOKUP(S69,S6:W68,5,FALSE)-W69)/1000,3),""))))</f>
        <v/>
      </c>
      <c r="Y69" s="19">
        <f>IF(Y68="","",Y68+1)</f>
        <v>463</v>
      </c>
      <c r="Z69" s="39"/>
      <c r="AA69" s="39"/>
      <c r="AB69" s="15" t="str">
        <f>IF(AND(Z69&lt;&gt;"",AA69&lt;&gt;""),ROUND(Z69,3)+ROUND(AB68,3)-ROUND(AA69,3),IF(AND(EXACT(UPPER(Y69),"TBM"),Z69&lt;&gt;""),ROUND(Z69,3),IF(Z69="",AB68,IF(ISNA(VLOOKUP(Y69,A6:E105,5,FALSE)),IF(ISNA(VLOOKUP(Y69,G6:K105,5,FALSE)),IF(ISNA(VLOOKUP(Y69,M6:Q105,5,FALSE)),IF(ISNA(VLOOKUP(Y69,S6:W105,5,FALSE)),IF(ISNA(VLOOKUP(Y69,Y6:AC68,5,FALSE)),"",ROUND(VLOOKUP(Y69,Y6:AC68,5,FALSE),0)/1000+ROUND(Z69,3)),ROUND(VLOOKUP(Y69,S6:W105,5,FALSE),0)/1000+ROUND(Z69,3)),ROUND(VLOOKUP(Y69,M6:Q105,5,FALSE),0)/1000+ROUND(Z69,3)),ROUND(VLOOKUP(Y69,G6:K105,5,FALSE),0)/1000+ROUND(Z69,3)),ROUND(VLOOKUP(Y69,A6:E105,5,FALSE),0)/1000+ROUND(Z69,3)))))</f>
        <v/>
      </c>
      <c r="AC69" s="18" t="str">
        <f>IF(OR(NOT(EXACT(UPPER(Y69),"TBM")),Z69=""),IF(AND(Z69&lt;&gt;"",AA69="",AB69&lt;&gt;""),"",IF(AND(Z69="",AA69&lt;&gt;"",AB69&lt;&gt;""),ROUND(ROUND(AB69,3)-ROUND(AA69,3),3)*1000,IF(AND(Z69&lt;&gt;"",AA69&lt;&gt;"",AB69&lt;&gt;""),ROUND(ROUND(AB68,3)-ROUND(AA69,3),3)*1000,""))),"")</f>
        <v/>
      </c>
      <c r="AD69" s="45" t="str">
        <f>IF(AND(NOT(ISNA(VLOOKUP(Y69,A6:E105,5,FALSE))),Z69="",AA69&lt;&gt;""),ROUND((VLOOKUP(Y69,A6:E105,5,FALSE)-AC69)/1000,3),IF(AND(NOT(ISNA(VLOOKUP(Y69,G6:K105,5,FALSE))),Z69="",AA69&lt;&gt;""),ROUND((VLOOKUP(Y69,G6:K105,5,FALSE)-AC69)/1000,3),IF(AND(NOT(ISNA(VLOOKUP(Y69,M6:Q105,5,FALSE))),Z69="",AA69&lt;&gt;""),ROUND((VLOOKUP(Y69,M6:Q105,5,FALSE)-AC69)/1000,3),IF(AND(NOT(ISNA(VLOOKUP(Y69,S6:W105,5,FALSE))),Z69="",AA69&lt;&gt;""),ROUND((VLOOKUP(Y69,S6:W105,5,FALSE)-AC69)/1000,3),IF(AND(NOT(ISNA(VLOOKUP(Y69,Y6:AC68,5,FALSE))),Z69="",AA69&lt;&gt;""),ROUND((VLOOKUP(Y69,Y6:AC68,5,FALSE)-AC69)/1000,3),"")))))</f>
        <v/>
      </c>
      <c r="AE69" s="19">
        <f>IF(AE68="","",AE68+1)</f>
        <v>563</v>
      </c>
      <c r="AF69" s="39"/>
      <c r="AG69" s="39"/>
      <c r="AH69" s="15" t="str">
        <f>IF(AND(AF69&lt;&gt;"",AG69&lt;&gt;""),ROUND(AF69,3)+ROUND(AH68,3)-ROUND(AG69,3),IF(AND(EXACT(UPPER(AE69),"TBM"),AF69&lt;&gt;""),ROUND(AF69,3),IF(AF69="",AH68,IF(ISNA(VLOOKUP(AE69,A6:E105,5,FALSE)),IF(ISNA(VLOOKUP(AE69,G6:K105,5,FALSE)),IF(ISNA(VLOOKUP(AE69,M6:Q105,5,FALSE)),IF(ISNA(VLOOKUP(AE69,S6:W105,5,FALSE)),IF(ISNA(VLOOKUP(AE69,Y6:AC105,5,FALSE)),IF(ISNA(VLOOKUP(AE69,AE6:AI68,5,FALSE)),"",ROUND(VLOOKUP(AE69,AE6:AI68,5,FALSE),0)/1000+ROUND(AF69,3)),ROUND(VLOOKUP(AE69,Y6:AC105,5,FALSE),0)/1000+ROUND(AF69,3)),ROUND(VLOOKUP(AE69,S6:W105,5,FALSE),0)/1000+ROUND(AF69,3)),ROUND(VLOOKUP(AE69,M6:Q105,5,FALSE),0)/1000+ROUND(AF69,3)),ROUND(VLOOKUP(AE69,G6:K105,5,FALSE),0)/1000+ROUND(AF69,3)),ROUND(VLOOKUP(AE69,A6:E105,5,FALSE),0)/1000+ROUND(AF69,3)))))</f>
        <v/>
      </c>
      <c r="AI69" s="18" t="str">
        <f>IF(OR(NOT(EXACT(UPPER(AE69),"TBM")),AF69=""),IF(AND(AF69&lt;&gt;"",AG69="",AH69&lt;&gt;""),"",IF(AND(AF69="",AG69&lt;&gt;"",AH69&lt;&gt;""),ROUND(ROUND(AH69,3)-ROUND(AG69,3),3)*1000,IF(AND(AF69&lt;&gt;"",AG69&lt;&gt;"",AH69&lt;&gt;""),ROUND(ROUND(AH68,3)-ROUND(AG69,3),3)*1000,""))),"")</f>
        <v/>
      </c>
      <c r="AJ69" s="45" t="str">
        <f>IF(AND(NOT(ISNA(VLOOKUP(AE69,A6:E105,5,FALSE))),AF69="",AG69&lt;&gt;""),ROUND((VLOOKUP(AE69,A6:E105,5,FALSE)-AI69)/1000,3),IF(AND(NOT(ISNA(VLOOKUP(AE69,G6:K105,5,FALSE))),AF69="",AG69&lt;&gt;""),ROUND((VLOOKUP(AE69,G6:K105,5,FALSE)-AI69)/1000,3),IF(AND(NOT(ISNA(VLOOKUP(AE69,M6:Q105,5,FALSE))),AF69="",AG69&lt;&gt;""),ROUND((VLOOKUP(AE69,M6:Q105,5,FALSE)-AI69)/1000,3),IF(AND(NOT(ISNA(VLOOKUP(AE69,S6:W105,5,FALSE))),AF69="",AG69&lt;&gt;""),ROUND((VLOOKUP(AE69,S6:W105,5,FALSE)-AI69)/1000,3),IF(AND(NOT(ISNA(VLOOKUP(AE69,Y6:AC105,5,FALSE))),AF69="",AG69&lt;&gt;""),ROUND((VLOOKUP(AE69,Y6:AC105,5,FALSE)-AI69)/1000,3),IF(AND(NOT(ISNA(VLOOKUP(AE69,AE6:AI68,5,FALSE))),AF69="",AG69&lt;&gt;""),ROUND((VLOOKUP(AE69,AE6:AI68,5,FALSE)-AI69)/1000,3),""))))))</f>
        <v/>
      </c>
      <c r="AK69" s="19">
        <f>IF(AK68="","",AK68+1)</f>
        <v>663</v>
      </c>
      <c r="AL69" s="39"/>
      <c r="AM69" s="39"/>
      <c r="AN69" s="15" t="str">
        <f>IF(AND(AL69&lt;&gt;"",AM69&lt;&gt;""),ROUND(AL69,3)+ROUND(AN68,3)-ROUND(AM69,3),IF(AND(EXACT(UPPER(AK69),"TBM"),AL69&lt;&gt;""),ROUND(AL69,3),IF(AL69="",AN68,IF(ISNA(VLOOKUP(AK69,A6:E105,5,FALSE)),IF(ISNA(VLOOKUP(AK69,G6:K105,5,FALSE)),IF(ISNA(VLOOKUP(AK69,M6:Q105,5,FALSE)),IF(ISNA(VLOOKUP(AK69,S6:W105,5,FALSE)),IF(ISNA(VLOOKUP(AK69,Y6:AC105,5,FALSE)),IF(ISNA(VLOOKUP(AK69,AE6:AI105,5,FALSE)),IF(ISNA(VLOOKUP(AK69,AK6:AO68,5,FALSE)),"",ROUND(VLOOKUP(AK69,AK6:AO68,5,FALSE),0)/1000+ROUND(AL69,3)),ROUND(VLOOKUP(AK69,AE6:AI105,5,FALSE),0)/1000+ROUND(AL69,3)),ROUND(VLOOKUP(AK69,Y6:AC105,5,FALSE),0)/1000+ROUND(AL69,3)),ROUND(VLOOKUP(AK69,S6:W105,5,FALSE),0)/1000+ROUND(AL69,3)),ROUND(VLOOKUP(AK69,M6:Q105,5,FALSE),0)/1000+ROUND(AL69,3)),ROUND(VLOOKUP(AK69,G6:K105,5,FALSE),0)/1000+ROUND(AL69,3)),ROUND(VLOOKUP(AK69,A6:E105,5,FALSE),0)/1000+ROUND(AL69,3)))))</f>
        <v/>
      </c>
      <c r="AO69" s="18" t="str">
        <f>IF(OR(NOT(EXACT(UPPER(AK69),"TBM")),AL69=""),IF(AND(AL69&lt;&gt;"",AM69="",AN69&lt;&gt;""),"",IF(AND(AL69="",AM69&lt;&gt;"",AN69&lt;&gt;""),ROUND(ROUND(AN69,3)-ROUND(AM69,3),3)*1000,IF(AND(AL69&lt;&gt;"",AM69&lt;&gt;"",AN69&lt;&gt;""),ROUND(ROUND(AN68,3)-ROUND(AM69,3),3)*1000,""))),"")</f>
        <v/>
      </c>
      <c r="AP69" s="45" t="str">
        <f>IF(AND(NOT(ISNA(VLOOKUP(AK69,A6:E105,5,FALSE))),AL69="",AM69&lt;&gt;""),ROUND((VLOOKUP(AK69,A6:E105,5,FALSE)-AO69)/1000,3),IF(AND(NOT(ISNA(VLOOKUP(AK69,G6:K105,5,FALSE))),AL69="",AM69&lt;&gt;""),ROUND((VLOOKUP(AK69,G6:K105,5,FALSE)-AO69)/1000,3),IF(AND(NOT(ISNA(VLOOKUP(AK69,M6:Q105,5,FALSE))),AL69="",AM69&lt;&gt;""),ROUND((VLOOKUP(AK69,M6:Q105,5,FALSE)-AO69)/1000,3),IF(AND(NOT(ISNA(VLOOKUP(AK69,S6:W105,5,FALSE))),AL69="",AM69&lt;&gt;""),ROUND((VLOOKUP(AK69,S6:W105,5,FALSE)-AO69)/1000,3),IF(AND(NOT(ISNA(VLOOKUP(AK69,Y6:AC105,5,FALSE))),AL69="",AM69&lt;&gt;""),ROUND((VLOOKUP(AK69,Y6:AC105,5,FALSE)-AO69)/1000,3),IF(AND(NOT(ISNA(VLOOKUP(AK69,AE6:AI105,5,FALSE))),AL69="",AM69&lt;&gt;""),ROUND((VLOOKUP(AK69,AE6:AI105,5,FALSE)-AO69)/1000,3),IF(AND(NOT(ISNA(VLOOKUP(AK69,AK6:AO68,5,FALSE))),AL69="",AM69&lt;&gt;""),ROUND((VLOOKUP(AK69,AK6:AO68,5,FALSE)-AO69)/1000,3),"")))))))</f>
        <v/>
      </c>
      <c r="AQ69" s="19">
        <f>IF(AQ68="","",AQ68+1)</f>
        <v>763</v>
      </c>
      <c r="AR69" s="39"/>
      <c r="AS69" s="39"/>
      <c r="AT69" s="15" t="str">
        <f>IF(AND(AR69&lt;&gt;"",AS69&lt;&gt;""),ROUND(AR69,3)+ROUND(AT68,3)-ROUND(AS69,3),IF(AND(EXACT(UPPER(AQ69),"TBM"),AR69&lt;&gt;""),ROUND(AR69,3),IF(AR69="",AT68,IF(ISNA(VLOOKUP(AQ69,A6:E105,5,FALSE)),IF(ISNA(VLOOKUP(AQ69,G6:K105,5,FALSE)),IF(ISNA(VLOOKUP(AQ69,M6:Q105,5,FALSE)),IF(ISNA(VLOOKUP(AQ69,S6:W105,5,FALSE)),IF(ISNA(VLOOKUP(AQ69,Y6:AC105,5,FALSE)),IF(ISNA(VLOOKUP(AQ69,AE6:AI105,5,FALSE)),IF(ISNA(VLOOKUP(AQ69,AK6:AO105,5,FALSE)),IF(ISNA(VLOOKUP(AQ69,AQ6:AU68,5,FALSE)),"",ROUND(VLOOKUP(AQ69,AQ6:AU68,5,FALSE),0)/1000+ROUND(AR69,3)),ROUND(VLOOKUP(AQ69,AK6:AO105,5,FALSE),0)/1000+ROUND(AR69,3)),ROUND(VLOOKUP(AQ69,AE6:AI105,5,FALSE),0)/1000+ROUND(AR69,3)),ROUND(VLOOKUP(AQ69,Y6:AC105,5,FALSE),0)/1000+ROUND(AR69,3)),ROUND(VLOOKUP(AQ69,S6:W105,5,FALSE),0)/1000+ROUND(AR69,3)),ROUND(VLOOKUP(AQ69,M6:Q105,5,FALSE),0)/1000+ROUND(AR69,3)),ROUND(VLOOKUP(AQ69,G6:K105,5,FALSE),0)/1000+ROUND(AR69,3)),ROUND(VLOOKUP(AQ69,A6:E105,5,FALSE),0)/1000+ROUND(AR69,3)))))</f>
        <v/>
      </c>
      <c r="AU69" s="18" t="str">
        <f>IF(OR(NOT(EXACT(UPPER(AQ69),"TBM")),AR69=""),IF(AND(AR69&lt;&gt;"",AS69="",AT69&lt;&gt;""),"",IF(AND(AR69="",AS69&lt;&gt;"",AT69&lt;&gt;""),ROUND(ROUND(AT69,3)-ROUND(AS69,3),3)*1000,IF(AND(AR69&lt;&gt;"",AS69&lt;&gt;"",AT69&lt;&gt;""),ROUND(ROUND(AT68,3)-ROUND(AS69,3),3)*1000,""))),"")</f>
        <v/>
      </c>
      <c r="AV69" s="45" t="str">
        <f>IF(AND(NOT(ISNA(VLOOKUP(AQ69,A6:E105,5,FALSE))),AR69="",AS69&lt;&gt;""),ROUND((VLOOKUP(AQ69,A6:E105,5,FALSE)-AU69)/1000,3),IF(AND(NOT(ISNA(VLOOKUP(AQ69,G6:K105,5,FALSE))),AR69="",AS69&lt;&gt;""),ROUND((VLOOKUP(AQ69,G6:K105,5,FALSE)-AU69)/1000,3),IF(AND(NOT(ISNA(VLOOKUP(AQ69,M6:Q105,5,FALSE))),AR69="",AS69&lt;&gt;""),ROUND((VLOOKUP(AQ69,M6:Q105,5,FALSE)-AU69)/1000,3),IF(AND(NOT(ISNA(VLOOKUP(AQ69,S6:W105,5,FALSE))),AR69="",AS69&lt;&gt;""),ROUND((VLOOKUP(AQ69,S6:W105,5,FALSE)-AU69)/1000,3),IF(AND(NOT(ISNA(VLOOKUP(AQ69,Y6:AC105,5,FALSE))),AR69="",AS69&lt;&gt;""),ROUND((VLOOKUP(AQ69,Y6:AC105,5,FALSE)-AU69)/1000,3),IF(AND(NOT(ISNA(VLOOKUP(AQ69,AE6:AI105,5,FALSE))),AR69="",AS69&lt;&gt;""),ROUND((VLOOKUP(AQ69,AE6:AI105,5,FALSE)-AU69)/1000,3),IF(AND(NOT(ISNA(VLOOKUP(AQ69,AK6:AO105,5,FALSE))),AR69="",AS69&lt;&gt;""),ROUND((VLOOKUP(AQ69,AK6:AO105,5,FALSE)-AU69)/1000,3),IF(AND(NOT(ISNA(VLOOKUP(AQ69,AQ6:AU68,5,FALSE))),AR69="",AS69&lt;&gt;""),ROUND((VLOOKUP(AQ69,AQ6:AU68,5,FALSE)-AU69)/1000,3),""))))))))</f>
        <v/>
      </c>
      <c r="AW69" s="19">
        <f>IF(AW68="","",AW68+1)</f>
        <v>863</v>
      </c>
      <c r="AX69" s="39"/>
      <c r="AY69" s="39"/>
      <c r="AZ69" s="15" t="str">
        <f>IF(AND(AX69&lt;&gt;"",AY69&lt;&gt;""),ROUND(AX69,3)+ROUND(AZ68,3)-ROUND(AY69,3),IF(AND(EXACT(UPPER(AW69),"TBM"),AX69&lt;&gt;""),ROUND(AX69,3),IF(AX69="",AZ68,IF(ISNA(VLOOKUP(AW69,A6:E105,5,FALSE)),IF(ISNA(VLOOKUP(AW69,G6:K105,5,FALSE)),IF(ISNA(VLOOKUP(AW69,M6:Q105,5,FALSE)),IF(ISNA(VLOOKUP(AW69,S6:W105,5,FALSE)),IF(ISNA(VLOOKUP(AW69,Y6:AC105,5,FALSE)),IF(ISNA(VLOOKUP(AW69,AE6:AI105,5,FALSE)),IF(ISNA(VLOOKUP(AW69,AK6:AO105,5,FALSE)),IF(ISNA(VLOOKUP(AW69,AQ6:AU105,5,FALSE)),IF(ISNA(VLOOKUP(AW69,AW6:BA68,5,FALSE)),"",ROUND(VLOOKUP(AW69,AW6:BA68,5,FALSE),0)/1000+ROUND(AX69,3)),ROUND(VLOOKUP(AW69,AQ6:AU105,5,FALSE),0)/1000+ROUND(AX69,3)),ROUND(VLOOKUP(AW69,AK6:AO105,5,FALSE),0)/1000+ROUND(AX69,3)),ROUND(VLOOKUP(AW69,AE6:AI105,5,FALSE),0)/1000+ROUND(AX69,3)),ROUND(VLOOKUP(AW69,Y6:AC105,5,FALSE),0)/1000+ROUND(AX69,3)),ROUND(VLOOKUP(AW69,S6:W105,5,FALSE),0)/1000+ROUND(AX69,3)),ROUND(VLOOKUP(AW69,M6:Q105,5,FALSE),0)/1000+ROUND(AX69,3)),ROUND(VLOOKUP(AW69,G6:K105,5,FALSE),0)/1000+ROUND(AX69,3)),ROUND(VLOOKUP(AW69,A6:E105,5,FALSE),0)/1000+ROUND(AX69,3)))))</f>
        <v/>
      </c>
      <c r="BA69" s="18" t="str">
        <f>IF(OR(NOT(EXACT(UPPER(AW69),"TBM")),AX69=""),IF(AND(AX69&lt;&gt;"",AY69="",AZ69&lt;&gt;""),"",IF(AND(AX69="",AY69&lt;&gt;"",AZ69&lt;&gt;""),ROUND(ROUND(AZ69,3)-ROUND(AY69,3),3)*1000,IF(AND(AX69&lt;&gt;"",AY69&lt;&gt;"",AZ69&lt;&gt;""),ROUND(ROUND(AZ68,3)-ROUND(AY69,3),3)*1000,""))),"")</f>
        <v/>
      </c>
      <c r="BB69" s="45" t="str">
        <f>IF(AND(NOT(ISNA(VLOOKUP(AW69,A6:E105,5,FALSE))),AX69="",AY69&lt;&gt;""),ROUND((VLOOKUP(AW69,A6:E105,5,FALSE)-BA69)/1000,3),IF(AND(NOT(ISNA(VLOOKUP(AW69,G6:K105,5,FALSE))),AX69="",AY69&lt;&gt;""),ROUND((VLOOKUP(AW69,G6:K105,5,FALSE)-BA69)/1000,3),IF(AND(NOT(ISNA(VLOOKUP(AW69,M6:Q105,5,FALSE))),AX69="",AY69&lt;&gt;""),ROUND((VLOOKUP(AW69,M6:Q105,5,FALSE)-BA69)/1000,3),IF(AND(NOT(ISNA(VLOOKUP(AW69,S6:W105,5,FALSE))),AX69="",AY69&lt;&gt;""),ROUND((VLOOKUP(AW69,S6:W105,5,FALSE)-BA69)/1000,3),IF(AND(NOT(ISNA(VLOOKUP(AW69,Y6:AC105,5,FALSE))),AX69="",AY69&lt;&gt;""),ROUND((VLOOKUP(AW69,Y6:AC105,5,FALSE)-BA69)/1000,3),IF(AND(NOT(ISNA(VLOOKUP(AW69,AE6:AI105,5,FALSE))),AX69="",AY69&lt;&gt;""),ROUND((VLOOKUP(AW69,AE6:AI105,5,FALSE)-BA69)/1000,3),IF(AND(NOT(ISNA(VLOOKUP(AW69,AK6:AO105,5,FALSE))),AX69="",AY69&lt;&gt;""),ROUND((VLOOKUP(AW69,AK6:AO105,5,FALSE)-BA69)/1000,3),IF(AND(NOT(ISNA(VLOOKUP(AW69,AQ6:AU105,5,FALSE))),AX69="",AY69&lt;&gt;""),ROUND((VLOOKUP(AW69,AQ6:AU105,5,FALSE)-BA69)/1000,3),IF(AND(NOT(ISNA(VLOOKUP(AW69,AW6:BA68,5,FALSE))),AX69="",AY69&lt;&gt;""),ROUND((VLOOKUP(AW69,AW6:BA68,5,FALSE)-BA69)/1000,3),"")))))))))</f>
        <v/>
      </c>
      <c r="BC69" s="19">
        <f>IF(BC68="","",BC68+1)</f>
        <v>963</v>
      </c>
      <c r="BD69" s="39"/>
      <c r="BE69" s="39"/>
      <c r="BF69" s="15" t="str">
        <f>IF(AND(BD69&lt;&gt;"",BE69&lt;&gt;""),ROUND(BD69,3)+ROUND(BF68,3)-ROUND(BE69,3),IF(AND(EXACT(UPPER(BC69),"TBM"),BD69&lt;&gt;""),ROUND(BD69,3),IF(BD69="",BF68,IF(ISNA(VLOOKUP(BC69,A6:E105,5,FALSE)),IF(ISNA(VLOOKUP(BC69,G6:K105,5,FALSE)),IF(ISNA(VLOOKUP(BC69,M6:Q105,5,FALSE)),IF(ISNA(VLOOKUP(BC69,S6:W105,5,FALSE)),IF(ISNA(VLOOKUP(BC69,Y6:AC105,5,FALSE)),IF(ISNA(VLOOKUP(BC69,AE6:AI105,5,FALSE)),IF(ISNA(VLOOKUP(BC69,AK6:AO105,5,FALSE)),IF(ISNA(VLOOKUP(BC69,AQ6:AU105,5,FALSE)),IF(ISNA(VLOOKUP(BC69,AW6:BA105,5,FALSE)),IF(ISNA(VLOOKUP(BC69,BC6:BG68,5,FALSE)),"",ROUND(VLOOKUP(BC69,BC6:BG68,5,FALSE),0)/1000+ROUND(BD69,3)),ROUND(VLOOKUP(BC69,AW6:BA105,5,FALSE),0)/1000+ROUND(BD69,3)),ROUND(VLOOKUP(BC69,AQ6:AU105,5,FALSE),0)/1000+ROUND(BD69,3)),ROUND(VLOOKUP(BC69,AK6:AO105,5,FALSE),0)/1000+ROUND(BD69,3)),ROUND(VLOOKUP(BC69,AE6:AI105,5,FALSE),0)/1000+ROUND(BD69,3)),ROUND(VLOOKUP(BC69,Y6:AC105,5,FALSE),0)/1000+ROUND(BD69,3)),ROUND(VLOOKUP(BC69,S6:W105,5,FALSE),0)/1000+ROUND(BD69,3)),ROUND(VLOOKUP(BC69,M6:Q105,5,FALSE),0)/1000+ROUND(BD69,3)),ROUND(VLOOKUP(BC69,G6:K105,5,FALSE),0)/1000+ROUND(BD69,3)),ROUND(VLOOKUP(BC69,A6:E105,5,FALSE),0)/1000+ROUND(BD69,3)))))</f>
        <v/>
      </c>
      <c r="BG69" s="18" t="str">
        <f>IF(OR(NOT(EXACT(UPPER(BC69),"TBM")),BD69=""),IF(AND(BD69&lt;&gt;"",BE69="",BF69&lt;&gt;""),"",IF(AND(BD69="",BE69&lt;&gt;"",BF69&lt;&gt;""),ROUND(ROUND(BF69,3)-ROUND(BE69,3),3)*1000,IF(AND(BD69&lt;&gt;"",BE69&lt;&gt;"",BF69&lt;&gt;""),ROUND(ROUND(BF68,3)-ROUND(BE69,3),3)*1000,""))),"")</f>
        <v/>
      </c>
      <c r="BH69" s="45" t="str">
        <f>IF(AND(NOT(ISNA(VLOOKUP(BC69,A6:E105,5,FALSE))),BD69="",BE69&lt;&gt;""),ROUND((VLOOKUP(BC69,A6:E105,5,FALSE)-BG69)/1000,3),IF(AND(NOT(ISNA(VLOOKUP(BC69,G6:K105,5,FALSE))),BD69="",BE69&lt;&gt;""),ROUND((VLOOKUP(BC69,G6:K105,5,FALSE)-BG69)/1000,3),IF(AND(NOT(ISNA(VLOOKUP(BC69,M6:Q105,5,FALSE))),BD69="",BE69&lt;&gt;""),ROUND((VLOOKUP(BC69,M6:Q105,5,FALSE)-BG69)/1000,3),IF(AND(NOT(ISNA(VLOOKUP(BC69,S6:W105,5,FALSE))),BD69="",BE69&lt;&gt;""),ROUND((VLOOKUP(BC69,S6:W105,5,FALSE)-BG69)/1000,3),IF(AND(NOT(ISNA(VLOOKUP(BC69,Y6:AC105,5,FALSE))),BD69="",BE69&lt;&gt;""),ROUND((VLOOKUP(BC69,Y6:AC105,5,FALSE)-BG69)/1000,3),IF(AND(NOT(ISNA(VLOOKUP(BC69,AE6:AI105,5,FALSE))),BD69="",BE69&lt;&gt;""),ROUND((VLOOKUP(BC69,AE6:AI105,5,FALSE)-BG69)/1000,3),IF(AND(NOT(ISNA(VLOOKUP(BC69,AK6:AO105,5,FALSE))),BD69="",BE69&lt;&gt;""),ROUND((VLOOKUP(BC69,AK6:AO105,5,FALSE)-BG69)/1000,3),IF(AND(NOT(ISNA(VLOOKUP(BC69,AQ6:AU105,5,FALSE))),BD69="",BE69&lt;&gt;""),ROUND((VLOOKUP(BC69,AQ6:AU105,5,FALSE)-BG69)/1000,3),IF(AND(NOT(ISNA(VLOOKUP(BC69,AW6:BA105,5,FALSE))),BD69="",BE69&lt;&gt;""),ROUND((VLOOKUP(BC69,AW6:BA105,5,FALSE)-BG69)/1000,3),IF(AND(NOT(ISNA(VLOOKUP(BC69,BC6:BG68,5,FALSE))),BD69="",BE69&lt;&gt;""),ROUND((VLOOKUP(BC69,BC6:BG68,5,FALSE)-BG69)/1000,3),""))))))))))</f>
        <v/>
      </c>
    </row>
    <row r="70" spans="1:60" x14ac:dyDescent="0.25">
      <c r="A70" s="67">
        <f t="shared" si="3"/>
        <v>64</v>
      </c>
      <c r="B70" s="40"/>
      <c r="C70" s="40"/>
      <c r="D70" s="62" t="str">
        <f>IF(AND(B70&lt;&gt;"",C70&lt;&gt;""),ROUND(B70,3)+ROUND(D69,3)-ROUND(C70,3),IF(AND(EXACT(UPPER(A70),"TBM"),B70&lt;&gt;""),ROUND(B70,3),IF(B70="",D69,IF(ISNA(VLOOKUP(A70,A6:E69,5,FALSE)),"",ROUND(VLOOKUP(A70,A6:E69,5,FALSE),0)/1000+ROUND(B70,3)))))</f>
        <v/>
      </c>
      <c r="E70" s="20" t="str">
        <f t="shared" si="4"/>
        <v/>
      </c>
      <c r="F70" s="46" t="str">
        <f>IF(AND(NOT(ISNA(VLOOKUP(A70,A6:E69,5,FALSE))),B70="",C70&lt;&gt;""),ROUND((VLOOKUP(A70,A6:E69,5,FALSE)-E70)/1000,3),"")</f>
        <v/>
      </c>
      <c r="G70" s="67">
        <f t="shared" si="1"/>
        <v>164</v>
      </c>
      <c r="H70" s="40"/>
      <c r="I70" s="40"/>
      <c r="J70" s="62" t="str">
        <f>IF(AND(H70&lt;&gt;"",I70&lt;&gt;""),ROUND(H70,3)+ROUND(J69,3)-ROUND(I70,3),IF(AND(EXACT(UPPER(G70),"TBM"),H70&lt;&gt;""),ROUND(H70,3),IF(H70="",J69,IF(ISNA(VLOOKUP(G70,A6:E105,5,FALSE)),IF(ISNA(VLOOKUP(G70,G6:K69,5,FALSE)),"",ROUND(VLOOKUP(G70,G6:K69,5,FALSE),0)/1000+ROUND(H70,3)),ROUND(VLOOKUP(G70,A6:E105,5,FALSE),0)/1000+ROUND(H70,3)))))</f>
        <v/>
      </c>
      <c r="K70" s="63" t="str">
        <f t="shared" si="5"/>
        <v/>
      </c>
      <c r="L70" s="46" t="str">
        <f>IF(AND(NOT(ISNA(VLOOKUP(G70,A6:E105,5,FALSE))),H70="",I70&lt;&gt;""),ROUND((VLOOKUP(G70,A6:E105,5,FALSE)-K70)/1000,3),IF(AND(NOT(ISNA(VLOOKUP(G70,G6:K69,5,FALSE))),H70="",I70&lt;&gt;""),ROUND((VLOOKUP(G70,G6:K69,5,FALSE)-K70)/1000,3),""))</f>
        <v/>
      </c>
      <c r="M70" s="67">
        <f>IF(M69="","",M69+1)</f>
        <v>264</v>
      </c>
      <c r="N70" s="40"/>
      <c r="O70" s="40"/>
      <c r="P70" s="62" t="str">
        <f>IF(AND(N70&lt;&gt;"",O70&lt;&gt;""),ROUND(N70,3)+ROUND(P69,3)-ROUND(O70,3),IF(AND(EXACT(UPPER(M70),"TBM"),N70&lt;&gt;""),ROUND(N70,3),IF(N70="",P69,IF(ISNA(VLOOKUP(M70,A6:E105,5,FALSE)),IF(ISNA(VLOOKUP(M70,G6:K105,5,FALSE)),IF(ISNA(VLOOKUP(M70,M6:Q69,5,FALSE)),"",ROUND(VLOOKUP(M70,M6:Q69,5,FALSE),0)/1000+ROUND(N70,3)),ROUND(VLOOKUP(M70,G6:K105,5,FALSE),0)/1000+ROUND(N70,3)),ROUND(VLOOKUP(M70,A6:E105,5,FALSE),0)/1000+ROUND(N70,3)))))</f>
        <v/>
      </c>
      <c r="Q70" s="63" t="str">
        <f>IF(OR(NOT(EXACT(UPPER(M70),"TBM")),N70=""),IF(AND(N70&lt;&gt;"",O70="",P70&lt;&gt;""),"",IF(AND(N70="",O70&lt;&gt;"",P70&lt;&gt;""),ROUND(ROUND(P70,3)-ROUND(O70,3),3)*1000,IF(AND(N70&lt;&gt;"",O70&lt;&gt;"",P70&lt;&gt;""),ROUND(ROUND(P69,3)-ROUND(O70,3),3)*1000,""))),"")</f>
        <v/>
      </c>
      <c r="R70" s="46" t="str">
        <f>IF(AND(NOT(ISNA(VLOOKUP(M70,A6:E105,5,FALSE))),N70="",O70&lt;&gt;""),ROUND((VLOOKUP(M70,A6:E105,5,FALSE)-Q70)/1000,3),IF(AND(NOT(ISNA(VLOOKUP(M70,G6:K105,5,FALSE))),N70="",O70&lt;&gt;""),ROUND((VLOOKUP(M70,G6:K105,5,FALSE)-Q70)/1000,3),IF(AND(NOT(ISNA(VLOOKUP(M70,M6:Q69,5,FALSE))),N70="",O70&lt;&gt;""),ROUND((VLOOKUP(M70,M6:Q69,5,FALSE)-Q70)/1000,3),"")))</f>
        <v/>
      </c>
      <c r="S70" s="67">
        <f>IF(S69="","",S69+1)</f>
        <v>364</v>
      </c>
      <c r="T70" s="40"/>
      <c r="U70" s="40"/>
      <c r="V70" s="62" t="str">
        <f>IF(AND(T70&lt;&gt;"",U70&lt;&gt;""),ROUND(T70,3)+ROUND(V69,3)-ROUND(U70,3),IF(AND(EXACT(UPPER(S70),"TBM"),T70&lt;&gt;""),ROUND(T70,3),IF(T70="",V69,IF(ISNA(VLOOKUP(S70,A6:E105,5,FALSE)),IF(ISNA(VLOOKUP(S70,G6:K105,5,FALSE)),IF(ISNA(VLOOKUP(S70,M6:Q105,5,FALSE)),IF(ISNA(VLOOKUP(S70,S6:W69,5,FALSE)),"",ROUND(VLOOKUP(S70,S6:W69,5,FALSE),0)/1000+ROUND(T70,3)),ROUND(VLOOKUP(S70,M6:Q105,5,FALSE),0)/1000+ROUND(T70,3)),ROUND(VLOOKUP(S70,G6:K105,5,FALSE),0)/1000+ROUND(T70,3)),ROUND(VLOOKUP(S70,A6:E105,5,FALSE),0)/1000+ROUND(T70,3)))))</f>
        <v/>
      </c>
      <c r="W70" s="63" t="str">
        <f>IF(OR(NOT(EXACT(UPPER(S70),"TBM")),T70=""),IF(AND(T70&lt;&gt;"",U70="",V70&lt;&gt;""),"",IF(AND(T70="",U70&lt;&gt;"",V70&lt;&gt;""),ROUND(ROUND(V70,3)-ROUND(U70,3),3)*1000,IF(AND(T70&lt;&gt;"",U70&lt;&gt;"",V70&lt;&gt;""),ROUND(ROUND(V69,3)-ROUND(U70,3),3)*1000,""))),"")</f>
        <v/>
      </c>
      <c r="X70" s="46" t="str">
        <f>IF(AND(NOT(ISNA(VLOOKUP(S70,A6:E105,5,FALSE))),T70="",U70&lt;&gt;""),ROUND((VLOOKUP(S70,A6:E105,5,FALSE)-W70)/1000,3),IF(AND(NOT(ISNA(VLOOKUP(S70,G6:K105,5,FALSE))),T70="",U70&lt;&gt;""),ROUND((VLOOKUP(S70,G6:K105,5,FALSE)-W70)/1000,3),IF(AND(NOT(ISNA(VLOOKUP(S70,M6:Q105,5,FALSE))),T70="",U70&lt;&gt;""),ROUND((VLOOKUP(S70,M6:Q105,5,FALSE)-W70)/1000,3),IF(AND(NOT(ISNA(VLOOKUP(S70,S6:W69,5,FALSE))),T70="",U70&lt;&gt;""),ROUND((VLOOKUP(S70,S6:W69,5,FALSE)-W70)/1000,3),""))))</f>
        <v/>
      </c>
      <c r="Y70" s="67">
        <f>IF(Y69="","",Y69+1)</f>
        <v>464</v>
      </c>
      <c r="Z70" s="40"/>
      <c r="AA70" s="40"/>
      <c r="AB70" s="62" t="str">
        <f>IF(AND(Z70&lt;&gt;"",AA70&lt;&gt;""),ROUND(Z70,3)+ROUND(AB69,3)-ROUND(AA70,3),IF(AND(EXACT(UPPER(Y70),"TBM"),Z70&lt;&gt;""),ROUND(Z70,3),IF(Z70="",AB69,IF(ISNA(VLOOKUP(Y70,A6:E105,5,FALSE)),IF(ISNA(VLOOKUP(Y70,G6:K105,5,FALSE)),IF(ISNA(VLOOKUP(Y70,M6:Q105,5,FALSE)),IF(ISNA(VLOOKUP(Y70,S6:W105,5,FALSE)),IF(ISNA(VLOOKUP(Y70,Y6:AC69,5,FALSE)),"",ROUND(VLOOKUP(Y70,Y6:AC69,5,FALSE),0)/1000+ROUND(Z70,3)),ROUND(VLOOKUP(Y70,S6:W105,5,FALSE),0)/1000+ROUND(Z70,3)),ROUND(VLOOKUP(Y70,M6:Q105,5,FALSE),0)/1000+ROUND(Z70,3)),ROUND(VLOOKUP(Y70,G6:K105,5,FALSE),0)/1000+ROUND(Z70,3)),ROUND(VLOOKUP(Y70,A6:E105,5,FALSE),0)/1000+ROUND(Z70,3)))))</f>
        <v/>
      </c>
      <c r="AC70" s="63" t="str">
        <f>IF(OR(NOT(EXACT(UPPER(Y70),"TBM")),Z70=""),IF(AND(Z70&lt;&gt;"",AA70="",AB70&lt;&gt;""),"",IF(AND(Z70="",AA70&lt;&gt;"",AB70&lt;&gt;""),ROUND(ROUND(AB70,3)-ROUND(AA70,3),3)*1000,IF(AND(Z70&lt;&gt;"",AA70&lt;&gt;"",AB70&lt;&gt;""),ROUND(ROUND(AB69,3)-ROUND(AA70,3),3)*1000,""))),"")</f>
        <v/>
      </c>
      <c r="AD70" s="46" t="str">
        <f>IF(AND(NOT(ISNA(VLOOKUP(Y70,A6:E105,5,FALSE))),Z70="",AA70&lt;&gt;""),ROUND((VLOOKUP(Y70,A6:E105,5,FALSE)-AC70)/1000,3),IF(AND(NOT(ISNA(VLOOKUP(Y70,G6:K105,5,FALSE))),Z70="",AA70&lt;&gt;""),ROUND((VLOOKUP(Y70,G6:K105,5,FALSE)-AC70)/1000,3),IF(AND(NOT(ISNA(VLOOKUP(Y70,M6:Q105,5,FALSE))),Z70="",AA70&lt;&gt;""),ROUND((VLOOKUP(Y70,M6:Q105,5,FALSE)-AC70)/1000,3),IF(AND(NOT(ISNA(VLOOKUP(Y70,S6:W105,5,FALSE))),Z70="",AA70&lt;&gt;""),ROUND((VLOOKUP(Y70,S6:W105,5,FALSE)-AC70)/1000,3),IF(AND(NOT(ISNA(VLOOKUP(Y70,Y6:AC69,5,FALSE))),Z70="",AA70&lt;&gt;""),ROUND((VLOOKUP(Y70,Y6:AC69,5,FALSE)-AC70)/1000,3),"")))))</f>
        <v/>
      </c>
      <c r="AE70" s="67">
        <f>IF(AE69="","",AE69+1)</f>
        <v>564</v>
      </c>
      <c r="AF70" s="40"/>
      <c r="AG70" s="40"/>
      <c r="AH70" s="62" t="str">
        <f>IF(AND(AF70&lt;&gt;"",AG70&lt;&gt;""),ROUND(AF70,3)+ROUND(AH69,3)-ROUND(AG70,3),IF(AND(EXACT(UPPER(AE70),"TBM"),AF70&lt;&gt;""),ROUND(AF70,3),IF(AF70="",AH69,IF(ISNA(VLOOKUP(AE70,A6:E105,5,FALSE)),IF(ISNA(VLOOKUP(AE70,G6:K105,5,FALSE)),IF(ISNA(VLOOKUP(AE70,M6:Q105,5,FALSE)),IF(ISNA(VLOOKUP(AE70,S6:W105,5,FALSE)),IF(ISNA(VLOOKUP(AE70,Y6:AC105,5,FALSE)),IF(ISNA(VLOOKUP(AE70,AE6:AI69,5,FALSE)),"",ROUND(VLOOKUP(AE70,AE6:AI69,5,FALSE),0)/1000+ROUND(AF70,3)),ROUND(VLOOKUP(AE70,Y6:AC105,5,FALSE),0)/1000+ROUND(AF70,3)),ROUND(VLOOKUP(AE70,S6:W105,5,FALSE),0)/1000+ROUND(AF70,3)),ROUND(VLOOKUP(AE70,M6:Q105,5,FALSE),0)/1000+ROUND(AF70,3)),ROUND(VLOOKUP(AE70,G6:K105,5,FALSE),0)/1000+ROUND(AF70,3)),ROUND(VLOOKUP(AE70,A6:E105,5,FALSE),0)/1000+ROUND(AF70,3)))))</f>
        <v/>
      </c>
      <c r="AI70" s="63" t="str">
        <f>IF(OR(NOT(EXACT(UPPER(AE70),"TBM")),AF70=""),IF(AND(AF70&lt;&gt;"",AG70="",AH70&lt;&gt;""),"",IF(AND(AF70="",AG70&lt;&gt;"",AH70&lt;&gt;""),ROUND(ROUND(AH70,3)-ROUND(AG70,3),3)*1000,IF(AND(AF70&lt;&gt;"",AG70&lt;&gt;"",AH70&lt;&gt;""),ROUND(ROUND(AH69,3)-ROUND(AG70,3),3)*1000,""))),"")</f>
        <v/>
      </c>
      <c r="AJ70" s="46" t="str">
        <f>IF(AND(NOT(ISNA(VLOOKUP(AE70,A6:E105,5,FALSE))),AF70="",AG70&lt;&gt;""),ROUND((VLOOKUP(AE70,A6:E105,5,FALSE)-AI70)/1000,3),IF(AND(NOT(ISNA(VLOOKUP(AE70,G6:K105,5,FALSE))),AF70="",AG70&lt;&gt;""),ROUND((VLOOKUP(AE70,G6:K105,5,FALSE)-AI70)/1000,3),IF(AND(NOT(ISNA(VLOOKUP(AE70,M6:Q105,5,FALSE))),AF70="",AG70&lt;&gt;""),ROUND((VLOOKUP(AE70,M6:Q105,5,FALSE)-AI70)/1000,3),IF(AND(NOT(ISNA(VLOOKUP(AE70,S6:W105,5,FALSE))),AF70="",AG70&lt;&gt;""),ROUND((VLOOKUP(AE70,S6:W105,5,FALSE)-AI70)/1000,3),IF(AND(NOT(ISNA(VLOOKUP(AE70,Y6:AC105,5,FALSE))),AF70="",AG70&lt;&gt;""),ROUND((VLOOKUP(AE70,Y6:AC105,5,FALSE)-AI70)/1000,3),IF(AND(NOT(ISNA(VLOOKUP(AE70,AE6:AI69,5,FALSE))),AF70="",AG70&lt;&gt;""),ROUND((VLOOKUP(AE70,AE6:AI69,5,FALSE)-AI70)/1000,3),""))))))</f>
        <v/>
      </c>
      <c r="AK70" s="67">
        <f>IF(AK69="","",AK69+1)</f>
        <v>664</v>
      </c>
      <c r="AL70" s="40"/>
      <c r="AM70" s="40"/>
      <c r="AN70" s="62" t="str">
        <f>IF(AND(AL70&lt;&gt;"",AM70&lt;&gt;""),ROUND(AL70,3)+ROUND(AN69,3)-ROUND(AM70,3),IF(AND(EXACT(UPPER(AK70),"TBM"),AL70&lt;&gt;""),ROUND(AL70,3),IF(AL70="",AN69,IF(ISNA(VLOOKUP(AK70,A6:E105,5,FALSE)),IF(ISNA(VLOOKUP(AK70,G6:K105,5,FALSE)),IF(ISNA(VLOOKUP(AK70,M6:Q105,5,FALSE)),IF(ISNA(VLOOKUP(AK70,S6:W105,5,FALSE)),IF(ISNA(VLOOKUP(AK70,Y6:AC105,5,FALSE)),IF(ISNA(VLOOKUP(AK70,AE6:AI105,5,FALSE)),IF(ISNA(VLOOKUP(AK70,AK6:AO69,5,FALSE)),"",ROUND(VLOOKUP(AK70,AK6:AO69,5,FALSE),0)/1000+ROUND(AL70,3)),ROUND(VLOOKUP(AK70,AE6:AI105,5,FALSE),0)/1000+ROUND(AL70,3)),ROUND(VLOOKUP(AK70,Y6:AC105,5,FALSE),0)/1000+ROUND(AL70,3)),ROUND(VLOOKUP(AK70,S6:W105,5,FALSE),0)/1000+ROUND(AL70,3)),ROUND(VLOOKUP(AK70,M6:Q105,5,FALSE),0)/1000+ROUND(AL70,3)),ROUND(VLOOKUP(AK70,G6:K105,5,FALSE),0)/1000+ROUND(AL70,3)),ROUND(VLOOKUP(AK70,A6:E105,5,FALSE),0)/1000+ROUND(AL70,3)))))</f>
        <v/>
      </c>
      <c r="AO70" s="63" t="str">
        <f>IF(OR(NOT(EXACT(UPPER(AK70),"TBM")),AL70=""),IF(AND(AL70&lt;&gt;"",AM70="",AN70&lt;&gt;""),"",IF(AND(AL70="",AM70&lt;&gt;"",AN70&lt;&gt;""),ROUND(ROUND(AN70,3)-ROUND(AM70,3),3)*1000,IF(AND(AL70&lt;&gt;"",AM70&lt;&gt;"",AN70&lt;&gt;""),ROUND(ROUND(AN69,3)-ROUND(AM70,3),3)*1000,""))),"")</f>
        <v/>
      </c>
      <c r="AP70" s="46" t="str">
        <f>IF(AND(NOT(ISNA(VLOOKUP(AK70,A6:E105,5,FALSE))),AL70="",AM70&lt;&gt;""),ROUND((VLOOKUP(AK70,A6:E105,5,FALSE)-AO70)/1000,3),IF(AND(NOT(ISNA(VLOOKUP(AK70,G6:K105,5,FALSE))),AL70="",AM70&lt;&gt;""),ROUND((VLOOKUP(AK70,G6:K105,5,FALSE)-AO70)/1000,3),IF(AND(NOT(ISNA(VLOOKUP(AK70,M6:Q105,5,FALSE))),AL70="",AM70&lt;&gt;""),ROUND((VLOOKUP(AK70,M6:Q105,5,FALSE)-AO70)/1000,3),IF(AND(NOT(ISNA(VLOOKUP(AK70,S6:W105,5,FALSE))),AL70="",AM70&lt;&gt;""),ROUND((VLOOKUP(AK70,S6:W105,5,FALSE)-AO70)/1000,3),IF(AND(NOT(ISNA(VLOOKUP(AK70,Y6:AC105,5,FALSE))),AL70="",AM70&lt;&gt;""),ROUND((VLOOKUP(AK70,Y6:AC105,5,FALSE)-AO70)/1000,3),IF(AND(NOT(ISNA(VLOOKUP(AK70,AE6:AI105,5,FALSE))),AL70="",AM70&lt;&gt;""),ROUND((VLOOKUP(AK70,AE6:AI105,5,FALSE)-AO70)/1000,3),IF(AND(NOT(ISNA(VLOOKUP(AK70,AK6:AO69,5,FALSE))),AL70="",AM70&lt;&gt;""),ROUND((VLOOKUP(AK70,AK6:AO69,5,FALSE)-AO70)/1000,3),"")))))))</f>
        <v/>
      </c>
      <c r="AQ70" s="67">
        <f>IF(AQ69="","",AQ69+1)</f>
        <v>764</v>
      </c>
      <c r="AR70" s="40"/>
      <c r="AS70" s="40"/>
      <c r="AT70" s="62" t="str">
        <f>IF(AND(AR70&lt;&gt;"",AS70&lt;&gt;""),ROUND(AR70,3)+ROUND(AT69,3)-ROUND(AS70,3),IF(AND(EXACT(UPPER(AQ70),"TBM"),AR70&lt;&gt;""),ROUND(AR70,3),IF(AR70="",AT69,IF(ISNA(VLOOKUP(AQ70,A6:E105,5,FALSE)),IF(ISNA(VLOOKUP(AQ70,G6:K105,5,FALSE)),IF(ISNA(VLOOKUP(AQ70,M6:Q105,5,FALSE)),IF(ISNA(VLOOKUP(AQ70,S6:W105,5,FALSE)),IF(ISNA(VLOOKUP(AQ70,Y6:AC105,5,FALSE)),IF(ISNA(VLOOKUP(AQ70,AE6:AI105,5,FALSE)),IF(ISNA(VLOOKUP(AQ70,AK6:AO105,5,FALSE)),IF(ISNA(VLOOKUP(AQ70,AQ6:AU69,5,FALSE)),"",ROUND(VLOOKUP(AQ70,AQ6:AU69,5,FALSE),0)/1000+ROUND(AR70,3)),ROUND(VLOOKUP(AQ70,AK6:AO105,5,FALSE),0)/1000+ROUND(AR70,3)),ROUND(VLOOKUP(AQ70,AE6:AI105,5,FALSE),0)/1000+ROUND(AR70,3)),ROUND(VLOOKUP(AQ70,Y6:AC105,5,FALSE),0)/1000+ROUND(AR70,3)),ROUND(VLOOKUP(AQ70,S6:W105,5,FALSE),0)/1000+ROUND(AR70,3)),ROUND(VLOOKUP(AQ70,M6:Q105,5,FALSE),0)/1000+ROUND(AR70,3)),ROUND(VLOOKUP(AQ70,G6:K105,5,FALSE),0)/1000+ROUND(AR70,3)),ROUND(VLOOKUP(AQ70,A6:E105,5,FALSE),0)/1000+ROUND(AR70,3)))))</f>
        <v/>
      </c>
      <c r="AU70" s="63" t="str">
        <f>IF(OR(NOT(EXACT(UPPER(AQ70),"TBM")),AR70=""),IF(AND(AR70&lt;&gt;"",AS70="",AT70&lt;&gt;""),"",IF(AND(AR70="",AS70&lt;&gt;"",AT70&lt;&gt;""),ROUND(ROUND(AT70,3)-ROUND(AS70,3),3)*1000,IF(AND(AR70&lt;&gt;"",AS70&lt;&gt;"",AT70&lt;&gt;""),ROUND(ROUND(AT69,3)-ROUND(AS70,3),3)*1000,""))),"")</f>
        <v/>
      </c>
      <c r="AV70" s="46" t="str">
        <f>IF(AND(NOT(ISNA(VLOOKUP(AQ70,A6:E105,5,FALSE))),AR70="",AS70&lt;&gt;""),ROUND((VLOOKUP(AQ70,A6:E105,5,FALSE)-AU70)/1000,3),IF(AND(NOT(ISNA(VLOOKUP(AQ70,G6:K105,5,FALSE))),AR70="",AS70&lt;&gt;""),ROUND((VLOOKUP(AQ70,G6:K105,5,FALSE)-AU70)/1000,3),IF(AND(NOT(ISNA(VLOOKUP(AQ70,M6:Q105,5,FALSE))),AR70="",AS70&lt;&gt;""),ROUND((VLOOKUP(AQ70,M6:Q105,5,FALSE)-AU70)/1000,3),IF(AND(NOT(ISNA(VLOOKUP(AQ70,S6:W105,5,FALSE))),AR70="",AS70&lt;&gt;""),ROUND((VLOOKUP(AQ70,S6:W105,5,FALSE)-AU70)/1000,3),IF(AND(NOT(ISNA(VLOOKUP(AQ70,Y6:AC105,5,FALSE))),AR70="",AS70&lt;&gt;""),ROUND((VLOOKUP(AQ70,Y6:AC105,5,FALSE)-AU70)/1000,3),IF(AND(NOT(ISNA(VLOOKUP(AQ70,AE6:AI105,5,FALSE))),AR70="",AS70&lt;&gt;""),ROUND((VLOOKUP(AQ70,AE6:AI105,5,FALSE)-AU70)/1000,3),IF(AND(NOT(ISNA(VLOOKUP(AQ70,AK6:AO105,5,FALSE))),AR70="",AS70&lt;&gt;""),ROUND((VLOOKUP(AQ70,AK6:AO105,5,FALSE)-AU70)/1000,3),IF(AND(NOT(ISNA(VLOOKUP(AQ70,AQ6:AU69,5,FALSE))),AR70="",AS70&lt;&gt;""),ROUND((VLOOKUP(AQ70,AQ6:AU69,5,FALSE)-AU70)/1000,3),""))))))))</f>
        <v/>
      </c>
      <c r="AW70" s="67">
        <f>IF(AW69="","",AW69+1)</f>
        <v>864</v>
      </c>
      <c r="AX70" s="40"/>
      <c r="AY70" s="40"/>
      <c r="AZ70" s="62" t="str">
        <f>IF(AND(AX70&lt;&gt;"",AY70&lt;&gt;""),ROUND(AX70,3)+ROUND(AZ69,3)-ROUND(AY70,3),IF(AND(EXACT(UPPER(AW70),"TBM"),AX70&lt;&gt;""),ROUND(AX70,3),IF(AX70="",AZ69,IF(ISNA(VLOOKUP(AW70,A6:E105,5,FALSE)),IF(ISNA(VLOOKUP(AW70,G6:K105,5,FALSE)),IF(ISNA(VLOOKUP(AW70,M6:Q105,5,FALSE)),IF(ISNA(VLOOKUP(AW70,S6:W105,5,FALSE)),IF(ISNA(VLOOKUP(AW70,Y6:AC105,5,FALSE)),IF(ISNA(VLOOKUP(AW70,AE6:AI105,5,FALSE)),IF(ISNA(VLOOKUP(AW70,AK6:AO105,5,FALSE)),IF(ISNA(VLOOKUP(AW70,AQ6:AU105,5,FALSE)),IF(ISNA(VLOOKUP(AW70,AW6:BA69,5,FALSE)),"",ROUND(VLOOKUP(AW70,AW6:BA69,5,FALSE),0)/1000+ROUND(AX70,3)),ROUND(VLOOKUP(AW70,AQ6:AU105,5,FALSE),0)/1000+ROUND(AX70,3)),ROUND(VLOOKUP(AW70,AK6:AO105,5,FALSE),0)/1000+ROUND(AX70,3)),ROUND(VLOOKUP(AW70,AE6:AI105,5,FALSE),0)/1000+ROUND(AX70,3)),ROUND(VLOOKUP(AW70,Y6:AC105,5,FALSE),0)/1000+ROUND(AX70,3)),ROUND(VLOOKUP(AW70,S6:W105,5,FALSE),0)/1000+ROUND(AX70,3)),ROUND(VLOOKUP(AW70,M6:Q105,5,FALSE),0)/1000+ROUND(AX70,3)),ROUND(VLOOKUP(AW70,G6:K105,5,FALSE),0)/1000+ROUND(AX70,3)),ROUND(VLOOKUP(AW70,A6:E105,5,FALSE),0)/1000+ROUND(AX70,3)))))</f>
        <v/>
      </c>
      <c r="BA70" s="63" t="str">
        <f>IF(OR(NOT(EXACT(UPPER(AW70),"TBM")),AX70=""),IF(AND(AX70&lt;&gt;"",AY70="",AZ70&lt;&gt;""),"",IF(AND(AX70="",AY70&lt;&gt;"",AZ70&lt;&gt;""),ROUND(ROUND(AZ70,3)-ROUND(AY70,3),3)*1000,IF(AND(AX70&lt;&gt;"",AY70&lt;&gt;"",AZ70&lt;&gt;""),ROUND(ROUND(AZ69,3)-ROUND(AY70,3),3)*1000,""))),"")</f>
        <v/>
      </c>
      <c r="BB70" s="46" t="str">
        <f>IF(AND(NOT(ISNA(VLOOKUP(AW70,A6:E105,5,FALSE))),AX70="",AY70&lt;&gt;""),ROUND((VLOOKUP(AW70,A6:E105,5,FALSE)-BA70)/1000,3),IF(AND(NOT(ISNA(VLOOKUP(AW70,G6:K105,5,FALSE))),AX70="",AY70&lt;&gt;""),ROUND((VLOOKUP(AW70,G6:K105,5,FALSE)-BA70)/1000,3),IF(AND(NOT(ISNA(VLOOKUP(AW70,M6:Q105,5,FALSE))),AX70="",AY70&lt;&gt;""),ROUND((VLOOKUP(AW70,M6:Q105,5,FALSE)-BA70)/1000,3),IF(AND(NOT(ISNA(VLOOKUP(AW70,S6:W105,5,FALSE))),AX70="",AY70&lt;&gt;""),ROUND((VLOOKUP(AW70,S6:W105,5,FALSE)-BA70)/1000,3),IF(AND(NOT(ISNA(VLOOKUP(AW70,Y6:AC105,5,FALSE))),AX70="",AY70&lt;&gt;""),ROUND((VLOOKUP(AW70,Y6:AC105,5,FALSE)-BA70)/1000,3),IF(AND(NOT(ISNA(VLOOKUP(AW70,AE6:AI105,5,FALSE))),AX70="",AY70&lt;&gt;""),ROUND((VLOOKUP(AW70,AE6:AI105,5,FALSE)-BA70)/1000,3),IF(AND(NOT(ISNA(VLOOKUP(AW70,AK6:AO105,5,FALSE))),AX70="",AY70&lt;&gt;""),ROUND((VLOOKUP(AW70,AK6:AO105,5,FALSE)-BA70)/1000,3),IF(AND(NOT(ISNA(VLOOKUP(AW70,AQ6:AU105,5,FALSE))),AX70="",AY70&lt;&gt;""),ROUND((VLOOKUP(AW70,AQ6:AU105,5,FALSE)-BA70)/1000,3),IF(AND(NOT(ISNA(VLOOKUP(AW70,AW6:BA69,5,FALSE))),AX70="",AY70&lt;&gt;""),ROUND((VLOOKUP(AW70,AW6:BA69,5,FALSE)-BA70)/1000,3),"")))))))))</f>
        <v/>
      </c>
      <c r="BC70" s="67">
        <f>IF(BC69="","",BC69+1)</f>
        <v>964</v>
      </c>
      <c r="BD70" s="40"/>
      <c r="BE70" s="40"/>
      <c r="BF70" s="62" t="str">
        <f>IF(AND(BD70&lt;&gt;"",BE70&lt;&gt;""),ROUND(BD70,3)+ROUND(BF69,3)-ROUND(BE70,3),IF(AND(EXACT(UPPER(BC70),"TBM"),BD70&lt;&gt;""),ROUND(BD70,3),IF(BD70="",BF69,IF(ISNA(VLOOKUP(BC70,A6:E105,5,FALSE)),IF(ISNA(VLOOKUP(BC70,G6:K105,5,FALSE)),IF(ISNA(VLOOKUP(BC70,M6:Q105,5,FALSE)),IF(ISNA(VLOOKUP(BC70,S6:W105,5,FALSE)),IF(ISNA(VLOOKUP(BC70,Y6:AC105,5,FALSE)),IF(ISNA(VLOOKUP(BC70,AE6:AI105,5,FALSE)),IF(ISNA(VLOOKUP(BC70,AK6:AO105,5,FALSE)),IF(ISNA(VLOOKUP(BC70,AQ6:AU105,5,FALSE)),IF(ISNA(VLOOKUP(BC70,AW6:BA105,5,FALSE)),IF(ISNA(VLOOKUP(BC70,BC6:BG69,5,FALSE)),"",ROUND(VLOOKUP(BC70,BC6:BG69,5,FALSE),0)/1000+ROUND(BD70,3)),ROUND(VLOOKUP(BC70,AW6:BA105,5,FALSE),0)/1000+ROUND(BD70,3)),ROUND(VLOOKUP(BC70,AQ6:AU105,5,FALSE),0)/1000+ROUND(BD70,3)),ROUND(VLOOKUP(BC70,AK6:AO105,5,FALSE),0)/1000+ROUND(BD70,3)),ROUND(VLOOKUP(BC70,AE6:AI105,5,FALSE),0)/1000+ROUND(BD70,3)),ROUND(VLOOKUP(BC70,Y6:AC105,5,FALSE),0)/1000+ROUND(BD70,3)),ROUND(VLOOKUP(BC70,S6:W105,5,FALSE),0)/1000+ROUND(BD70,3)),ROUND(VLOOKUP(BC70,M6:Q105,5,FALSE),0)/1000+ROUND(BD70,3)),ROUND(VLOOKUP(BC70,G6:K105,5,FALSE),0)/1000+ROUND(BD70,3)),ROUND(VLOOKUP(BC70,A6:E105,5,FALSE),0)/1000+ROUND(BD70,3)))))</f>
        <v/>
      </c>
      <c r="BG70" s="63" t="str">
        <f>IF(OR(NOT(EXACT(UPPER(BC70),"TBM")),BD70=""),IF(AND(BD70&lt;&gt;"",BE70="",BF70&lt;&gt;""),"",IF(AND(BD70="",BE70&lt;&gt;"",BF70&lt;&gt;""),ROUND(ROUND(BF70,3)-ROUND(BE70,3),3)*1000,IF(AND(BD70&lt;&gt;"",BE70&lt;&gt;"",BF70&lt;&gt;""),ROUND(ROUND(BF69,3)-ROUND(BE70,3),3)*1000,""))),"")</f>
        <v/>
      </c>
      <c r="BH70" s="46" t="str">
        <f>IF(AND(NOT(ISNA(VLOOKUP(BC70,A6:E105,5,FALSE))),BD70="",BE70&lt;&gt;""),ROUND((VLOOKUP(BC70,A6:E105,5,FALSE)-BG70)/1000,3),IF(AND(NOT(ISNA(VLOOKUP(BC70,G6:K105,5,FALSE))),BD70="",BE70&lt;&gt;""),ROUND((VLOOKUP(BC70,G6:K105,5,FALSE)-BG70)/1000,3),IF(AND(NOT(ISNA(VLOOKUP(BC70,M6:Q105,5,FALSE))),BD70="",BE70&lt;&gt;""),ROUND((VLOOKUP(BC70,M6:Q105,5,FALSE)-BG70)/1000,3),IF(AND(NOT(ISNA(VLOOKUP(BC70,S6:W105,5,FALSE))),BD70="",BE70&lt;&gt;""),ROUND((VLOOKUP(BC70,S6:W105,5,FALSE)-BG70)/1000,3),IF(AND(NOT(ISNA(VLOOKUP(BC70,Y6:AC105,5,FALSE))),BD70="",BE70&lt;&gt;""),ROUND((VLOOKUP(BC70,Y6:AC105,5,FALSE)-BG70)/1000,3),IF(AND(NOT(ISNA(VLOOKUP(BC70,AE6:AI105,5,FALSE))),BD70="",BE70&lt;&gt;""),ROUND((VLOOKUP(BC70,AE6:AI105,5,FALSE)-BG70)/1000,3),IF(AND(NOT(ISNA(VLOOKUP(BC70,AK6:AO105,5,FALSE))),BD70="",BE70&lt;&gt;""),ROUND((VLOOKUP(BC70,AK6:AO105,5,FALSE)-BG70)/1000,3),IF(AND(NOT(ISNA(VLOOKUP(BC70,AQ6:AU105,5,FALSE))),BD70="",BE70&lt;&gt;""),ROUND((VLOOKUP(BC70,AQ6:AU105,5,FALSE)-BG70)/1000,3),IF(AND(NOT(ISNA(VLOOKUP(BC70,AW6:BA105,5,FALSE))),BD70="",BE70&lt;&gt;""),ROUND((VLOOKUP(BC70,AW6:BA105,5,FALSE)-BG70)/1000,3),IF(AND(NOT(ISNA(VLOOKUP(BC70,BC6:BG69,5,FALSE))),BD70="",BE70&lt;&gt;""),ROUND((VLOOKUP(BC70,BC6:BG69,5,FALSE)-BG70)/1000,3),""))))))))))</f>
        <v/>
      </c>
    </row>
    <row r="71" spans="1:60" x14ac:dyDescent="0.25">
      <c r="A71" s="74">
        <f t="shared" si="3"/>
        <v>65</v>
      </c>
      <c r="B71" s="77"/>
      <c r="C71" s="77"/>
      <c r="D71" s="78" t="str">
        <f>IF(AND(B71&lt;&gt;"",C71&lt;&gt;""),ROUND(B71,3)+ROUND(D70,3)-ROUND(C71,3),IF(AND(EXACT(UPPER(A71),"TBM"),B71&lt;&gt;""),ROUND(B71,3),IF(B71="",D70,IF(ISNA(VLOOKUP(A71,A6:E70,5,FALSE)),"",ROUND(VLOOKUP(A71,A6:E70,5,FALSE),0)/1000+ROUND(B71,3)))))</f>
        <v/>
      </c>
      <c r="E71" s="96" t="str">
        <f t="shared" ref="E71:E102" si="6">IF(OR(NOT(EXACT(UPPER(A71),"TBM")),B71=""),IF(AND(B71&lt;&gt;"",C71="",D71&lt;&gt;""),"",IF(AND(B71="",C71&lt;&gt;"",D71&lt;&gt;""),ROUND(ROUND(D71,3)-ROUND(C71,3),3)*1000,IF(AND(B71&lt;&gt;"",C71&lt;&gt;"",D71&lt;&gt;""),ROUND(ROUND(D70,3)-ROUND(C71,3),3)*1000,""))),"")</f>
        <v/>
      </c>
      <c r="F71" s="89" t="str">
        <f>IF(AND(NOT(ISNA(VLOOKUP(A71,A6:E70,5,FALSE))),B71="",C71&lt;&gt;""),ROUND((VLOOKUP(A71,A6:E70,5,FALSE)-E71)/1000,3),"")</f>
        <v/>
      </c>
      <c r="G71" s="74">
        <f t="shared" ref="G71:G105" si="7">IF(G70="","",G70+1)</f>
        <v>165</v>
      </c>
      <c r="H71" s="77"/>
      <c r="I71" s="77"/>
      <c r="J71" s="78" t="str">
        <f>IF(AND(H71&lt;&gt;"",I71&lt;&gt;""),ROUND(H71,3)+ROUND(J70,3)-ROUND(I71,3),IF(AND(EXACT(UPPER(G71),"TBM"),H71&lt;&gt;""),ROUND(H71,3),IF(H71="",J70,IF(ISNA(VLOOKUP(G71,A6:E105,5,FALSE)),IF(ISNA(VLOOKUP(G71,G6:K70,5,FALSE)),"",ROUND(VLOOKUP(G71,G6:K70,5,FALSE),0)/1000+ROUND(H71,3)),ROUND(VLOOKUP(G71,A6:E105,5,FALSE),0)/1000+ROUND(H71,3)))))</f>
        <v/>
      </c>
      <c r="K71" s="87" t="str">
        <f t="shared" ref="K71:K102" si="8">IF(OR(NOT(EXACT(UPPER(G71),"TBM")),H71=""),IF(AND(H71&lt;&gt;"",I71="",J71&lt;&gt;""),"",IF(AND(H71="",I71&lt;&gt;"",J71&lt;&gt;""),ROUND(ROUND(J71,3)-ROUND(I71,3),3)*1000,IF(AND(H71&lt;&gt;"",I71&lt;&gt;"",J71&lt;&gt;""),ROUND(ROUND(J70,3)-ROUND(I71,3),3)*1000,""))),"")</f>
        <v/>
      </c>
      <c r="L71" s="89" t="str">
        <f>IF(AND(NOT(ISNA(VLOOKUP(G71,A6:E105,5,FALSE))),H71="",I71&lt;&gt;""),ROUND((VLOOKUP(G71,A6:E105,5,FALSE)-K71)/1000,3),IF(AND(NOT(ISNA(VLOOKUP(G71,G6:K70,5,FALSE))),H71="",I71&lt;&gt;""),ROUND((VLOOKUP(G71,G6:K70,5,FALSE)-K71)/1000,3),""))</f>
        <v/>
      </c>
      <c r="M71" s="74">
        <f>IF(M70="","",M70+1)</f>
        <v>265</v>
      </c>
      <c r="N71" s="77"/>
      <c r="O71" s="77"/>
      <c r="P71" s="78" t="str">
        <f>IF(AND(N71&lt;&gt;"",O71&lt;&gt;""),ROUND(N71,3)+ROUND(P70,3)-ROUND(O71,3),IF(AND(EXACT(UPPER(M71),"TBM"),N71&lt;&gt;""),ROUND(N71,3),IF(N71="",P70,IF(ISNA(VLOOKUP(M71,A6:E105,5,FALSE)),IF(ISNA(VLOOKUP(M71,G6:K105,5,FALSE)),IF(ISNA(VLOOKUP(M71,M6:Q70,5,FALSE)),"",ROUND(VLOOKUP(M71,M6:Q70,5,FALSE),0)/1000+ROUND(N71,3)),ROUND(VLOOKUP(M71,G6:K105,5,FALSE),0)/1000+ROUND(N71,3)),ROUND(VLOOKUP(M71,A6:E105,5,FALSE),0)/1000+ROUND(N71,3)))))</f>
        <v/>
      </c>
      <c r="Q71" s="87" t="str">
        <f>IF(OR(NOT(EXACT(UPPER(M71),"TBM")),N71=""),IF(AND(N71&lt;&gt;"",O71="",P71&lt;&gt;""),"",IF(AND(N71="",O71&lt;&gt;"",P71&lt;&gt;""),ROUND(ROUND(P71,3)-ROUND(O71,3),3)*1000,IF(AND(N71&lt;&gt;"",O71&lt;&gt;"",P71&lt;&gt;""),ROUND(ROUND(P70,3)-ROUND(O71,3),3)*1000,""))),"")</f>
        <v/>
      </c>
      <c r="R71" s="89" t="str">
        <f>IF(AND(NOT(ISNA(VLOOKUP(M71,A6:E105,5,FALSE))),N71="",O71&lt;&gt;""),ROUND((VLOOKUP(M71,A6:E105,5,FALSE)-Q71)/1000,3),IF(AND(NOT(ISNA(VLOOKUP(M71,G6:K105,5,FALSE))),N71="",O71&lt;&gt;""),ROUND((VLOOKUP(M71,G6:K105,5,FALSE)-Q71)/1000,3),IF(AND(NOT(ISNA(VLOOKUP(M71,M6:Q70,5,FALSE))),N71="",O71&lt;&gt;""),ROUND((VLOOKUP(M71,M6:Q70,5,FALSE)-Q71)/1000,3),"")))</f>
        <v/>
      </c>
      <c r="S71" s="74">
        <f>IF(S70="","",S70+1)</f>
        <v>365</v>
      </c>
      <c r="T71" s="77"/>
      <c r="U71" s="77"/>
      <c r="V71" s="78" t="str">
        <f>IF(AND(T71&lt;&gt;"",U71&lt;&gt;""),ROUND(T71,3)+ROUND(V70,3)-ROUND(U71,3),IF(AND(EXACT(UPPER(S71),"TBM"),T71&lt;&gt;""),ROUND(T71,3),IF(T71="",V70,IF(ISNA(VLOOKUP(S71,A6:E105,5,FALSE)),IF(ISNA(VLOOKUP(S71,G6:K105,5,FALSE)),IF(ISNA(VLOOKUP(S71,M6:Q105,5,FALSE)),IF(ISNA(VLOOKUP(S71,S6:W70,5,FALSE)),"",ROUND(VLOOKUP(S71,S6:W70,5,FALSE),0)/1000+ROUND(T71,3)),ROUND(VLOOKUP(S71,M6:Q105,5,FALSE),0)/1000+ROUND(T71,3)),ROUND(VLOOKUP(S71,G6:K105,5,FALSE),0)/1000+ROUND(T71,3)),ROUND(VLOOKUP(S71,A6:E105,5,FALSE),0)/1000+ROUND(T71,3)))))</f>
        <v/>
      </c>
      <c r="W71" s="87" t="str">
        <f>IF(OR(NOT(EXACT(UPPER(S71),"TBM")),T71=""),IF(AND(T71&lt;&gt;"",U71="",V71&lt;&gt;""),"",IF(AND(T71="",U71&lt;&gt;"",V71&lt;&gt;""),ROUND(ROUND(V71,3)-ROUND(U71,3),3)*1000,IF(AND(T71&lt;&gt;"",U71&lt;&gt;"",V71&lt;&gt;""),ROUND(ROUND(V70,3)-ROUND(U71,3),3)*1000,""))),"")</f>
        <v/>
      </c>
      <c r="X71" s="89" t="str">
        <f>IF(AND(NOT(ISNA(VLOOKUP(S71,A6:E105,5,FALSE))),T71="",U71&lt;&gt;""),ROUND((VLOOKUP(S71,A6:E105,5,FALSE)-W71)/1000,3),IF(AND(NOT(ISNA(VLOOKUP(S71,G6:K105,5,FALSE))),T71="",U71&lt;&gt;""),ROUND((VLOOKUP(S71,G6:K105,5,FALSE)-W71)/1000,3),IF(AND(NOT(ISNA(VLOOKUP(S71,M6:Q105,5,FALSE))),T71="",U71&lt;&gt;""),ROUND((VLOOKUP(S71,M6:Q105,5,FALSE)-W71)/1000,3),IF(AND(NOT(ISNA(VLOOKUP(S71,S6:W70,5,FALSE))),T71="",U71&lt;&gt;""),ROUND((VLOOKUP(S71,S6:W70,5,FALSE)-W71)/1000,3),""))))</f>
        <v/>
      </c>
      <c r="Y71" s="74">
        <f>IF(Y70="","",Y70+1)</f>
        <v>465</v>
      </c>
      <c r="Z71" s="77"/>
      <c r="AA71" s="77"/>
      <c r="AB71" s="78" t="str">
        <f>IF(AND(Z71&lt;&gt;"",AA71&lt;&gt;""),ROUND(Z71,3)+ROUND(AB70,3)-ROUND(AA71,3),IF(AND(EXACT(UPPER(Y71),"TBM"),Z71&lt;&gt;""),ROUND(Z71,3),IF(Z71="",AB70,IF(ISNA(VLOOKUP(Y71,A6:E105,5,FALSE)),IF(ISNA(VLOOKUP(Y71,G6:K105,5,FALSE)),IF(ISNA(VLOOKUP(Y71,M6:Q105,5,FALSE)),IF(ISNA(VLOOKUP(Y71,S6:W105,5,FALSE)),IF(ISNA(VLOOKUP(Y71,Y6:AC70,5,FALSE)),"",ROUND(VLOOKUP(Y71,Y6:AC70,5,FALSE),0)/1000+ROUND(Z71,3)),ROUND(VLOOKUP(Y71,S6:W105,5,FALSE),0)/1000+ROUND(Z71,3)),ROUND(VLOOKUP(Y71,M6:Q105,5,FALSE),0)/1000+ROUND(Z71,3)),ROUND(VLOOKUP(Y71,G6:K105,5,FALSE),0)/1000+ROUND(Z71,3)),ROUND(VLOOKUP(Y71,A6:E105,5,FALSE),0)/1000+ROUND(Z71,3)))))</f>
        <v/>
      </c>
      <c r="AC71" s="87" t="str">
        <f>IF(OR(NOT(EXACT(UPPER(Y71),"TBM")),Z71=""),IF(AND(Z71&lt;&gt;"",AA71="",AB71&lt;&gt;""),"",IF(AND(Z71="",AA71&lt;&gt;"",AB71&lt;&gt;""),ROUND(ROUND(AB71,3)-ROUND(AA71,3),3)*1000,IF(AND(Z71&lt;&gt;"",AA71&lt;&gt;"",AB71&lt;&gt;""),ROUND(ROUND(AB70,3)-ROUND(AA71,3),3)*1000,""))),"")</f>
        <v/>
      </c>
      <c r="AD71" s="89" t="str">
        <f>IF(AND(NOT(ISNA(VLOOKUP(Y71,A6:E105,5,FALSE))),Z71="",AA71&lt;&gt;""),ROUND((VLOOKUP(Y71,A6:E105,5,FALSE)-AC71)/1000,3),IF(AND(NOT(ISNA(VLOOKUP(Y71,G6:K105,5,FALSE))),Z71="",AA71&lt;&gt;""),ROUND((VLOOKUP(Y71,G6:K105,5,FALSE)-AC71)/1000,3),IF(AND(NOT(ISNA(VLOOKUP(Y71,M6:Q105,5,FALSE))),Z71="",AA71&lt;&gt;""),ROUND((VLOOKUP(Y71,M6:Q105,5,FALSE)-AC71)/1000,3),IF(AND(NOT(ISNA(VLOOKUP(Y71,S6:W105,5,FALSE))),Z71="",AA71&lt;&gt;""),ROUND((VLOOKUP(Y71,S6:W105,5,FALSE)-AC71)/1000,3),IF(AND(NOT(ISNA(VLOOKUP(Y71,Y6:AC70,5,FALSE))),Z71="",AA71&lt;&gt;""),ROUND((VLOOKUP(Y71,Y6:AC70,5,FALSE)-AC71)/1000,3),"")))))</f>
        <v/>
      </c>
      <c r="AE71" s="74">
        <f>IF(AE70="","",AE70+1)</f>
        <v>565</v>
      </c>
      <c r="AF71" s="77"/>
      <c r="AG71" s="77"/>
      <c r="AH71" s="78" t="str">
        <f>IF(AND(AF71&lt;&gt;"",AG71&lt;&gt;""),ROUND(AF71,3)+ROUND(AH70,3)-ROUND(AG71,3),IF(AND(EXACT(UPPER(AE71),"TBM"),AF71&lt;&gt;""),ROUND(AF71,3),IF(AF71="",AH70,IF(ISNA(VLOOKUP(AE71,A6:E105,5,FALSE)),IF(ISNA(VLOOKUP(AE71,G6:K105,5,FALSE)),IF(ISNA(VLOOKUP(AE71,M6:Q105,5,FALSE)),IF(ISNA(VLOOKUP(AE71,S6:W105,5,FALSE)),IF(ISNA(VLOOKUP(AE71,Y6:AC105,5,FALSE)),IF(ISNA(VLOOKUP(AE71,AE6:AI70,5,FALSE)),"",ROUND(VLOOKUP(AE71,AE6:AI70,5,FALSE),0)/1000+ROUND(AF71,3)),ROUND(VLOOKUP(AE71,Y6:AC105,5,FALSE),0)/1000+ROUND(AF71,3)),ROUND(VLOOKUP(AE71,S6:W105,5,FALSE),0)/1000+ROUND(AF71,3)),ROUND(VLOOKUP(AE71,M6:Q105,5,FALSE),0)/1000+ROUND(AF71,3)),ROUND(VLOOKUP(AE71,G6:K105,5,FALSE),0)/1000+ROUND(AF71,3)),ROUND(VLOOKUP(AE71,A6:E105,5,FALSE),0)/1000+ROUND(AF71,3)))))</f>
        <v/>
      </c>
      <c r="AI71" s="87" t="str">
        <f>IF(OR(NOT(EXACT(UPPER(AE71),"TBM")),AF71=""),IF(AND(AF71&lt;&gt;"",AG71="",AH71&lt;&gt;""),"",IF(AND(AF71="",AG71&lt;&gt;"",AH71&lt;&gt;""),ROUND(ROUND(AH71,3)-ROUND(AG71,3),3)*1000,IF(AND(AF71&lt;&gt;"",AG71&lt;&gt;"",AH71&lt;&gt;""),ROUND(ROUND(AH70,3)-ROUND(AG71,3),3)*1000,""))),"")</f>
        <v/>
      </c>
      <c r="AJ71" s="89" t="str">
        <f>IF(AND(NOT(ISNA(VLOOKUP(AE71,A6:E105,5,FALSE))),AF71="",AG71&lt;&gt;""),ROUND((VLOOKUP(AE71,A6:E105,5,FALSE)-AI71)/1000,3),IF(AND(NOT(ISNA(VLOOKUP(AE71,G6:K105,5,FALSE))),AF71="",AG71&lt;&gt;""),ROUND((VLOOKUP(AE71,G6:K105,5,FALSE)-AI71)/1000,3),IF(AND(NOT(ISNA(VLOOKUP(AE71,M6:Q105,5,FALSE))),AF71="",AG71&lt;&gt;""),ROUND((VLOOKUP(AE71,M6:Q105,5,FALSE)-AI71)/1000,3),IF(AND(NOT(ISNA(VLOOKUP(AE71,S6:W105,5,FALSE))),AF71="",AG71&lt;&gt;""),ROUND((VLOOKUP(AE71,S6:W105,5,FALSE)-AI71)/1000,3),IF(AND(NOT(ISNA(VLOOKUP(AE71,Y6:AC105,5,FALSE))),AF71="",AG71&lt;&gt;""),ROUND((VLOOKUP(AE71,Y6:AC105,5,FALSE)-AI71)/1000,3),IF(AND(NOT(ISNA(VLOOKUP(AE71,AE6:AI70,5,FALSE))),AF71="",AG71&lt;&gt;""),ROUND((VLOOKUP(AE71,AE6:AI70,5,FALSE)-AI71)/1000,3),""))))))</f>
        <v/>
      </c>
      <c r="AK71" s="74">
        <f>IF(AK70="","",AK70+1)</f>
        <v>665</v>
      </c>
      <c r="AL71" s="77"/>
      <c r="AM71" s="77"/>
      <c r="AN71" s="78" t="str">
        <f>IF(AND(AL71&lt;&gt;"",AM71&lt;&gt;""),ROUND(AL71,3)+ROUND(AN70,3)-ROUND(AM71,3),IF(AND(EXACT(UPPER(AK71),"TBM"),AL71&lt;&gt;""),ROUND(AL71,3),IF(AL71="",AN70,IF(ISNA(VLOOKUP(AK71,A6:E105,5,FALSE)),IF(ISNA(VLOOKUP(AK71,G6:K105,5,FALSE)),IF(ISNA(VLOOKUP(AK71,M6:Q105,5,FALSE)),IF(ISNA(VLOOKUP(AK71,S6:W105,5,FALSE)),IF(ISNA(VLOOKUP(AK71,Y6:AC105,5,FALSE)),IF(ISNA(VLOOKUP(AK71,AE6:AI105,5,FALSE)),IF(ISNA(VLOOKUP(AK71,AK6:AO70,5,FALSE)),"",ROUND(VLOOKUP(AK71,AK6:AO70,5,FALSE),0)/1000+ROUND(AL71,3)),ROUND(VLOOKUP(AK71,AE6:AI105,5,FALSE),0)/1000+ROUND(AL71,3)),ROUND(VLOOKUP(AK71,Y6:AC105,5,FALSE),0)/1000+ROUND(AL71,3)),ROUND(VLOOKUP(AK71,S6:W105,5,FALSE),0)/1000+ROUND(AL71,3)),ROUND(VLOOKUP(AK71,M6:Q105,5,FALSE),0)/1000+ROUND(AL71,3)),ROUND(VLOOKUP(AK71,G6:K105,5,FALSE),0)/1000+ROUND(AL71,3)),ROUND(VLOOKUP(AK71,A6:E105,5,FALSE),0)/1000+ROUND(AL71,3)))))</f>
        <v/>
      </c>
      <c r="AO71" s="87" t="str">
        <f>IF(OR(NOT(EXACT(UPPER(AK71),"TBM")),AL71=""),IF(AND(AL71&lt;&gt;"",AM71="",AN71&lt;&gt;""),"",IF(AND(AL71="",AM71&lt;&gt;"",AN71&lt;&gt;""),ROUND(ROUND(AN71,3)-ROUND(AM71,3),3)*1000,IF(AND(AL71&lt;&gt;"",AM71&lt;&gt;"",AN71&lt;&gt;""),ROUND(ROUND(AN70,3)-ROUND(AM71,3),3)*1000,""))),"")</f>
        <v/>
      </c>
      <c r="AP71" s="89" t="str">
        <f>IF(AND(NOT(ISNA(VLOOKUP(AK71,A6:E105,5,FALSE))),AL71="",AM71&lt;&gt;""),ROUND((VLOOKUP(AK71,A6:E105,5,FALSE)-AO71)/1000,3),IF(AND(NOT(ISNA(VLOOKUP(AK71,G6:K105,5,FALSE))),AL71="",AM71&lt;&gt;""),ROUND((VLOOKUP(AK71,G6:K105,5,FALSE)-AO71)/1000,3),IF(AND(NOT(ISNA(VLOOKUP(AK71,M6:Q105,5,FALSE))),AL71="",AM71&lt;&gt;""),ROUND((VLOOKUP(AK71,M6:Q105,5,FALSE)-AO71)/1000,3),IF(AND(NOT(ISNA(VLOOKUP(AK71,S6:W105,5,FALSE))),AL71="",AM71&lt;&gt;""),ROUND((VLOOKUP(AK71,S6:W105,5,FALSE)-AO71)/1000,3),IF(AND(NOT(ISNA(VLOOKUP(AK71,Y6:AC105,5,FALSE))),AL71="",AM71&lt;&gt;""),ROUND((VLOOKUP(AK71,Y6:AC105,5,FALSE)-AO71)/1000,3),IF(AND(NOT(ISNA(VLOOKUP(AK71,AE6:AI105,5,FALSE))),AL71="",AM71&lt;&gt;""),ROUND((VLOOKUP(AK71,AE6:AI105,5,FALSE)-AO71)/1000,3),IF(AND(NOT(ISNA(VLOOKUP(AK71,AK6:AO70,5,FALSE))),AL71="",AM71&lt;&gt;""),ROUND((VLOOKUP(AK71,AK6:AO70,5,FALSE)-AO71)/1000,3),"")))))))</f>
        <v/>
      </c>
      <c r="AQ71" s="74">
        <f>IF(AQ70="","",AQ70+1)</f>
        <v>765</v>
      </c>
      <c r="AR71" s="77"/>
      <c r="AS71" s="77"/>
      <c r="AT71" s="78" t="str">
        <f>IF(AND(AR71&lt;&gt;"",AS71&lt;&gt;""),ROUND(AR71,3)+ROUND(AT70,3)-ROUND(AS71,3),IF(AND(EXACT(UPPER(AQ71),"TBM"),AR71&lt;&gt;""),ROUND(AR71,3),IF(AR71="",AT70,IF(ISNA(VLOOKUP(AQ71,A6:E105,5,FALSE)),IF(ISNA(VLOOKUP(AQ71,G6:K105,5,FALSE)),IF(ISNA(VLOOKUP(AQ71,M6:Q105,5,FALSE)),IF(ISNA(VLOOKUP(AQ71,S6:W105,5,FALSE)),IF(ISNA(VLOOKUP(AQ71,Y6:AC105,5,FALSE)),IF(ISNA(VLOOKUP(AQ71,AE6:AI105,5,FALSE)),IF(ISNA(VLOOKUP(AQ71,AK6:AO105,5,FALSE)),IF(ISNA(VLOOKUP(AQ71,AQ6:AU70,5,FALSE)),"",ROUND(VLOOKUP(AQ71,AQ6:AU70,5,FALSE),0)/1000+ROUND(AR71,3)),ROUND(VLOOKUP(AQ71,AK6:AO105,5,FALSE),0)/1000+ROUND(AR71,3)),ROUND(VLOOKUP(AQ71,AE6:AI105,5,FALSE),0)/1000+ROUND(AR71,3)),ROUND(VLOOKUP(AQ71,Y6:AC105,5,FALSE),0)/1000+ROUND(AR71,3)),ROUND(VLOOKUP(AQ71,S6:W105,5,FALSE),0)/1000+ROUND(AR71,3)),ROUND(VLOOKUP(AQ71,M6:Q105,5,FALSE),0)/1000+ROUND(AR71,3)),ROUND(VLOOKUP(AQ71,G6:K105,5,FALSE),0)/1000+ROUND(AR71,3)),ROUND(VLOOKUP(AQ71,A6:E105,5,FALSE),0)/1000+ROUND(AR71,3)))))</f>
        <v/>
      </c>
      <c r="AU71" s="87" t="str">
        <f>IF(OR(NOT(EXACT(UPPER(AQ71),"TBM")),AR71=""),IF(AND(AR71&lt;&gt;"",AS71="",AT71&lt;&gt;""),"",IF(AND(AR71="",AS71&lt;&gt;"",AT71&lt;&gt;""),ROUND(ROUND(AT71,3)-ROUND(AS71,3),3)*1000,IF(AND(AR71&lt;&gt;"",AS71&lt;&gt;"",AT71&lt;&gt;""),ROUND(ROUND(AT70,3)-ROUND(AS71,3),3)*1000,""))),"")</f>
        <v/>
      </c>
      <c r="AV71" s="89" t="str">
        <f>IF(AND(NOT(ISNA(VLOOKUP(AQ71,A6:E105,5,FALSE))),AR71="",AS71&lt;&gt;""),ROUND((VLOOKUP(AQ71,A6:E105,5,FALSE)-AU71)/1000,3),IF(AND(NOT(ISNA(VLOOKUP(AQ71,G6:K105,5,FALSE))),AR71="",AS71&lt;&gt;""),ROUND((VLOOKUP(AQ71,G6:K105,5,FALSE)-AU71)/1000,3),IF(AND(NOT(ISNA(VLOOKUP(AQ71,M6:Q105,5,FALSE))),AR71="",AS71&lt;&gt;""),ROUND((VLOOKUP(AQ71,M6:Q105,5,FALSE)-AU71)/1000,3),IF(AND(NOT(ISNA(VLOOKUP(AQ71,S6:W105,5,FALSE))),AR71="",AS71&lt;&gt;""),ROUND((VLOOKUP(AQ71,S6:W105,5,FALSE)-AU71)/1000,3),IF(AND(NOT(ISNA(VLOOKUP(AQ71,Y6:AC105,5,FALSE))),AR71="",AS71&lt;&gt;""),ROUND((VLOOKUP(AQ71,Y6:AC105,5,FALSE)-AU71)/1000,3),IF(AND(NOT(ISNA(VLOOKUP(AQ71,AE6:AI105,5,FALSE))),AR71="",AS71&lt;&gt;""),ROUND((VLOOKUP(AQ71,AE6:AI105,5,FALSE)-AU71)/1000,3),IF(AND(NOT(ISNA(VLOOKUP(AQ71,AK6:AO105,5,FALSE))),AR71="",AS71&lt;&gt;""),ROUND((VLOOKUP(AQ71,AK6:AO105,5,FALSE)-AU71)/1000,3),IF(AND(NOT(ISNA(VLOOKUP(AQ71,AQ6:AU70,5,FALSE))),AR71="",AS71&lt;&gt;""),ROUND((VLOOKUP(AQ71,AQ6:AU70,5,FALSE)-AU71)/1000,3),""))))))))</f>
        <v/>
      </c>
      <c r="AW71" s="74">
        <f>IF(AW70="","",AW70+1)</f>
        <v>865</v>
      </c>
      <c r="AX71" s="77"/>
      <c r="AY71" s="77"/>
      <c r="AZ71" s="78" t="str">
        <f>IF(AND(AX71&lt;&gt;"",AY71&lt;&gt;""),ROUND(AX71,3)+ROUND(AZ70,3)-ROUND(AY71,3),IF(AND(EXACT(UPPER(AW71),"TBM"),AX71&lt;&gt;""),ROUND(AX71,3),IF(AX71="",AZ70,IF(ISNA(VLOOKUP(AW71,A6:E105,5,FALSE)),IF(ISNA(VLOOKUP(AW71,G6:K105,5,FALSE)),IF(ISNA(VLOOKUP(AW71,M6:Q105,5,FALSE)),IF(ISNA(VLOOKUP(AW71,S6:W105,5,FALSE)),IF(ISNA(VLOOKUP(AW71,Y6:AC105,5,FALSE)),IF(ISNA(VLOOKUP(AW71,AE6:AI105,5,FALSE)),IF(ISNA(VLOOKUP(AW71,AK6:AO105,5,FALSE)),IF(ISNA(VLOOKUP(AW71,AQ6:AU105,5,FALSE)),IF(ISNA(VLOOKUP(AW71,AW6:BA70,5,FALSE)),"",ROUND(VLOOKUP(AW71,AW6:BA70,5,FALSE),0)/1000+ROUND(AX71,3)),ROUND(VLOOKUP(AW71,AQ6:AU105,5,FALSE),0)/1000+ROUND(AX71,3)),ROUND(VLOOKUP(AW71,AK6:AO105,5,FALSE),0)/1000+ROUND(AX71,3)),ROUND(VLOOKUP(AW71,AE6:AI105,5,FALSE),0)/1000+ROUND(AX71,3)),ROUND(VLOOKUP(AW71,Y6:AC105,5,FALSE),0)/1000+ROUND(AX71,3)),ROUND(VLOOKUP(AW71,S6:W105,5,FALSE),0)/1000+ROUND(AX71,3)),ROUND(VLOOKUP(AW71,M6:Q105,5,FALSE),0)/1000+ROUND(AX71,3)),ROUND(VLOOKUP(AW71,G6:K105,5,FALSE),0)/1000+ROUND(AX71,3)),ROUND(VLOOKUP(AW71,A6:E105,5,FALSE),0)/1000+ROUND(AX71,3)))))</f>
        <v/>
      </c>
      <c r="BA71" s="87" t="str">
        <f>IF(OR(NOT(EXACT(UPPER(AW71),"TBM")),AX71=""),IF(AND(AX71&lt;&gt;"",AY71="",AZ71&lt;&gt;""),"",IF(AND(AX71="",AY71&lt;&gt;"",AZ71&lt;&gt;""),ROUND(ROUND(AZ71,3)-ROUND(AY71,3),3)*1000,IF(AND(AX71&lt;&gt;"",AY71&lt;&gt;"",AZ71&lt;&gt;""),ROUND(ROUND(AZ70,3)-ROUND(AY71,3),3)*1000,""))),"")</f>
        <v/>
      </c>
      <c r="BB71" s="89" t="str">
        <f>IF(AND(NOT(ISNA(VLOOKUP(AW71,A6:E105,5,FALSE))),AX71="",AY71&lt;&gt;""),ROUND((VLOOKUP(AW71,A6:E105,5,FALSE)-BA71)/1000,3),IF(AND(NOT(ISNA(VLOOKUP(AW71,G6:K105,5,FALSE))),AX71="",AY71&lt;&gt;""),ROUND((VLOOKUP(AW71,G6:K105,5,FALSE)-BA71)/1000,3),IF(AND(NOT(ISNA(VLOOKUP(AW71,M6:Q105,5,FALSE))),AX71="",AY71&lt;&gt;""),ROUND((VLOOKUP(AW71,M6:Q105,5,FALSE)-BA71)/1000,3),IF(AND(NOT(ISNA(VLOOKUP(AW71,S6:W105,5,FALSE))),AX71="",AY71&lt;&gt;""),ROUND((VLOOKUP(AW71,S6:W105,5,FALSE)-BA71)/1000,3),IF(AND(NOT(ISNA(VLOOKUP(AW71,Y6:AC105,5,FALSE))),AX71="",AY71&lt;&gt;""),ROUND((VLOOKUP(AW71,Y6:AC105,5,FALSE)-BA71)/1000,3),IF(AND(NOT(ISNA(VLOOKUP(AW71,AE6:AI105,5,FALSE))),AX71="",AY71&lt;&gt;""),ROUND((VLOOKUP(AW71,AE6:AI105,5,FALSE)-BA71)/1000,3),IF(AND(NOT(ISNA(VLOOKUP(AW71,AK6:AO105,5,FALSE))),AX71="",AY71&lt;&gt;""),ROUND((VLOOKUP(AW71,AK6:AO105,5,FALSE)-BA71)/1000,3),IF(AND(NOT(ISNA(VLOOKUP(AW71,AQ6:AU105,5,FALSE))),AX71="",AY71&lt;&gt;""),ROUND((VLOOKUP(AW71,AQ6:AU105,5,FALSE)-BA71)/1000,3),IF(AND(NOT(ISNA(VLOOKUP(AW71,AW6:BA70,5,FALSE))),AX71="",AY71&lt;&gt;""),ROUND((VLOOKUP(AW71,AW6:BA70,5,FALSE)-BA71)/1000,3),"")))))))))</f>
        <v/>
      </c>
      <c r="BC71" s="74">
        <f>IF(BC70="","",BC70+1)</f>
        <v>965</v>
      </c>
      <c r="BD71" s="77"/>
      <c r="BE71" s="77"/>
      <c r="BF71" s="78" t="str">
        <f>IF(AND(BD71&lt;&gt;"",BE71&lt;&gt;""),ROUND(BD71,3)+ROUND(BF70,3)-ROUND(BE71,3),IF(AND(EXACT(UPPER(BC71),"TBM"),BD71&lt;&gt;""),ROUND(BD71,3),IF(BD71="",BF70,IF(ISNA(VLOOKUP(BC71,A6:E105,5,FALSE)),IF(ISNA(VLOOKUP(BC71,G6:K105,5,FALSE)),IF(ISNA(VLOOKUP(BC71,M6:Q105,5,FALSE)),IF(ISNA(VLOOKUP(BC71,S6:W105,5,FALSE)),IF(ISNA(VLOOKUP(BC71,Y6:AC105,5,FALSE)),IF(ISNA(VLOOKUP(BC71,AE6:AI105,5,FALSE)),IF(ISNA(VLOOKUP(BC71,AK6:AO105,5,FALSE)),IF(ISNA(VLOOKUP(BC71,AQ6:AU105,5,FALSE)),IF(ISNA(VLOOKUP(BC71,AW6:BA105,5,FALSE)),IF(ISNA(VLOOKUP(BC71,BC6:BG70,5,FALSE)),"",ROUND(VLOOKUP(BC71,BC6:BG70,5,FALSE),0)/1000+ROUND(BD71,3)),ROUND(VLOOKUP(BC71,AW6:BA105,5,FALSE),0)/1000+ROUND(BD71,3)),ROUND(VLOOKUP(BC71,AQ6:AU105,5,FALSE),0)/1000+ROUND(BD71,3)),ROUND(VLOOKUP(BC71,AK6:AO105,5,FALSE),0)/1000+ROUND(BD71,3)),ROUND(VLOOKUP(BC71,AE6:AI105,5,FALSE),0)/1000+ROUND(BD71,3)),ROUND(VLOOKUP(BC71,Y6:AC105,5,FALSE),0)/1000+ROUND(BD71,3)),ROUND(VLOOKUP(BC71,S6:W105,5,FALSE),0)/1000+ROUND(BD71,3)),ROUND(VLOOKUP(BC71,M6:Q105,5,FALSE),0)/1000+ROUND(BD71,3)),ROUND(VLOOKUP(BC71,G6:K105,5,FALSE),0)/1000+ROUND(BD71,3)),ROUND(VLOOKUP(BC71,A6:E105,5,FALSE),0)/1000+ROUND(BD71,3)))))</f>
        <v/>
      </c>
      <c r="BG71" s="87" t="str">
        <f>IF(OR(NOT(EXACT(UPPER(BC71),"TBM")),BD71=""),IF(AND(BD71&lt;&gt;"",BE71="",BF71&lt;&gt;""),"",IF(AND(BD71="",BE71&lt;&gt;"",BF71&lt;&gt;""),ROUND(ROUND(BF71,3)-ROUND(BE71,3),3)*1000,IF(AND(BD71&lt;&gt;"",BE71&lt;&gt;"",BF71&lt;&gt;""),ROUND(ROUND(BF70,3)-ROUND(BE71,3),3)*1000,""))),"")</f>
        <v/>
      </c>
      <c r="BH71" s="89" t="str">
        <f>IF(AND(NOT(ISNA(VLOOKUP(BC71,A6:E105,5,FALSE))),BD71="",BE71&lt;&gt;""),ROUND((VLOOKUP(BC71,A6:E105,5,FALSE)-BG71)/1000,3),IF(AND(NOT(ISNA(VLOOKUP(BC71,G6:K105,5,FALSE))),BD71="",BE71&lt;&gt;""),ROUND((VLOOKUP(BC71,G6:K105,5,FALSE)-BG71)/1000,3),IF(AND(NOT(ISNA(VLOOKUP(BC71,M6:Q105,5,FALSE))),BD71="",BE71&lt;&gt;""),ROUND((VLOOKUP(BC71,M6:Q105,5,FALSE)-BG71)/1000,3),IF(AND(NOT(ISNA(VLOOKUP(BC71,S6:W105,5,FALSE))),BD71="",BE71&lt;&gt;""),ROUND((VLOOKUP(BC71,S6:W105,5,FALSE)-BG71)/1000,3),IF(AND(NOT(ISNA(VLOOKUP(BC71,Y6:AC105,5,FALSE))),BD71="",BE71&lt;&gt;""),ROUND((VLOOKUP(BC71,Y6:AC105,5,FALSE)-BG71)/1000,3),IF(AND(NOT(ISNA(VLOOKUP(BC71,AE6:AI105,5,FALSE))),BD71="",BE71&lt;&gt;""),ROUND((VLOOKUP(BC71,AE6:AI105,5,FALSE)-BG71)/1000,3),IF(AND(NOT(ISNA(VLOOKUP(BC71,AK6:AO105,5,FALSE))),BD71="",BE71&lt;&gt;""),ROUND((VLOOKUP(BC71,AK6:AO105,5,FALSE)-BG71)/1000,3),IF(AND(NOT(ISNA(VLOOKUP(BC71,AQ6:AU105,5,FALSE))),BD71="",BE71&lt;&gt;""),ROUND((VLOOKUP(BC71,AQ6:AU105,5,FALSE)-BG71)/1000,3),IF(AND(NOT(ISNA(VLOOKUP(BC71,AW6:BA105,5,FALSE))),BD71="",BE71&lt;&gt;""),ROUND((VLOOKUP(BC71,AW6:BA105,5,FALSE)-BG71)/1000,3),IF(AND(NOT(ISNA(VLOOKUP(BC71,BC6:BG70,5,FALSE))),BD71="",BE71&lt;&gt;""),ROUND((VLOOKUP(BC71,BC6:BG70,5,FALSE)-BG71)/1000,3),""))))))))))</f>
        <v/>
      </c>
    </row>
    <row r="72" spans="1:60" x14ac:dyDescent="0.25">
      <c r="A72" s="19">
        <f t="shared" si="3"/>
        <v>66</v>
      </c>
      <c r="B72" s="39"/>
      <c r="C72" s="39"/>
      <c r="D72" s="15" t="str">
        <f>IF(AND(B72&lt;&gt;"",C72&lt;&gt;""),ROUND(B72,3)+ROUND(D71,3)-ROUND(C72,3),IF(AND(EXACT(UPPER(A72),"TBM"),B72&lt;&gt;""),ROUND(B72,3),IF(B72="",D71,IF(ISNA(VLOOKUP(A72,A6:E71,5,FALSE)),"",ROUND(VLOOKUP(A72,A6:E71,5,FALSE),0)/1000+ROUND(B72,3)))))</f>
        <v/>
      </c>
      <c r="E72" s="21" t="str">
        <f t="shared" si="6"/>
        <v/>
      </c>
      <c r="F72" s="45" t="str">
        <f>IF(AND(NOT(ISNA(VLOOKUP(A72,A6:E71,5,FALSE))),B72="",C72&lt;&gt;""),ROUND((VLOOKUP(A72,A6:E71,5,FALSE)-E72)/1000,3),"")</f>
        <v/>
      </c>
      <c r="G72" s="19">
        <f t="shared" si="7"/>
        <v>166</v>
      </c>
      <c r="H72" s="39"/>
      <c r="I72" s="39"/>
      <c r="J72" s="15" t="str">
        <f>IF(AND(H72&lt;&gt;"",I72&lt;&gt;""),ROUND(H72,3)+ROUND(J71,3)-ROUND(I72,3),IF(AND(EXACT(UPPER(G72),"TBM"),H72&lt;&gt;""),ROUND(H72,3),IF(H72="",J71,IF(ISNA(VLOOKUP(G72,A6:E105,5,FALSE)),IF(ISNA(VLOOKUP(G72,G6:K71,5,FALSE)),"",ROUND(VLOOKUP(G72,G6:K71,5,FALSE),0)/1000+ROUND(H72,3)),ROUND(VLOOKUP(G72,A6:E105,5,FALSE),0)/1000+ROUND(H72,3)))))</f>
        <v/>
      </c>
      <c r="K72" s="18" t="str">
        <f t="shared" si="8"/>
        <v/>
      </c>
      <c r="L72" s="45" t="str">
        <f>IF(AND(NOT(ISNA(VLOOKUP(G72,A6:E105,5,FALSE))),H72="",I72&lt;&gt;""),ROUND((VLOOKUP(G72,A6:E105,5,FALSE)-K72)/1000,3),IF(AND(NOT(ISNA(VLOOKUP(G72,G6:K71,5,FALSE))),H72="",I72&lt;&gt;""),ROUND((VLOOKUP(G72,G6:K71,5,FALSE)-K72)/1000,3),""))</f>
        <v/>
      </c>
      <c r="M72" s="19">
        <f>IF(M71="","",M71+1)</f>
        <v>266</v>
      </c>
      <c r="N72" s="39"/>
      <c r="O72" s="39"/>
      <c r="P72" s="15" t="str">
        <f>IF(AND(N72&lt;&gt;"",O72&lt;&gt;""),ROUND(N72,3)+ROUND(P71,3)-ROUND(O72,3),IF(AND(EXACT(UPPER(M72),"TBM"),N72&lt;&gt;""),ROUND(N72,3),IF(N72="",P71,IF(ISNA(VLOOKUP(M72,A6:E105,5,FALSE)),IF(ISNA(VLOOKUP(M72,G6:K105,5,FALSE)),IF(ISNA(VLOOKUP(M72,M6:Q71,5,FALSE)),"",ROUND(VLOOKUP(M72,M6:Q71,5,FALSE),0)/1000+ROUND(N72,3)),ROUND(VLOOKUP(M72,G6:K105,5,FALSE),0)/1000+ROUND(N72,3)),ROUND(VLOOKUP(M72,A6:E105,5,FALSE),0)/1000+ROUND(N72,3)))))</f>
        <v/>
      </c>
      <c r="Q72" s="18" t="str">
        <f>IF(OR(NOT(EXACT(UPPER(M72),"TBM")),N72=""),IF(AND(N72&lt;&gt;"",O72="",P72&lt;&gt;""),"",IF(AND(N72="",O72&lt;&gt;"",P72&lt;&gt;""),ROUND(ROUND(P72,3)-ROUND(O72,3),3)*1000,IF(AND(N72&lt;&gt;"",O72&lt;&gt;"",P72&lt;&gt;""),ROUND(ROUND(P71,3)-ROUND(O72,3),3)*1000,""))),"")</f>
        <v/>
      </c>
      <c r="R72" s="45" t="str">
        <f>IF(AND(NOT(ISNA(VLOOKUP(M72,A6:E105,5,FALSE))),N72="",O72&lt;&gt;""),ROUND((VLOOKUP(M72,A6:E105,5,FALSE)-Q72)/1000,3),IF(AND(NOT(ISNA(VLOOKUP(M72,G6:K105,5,FALSE))),N72="",O72&lt;&gt;""),ROUND((VLOOKUP(M72,G6:K105,5,FALSE)-Q72)/1000,3),IF(AND(NOT(ISNA(VLOOKUP(M72,M6:Q71,5,FALSE))),N72="",O72&lt;&gt;""),ROUND((VLOOKUP(M72,M6:Q71,5,FALSE)-Q72)/1000,3),"")))</f>
        <v/>
      </c>
      <c r="S72" s="19">
        <f>IF(S71="","",S71+1)</f>
        <v>366</v>
      </c>
      <c r="T72" s="39"/>
      <c r="U72" s="39"/>
      <c r="V72" s="15" t="str">
        <f>IF(AND(T72&lt;&gt;"",U72&lt;&gt;""),ROUND(T72,3)+ROUND(V71,3)-ROUND(U72,3),IF(AND(EXACT(UPPER(S72),"TBM"),T72&lt;&gt;""),ROUND(T72,3),IF(T72="",V71,IF(ISNA(VLOOKUP(S72,A6:E105,5,FALSE)),IF(ISNA(VLOOKUP(S72,G6:K105,5,FALSE)),IF(ISNA(VLOOKUP(S72,M6:Q105,5,FALSE)),IF(ISNA(VLOOKUP(S72,S6:W71,5,FALSE)),"",ROUND(VLOOKUP(S72,S6:W71,5,FALSE),0)/1000+ROUND(T72,3)),ROUND(VLOOKUP(S72,M6:Q105,5,FALSE),0)/1000+ROUND(T72,3)),ROUND(VLOOKUP(S72,G6:K105,5,FALSE),0)/1000+ROUND(T72,3)),ROUND(VLOOKUP(S72,A6:E105,5,FALSE),0)/1000+ROUND(T72,3)))))</f>
        <v/>
      </c>
      <c r="W72" s="18" t="str">
        <f>IF(OR(NOT(EXACT(UPPER(S72),"TBM")),T72=""),IF(AND(T72&lt;&gt;"",U72="",V72&lt;&gt;""),"",IF(AND(T72="",U72&lt;&gt;"",V72&lt;&gt;""),ROUND(ROUND(V72,3)-ROUND(U72,3),3)*1000,IF(AND(T72&lt;&gt;"",U72&lt;&gt;"",V72&lt;&gt;""),ROUND(ROUND(V71,3)-ROUND(U72,3),3)*1000,""))),"")</f>
        <v/>
      </c>
      <c r="X72" s="45" t="str">
        <f>IF(AND(NOT(ISNA(VLOOKUP(S72,A6:E105,5,FALSE))),T72="",U72&lt;&gt;""),ROUND((VLOOKUP(S72,A6:E105,5,FALSE)-W72)/1000,3),IF(AND(NOT(ISNA(VLOOKUP(S72,G6:K105,5,FALSE))),T72="",U72&lt;&gt;""),ROUND((VLOOKUP(S72,G6:K105,5,FALSE)-W72)/1000,3),IF(AND(NOT(ISNA(VLOOKUP(S72,M6:Q105,5,FALSE))),T72="",U72&lt;&gt;""),ROUND((VLOOKUP(S72,M6:Q105,5,FALSE)-W72)/1000,3),IF(AND(NOT(ISNA(VLOOKUP(S72,S6:W71,5,FALSE))),T72="",U72&lt;&gt;""),ROUND((VLOOKUP(S72,S6:W71,5,FALSE)-W72)/1000,3),""))))</f>
        <v/>
      </c>
      <c r="Y72" s="19">
        <f>IF(Y71="","",Y71+1)</f>
        <v>466</v>
      </c>
      <c r="Z72" s="39"/>
      <c r="AA72" s="39"/>
      <c r="AB72" s="15" t="str">
        <f>IF(AND(Z72&lt;&gt;"",AA72&lt;&gt;""),ROUND(Z72,3)+ROUND(AB71,3)-ROUND(AA72,3),IF(AND(EXACT(UPPER(Y72),"TBM"),Z72&lt;&gt;""),ROUND(Z72,3),IF(Z72="",AB71,IF(ISNA(VLOOKUP(Y72,A6:E105,5,FALSE)),IF(ISNA(VLOOKUP(Y72,G6:K105,5,FALSE)),IF(ISNA(VLOOKUP(Y72,M6:Q105,5,FALSE)),IF(ISNA(VLOOKUP(Y72,S6:W105,5,FALSE)),IF(ISNA(VLOOKUP(Y72,Y6:AC71,5,FALSE)),"",ROUND(VLOOKUP(Y72,Y6:AC71,5,FALSE),0)/1000+ROUND(Z72,3)),ROUND(VLOOKUP(Y72,S6:W105,5,FALSE),0)/1000+ROUND(Z72,3)),ROUND(VLOOKUP(Y72,M6:Q105,5,FALSE),0)/1000+ROUND(Z72,3)),ROUND(VLOOKUP(Y72,G6:K105,5,FALSE),0)/1000+ROUND(Z72,3)),ROUND(VLOOKUP(Y72,A6:E105,5,FALSE),0)/1000+ROUND(Z72,3)))))</f>
        <v/>
      </c>
      <c r="AC72" s="18" t="str">
        <f>IF(OR(NOT(EXACT(UPPER(Y72),"TBM")),Z72=""),IF(AND(Z72&lt;&gt;"",AA72="",AB72&lt;&gt;""),"",IF(AND(Z72="",AA72&lt;&gt;"",AB72&lt;&gt;""),ROUND(ROUND(AB72,3)-ROUND(AA72,3),3)*1000,IF(AND(Z72&lt;&gt;"",AA72&lt;&gt;"",AB72&lt;&gt;""),ROUND(ROUND(AB71,3)-ROUND(AA72,3),3)*1000,""))),"")</f>
        <v/>
      </c>
      <c r="AD72" s="45" t="str">
        <f>IF(AND(NOT(ISNA(VLOOKUP(Y72,A6:E105,5,FALSE))),Z72="",AA72&lt;&gt;""),ROUND((VLOOKUP(Y72,A6:E105,5,FALSE)-AC72)/1000,3),IF(AND(NOT(ISNA(VLOOKUP(Y72,G6:K105,5,FALSE))),Z72="",AA72&lt;&gt;""),ROUND((VLOOKUP(Y72,G6:K105,5,FALSE)-AC72)/1000,3),IF(AND(NOT(ISNA(VLOOKUP(Y72,M6:Q105,5,FALSE))),Z72="",AA72&lt;&gt;""),ROUND((VLOOKUP(Y72,M6:Q105,5,FALSE)-AC72)/1000,3),IF(AND(NOT(ISNA(VLOOKUP(Y72,S6:W105,5,FALSE))),Z72="",AA72&lt;&gt;""),ROUND((VLOOKUP(Y72,S6:W105,5,FALSE)-AC72)/1000,3),IF(AND(NOT(ISNA(VLOOKUP(Y72,Y6:AC71,5,FALSE))),Z72="",AA72&lt;&gt;""),ROUND((VLOOKUP(Y72,Y6:AC71,5,FALSE)-AC72)/1000,3),"")))))</f>
        <v/>
      </c>
      <c r="AE72" s="19">
        <f>IF(AE71="","",AE71+1)</f>
        <v>566</v>
      </c>
      <c r="AF72" s="39"/>
      <c r="AG72" s="39"/>
      <c r="AH72" s="15" t="str">
        <f>IF(AND(AF72&lt;&gt;"",AG72&lt;&gt;""),ROUND(AF72,3)+ROUND(AH71,3)-ROUND(AG72,3),IF(AND(EXACT(UPPER(AE72),"TBM"),AF72&lt;&gt;""),ROUND(AF72,3),IF(AF72="",AH71,IF(ISNA(VLOOKUP(AE72,A6:E105,5,FALSE)),IF(ISNA(VLOOKUP(AE72,G6:K105,5,FALSE)),IF(ISNA(VLOOKUP(AE72,M6:Q105,5,FALSE)),IF(ISNA(VLOOKUP(AE72,S6:W105,5,FALSE)),IF(ISNA(VLOOKUP(AE72,Y6:AC105,5,FALSE)),IF(ISNA(VLOOKUP(AE72,AE6:AI71,5,FALSE)),"",ROUND(VLOOKUP(AE72,AE6:AI71,5,FALSE),0)/1000+ROUND(AF72,3)),ROUND(VLOOKUP(AE72,Y6:AC105,5,FALSE),0)/1000+ROUND(AF72,3)),ROUND(VLOOKUP(AE72,S6:W105,5,FALSE),0)/1000+ROUND(AF72,3)),ROUND(VLOOKUP(AE72,M6:Q105,5,FALSE),0)/1000+ROUND(AF72,3)),ROUND(VLOOKUP(AE72,G6:K105,5,FALSE),0)/1000+ROUND(AF72,3)),ROUND(VLOOKUP(AE72,A6:E105,5,FALSE),0)/1000+ROUND(AF72,3)))))</f>
        <v/>
      </c>
      <c r="AI72" s="18" t="str">
        <f>IF(OR(NOT(EXACT(UPPER(AE72),"TBM")),AF72=""),IF(AND(AF72&lt;&gt;"",AG72="",AH72&lt;&gt;""),"",IF(AND(AF72="",AG72&lt;&gt;"",AH72&lt;&gt;""),ROUND(ROUND(AH72,3)-ROUND(AG72,3),3)*1000,IF(AND(AF72&lt;&gt;"",AG72&lt;&gt;"",AH72&lt;&gt;""),ROUND(ROUND(AH71,3)-ROUND(AG72,3),3)*1000,""))),"")</f>
        <v/>
      </c>
      <c r="AJ72" s="45" t="str">
        <f>IF(AND(NOT(ISNA(VLOOKUP(AE72,A6:E105,5,FALSE))),AF72="",AG72&lt;&gt;""),ROUND((VLOOKUP(AE72,A6:E105,5,FALSE)-AI72)/1000,3),IF(AND(NOT(ISNA(VLOOKUP(AE72,G6:K105,5,FALSE))),AF72="",AG72&lt;&gt;""),ROUND((VLOOKUP(AE72,G6:K105,5,FALSE)-AI72)/1000,3),IF(AND(NOT(ISNA(VLOOKUP(AE72,M6:Q105,5,FALSE))),AF72="",AG72&lt;&gt;""),ROUND((VLOOKUP(AE72,M6:Q105,5,FALSE)-AI72)/1000,3),IF(AND(NOT(ISNA(VLOOKUP(AE72,S6:W105,5,FALSE))),AF72="",AG72&lt;&gt;""),ROUND((VLOOKUP(AE72,S6:W105,5,FALSE)-AI72)/1000,3),IF(AND(NOT(ISNA(VLOOKUP(AE72,Y6:AC105,5,FALSE))),AF72="",AG72&lt;&gt;""),ROUND((VLOOKUP(AE72,Y6:AC105,5,FALSE)-AI72)/1000,3),IF(AND(NOT(ISNA(VLOOKUP(AE72,AE6:AI71,5,FALSE))),AF72="",AG72&lt;&gt;""),ROUND((VLOOKUP(AE72,AE6:AI71,5,FALSE)-AI72)/1000,3),""))))))</f>
        <v/>
      </c>
      <c r="AK72" s="19">
        <f>IF(AK71="","",AK71+1)</f>
        <v>666</v>
      </c>
      <c r="AL72" s="39"/>
      <c r="AM72" s="39"/>
      <c r="AN72" s="15" t="str">
        <f>IF(AND(AL72&lt;&gt;"",AM72&lt;&gt;""),ROUND(AL72,3)+ROUND(AN71,3)-ROUND(AM72,3),IF(AND(EXACT(UPPER(AK72),"TBM"),AL72&lt;&gt;""),ROUND(AL72,3),IF(AL72="",AN71,IF(ISNA(VLOOKUP(AK72,A6:E105,5,FALSE)),IF(ISNA(VLOOKUP(AK72,G6:K105,5,FALSE)),IF(ISNA(VLOOKUP(AK72,M6:Q105,5,FALSE)),IF(ISNA(VLOOKUP(AK72,S6:W105,5,FALSE)),IF(ISNA(VLOOKUP(AK72,Y6:AC105,5,FALSE)),IF(ISNA(VLOOKUP(AK72,AE6:AI105,5,FALSE)),IF(ISNA(VLOOKUP(AK72,AK6:AO71,5,FALSE)),"",ROUND(VLOOKUP(AK72,AK6:AO71,5,FALSE),0)/1000+ROUND(AL72,3)),ROUND(VLOOKUP(AK72,AE6:AI105,5,FALSE),0)/1000+ROUND(AL72,3)),ROUND(VLOOKUP(AK72,Y6:AC105,5,FALSE),0)/1000+ROUND(AL72,3)),ROUND(VLOOKUP(AK72,S6:W105,5,FALSE),0)/1000+ROUND(AL72,3)),ROUND(VLOOKUP(AK72,M6:Q105,5,FALSE),0)/1000+ROUND(AL72,3)),ROUND(VLOOKUP(AK72,G6:K105,5,FALSE),0)/1000+ROUND(AL72,3)),ROUND(VLOOKUP(AK72,A6:E105,5,FALSE),0)/1000+ROUND(AL72,3)))))</f>
        <v/>
      </c>
      <c r="AO72" s="18" t="str">
        <f>IF(OR(NOT(EXACT(UPPER(AK72),"TBM")),AL72=""),IF(AND(AL72&lt;&gt;"",AM72="",AN72&lt;&gt;""),"",IF(AND(AL72="",AM72&lt;&gt;"",AN72&lt;&gt;""),ROUND(ROUND(AN72,3)-ROUND(AM72,3),3)*1000,IF(AND(AL72&lt;&gt;"",AM72&lt;&gt;"",AN72&lt;&gt;""),ROUND(ROUND(AN71,3)-ROUND(AM72,3),3)*1000,""))),"")</f>
        <v/>
      </c>
      <c r="AP72" s="45" t="str">
        <f>IF(AND(NOT(ISNA(VLOOKUP(AK72,A6:E105,5,FALSE))),AL72="",AM72&lt;&gt;""),ROUND((VLOOKUP(AK72,A6:E105,5,FALSE)-AO72)/1000,3),IF(AND(NOT(ISNA(VLOOKUP(AK72,G6:K105,5,FALSE))),AL72="",AM72&lt;&gt;""),ROUND((VLOOKUP(AK72,G6:K105,5,FALSE)-AO72)/1000,3),IF(AND(NOT(ISNA(VLOOKUP(AK72,M6:Q105,5,FALSE))),AL72="",AM72&lt;&gt;""),ROUND((VLOOKUP(AK72,M6:Q105,5,FALSE)-AO72)/1000,3),IF(AND(NOT(ISNA(VLOOKUP(AK72,S6:W105,5,FALSE))),AL72="",AM72&lt;&gt;""),ROUND((VLOOKUP(AK72,S6:W105,5,FALSE)-AO72)/1000,3),IF(AND(NOT(ISNA(VLOOKUP(AK72,Y6:AC105,5,FALSE))),AL72="",AM72&lt;&gt;""),ROUND((VLOOKUP(AK72,Y6:AC105,5,FALSE)-AO72)/1000,3),IF(AND(NOT(ISNA(VLOOKUP(AK72,AE6:AI105,5,FALSE))),AL72="",AM72&lt;&gt;""),ROUND((VLOOKUP(AK72,AE6:AI105,5,FALSE)-AO72)/1000,3),IF(AND(NOT(ISNA(VLOOKUP(AK72,AK6:AO71,5,FALSE))),AL72="",AM72&lt;&gt;""),ROUND((VLOOKUP(AK72,AK6:AO71,5,FALSE)-AO72)/1000,3),"")))))))</f>
        <v/>
      </c>
      <c r="AQ72" s="19">
        <f>IF(AQ71="","",AQ71+1)</f>
        <v>766</v>
      </c>
      <c r="AR72" s="39"/>
      <c r="AS72" s="39"/>
      <c r="AT72" s="15" t="str">
        <f>IF(AND(AR72&lt;&gt;"",AS72&lt;&gt;""),ROUND(AR72,3)+ROUND(AT71,3)-ROUND(AS72,3),IF(AND(EXACT(UPPER(AQ72),"TBM"),AR72&lt;&gt;""),ROUND(AR72,3),IF(AR72="",AT71,IF(ISNA(VLOOKUP(AQ72,A6:E105,5,FALSE)),IF(ISNA(VLOOKUP(AQ72,G6:K105,5,FALSE)),IF(ISNA(VLOOKUP(AQ72,M6:Q105,5,FALSE)),IF(ISNA(VLOOKUP(AQ72,S6:W105,5,FALSE)),IF(ISNA(VLOOKUP(AQ72,Y6:AC105,5,FALSE)),IF(ISNA(VLOOKUP(AQ72,AE6:AI105,5,FALSE)),IF(ISNA(VLOOKUP(AQ72,AK6:AO105,5,FALSE)),IF(ISNA(VLOOKUP(AQ72,AQ6:AU71,5,FALSE)),"",ROUND(VLOOKUP(AQ72,AQ6:AU71,5,FALSE),0)/1000+ROUND(AR72,3)),ROUND(VLOOKUP(AQ72,AK6:AO105,5,FALSE),0)/1000+ROUND(AR72,3)),ROUND(VLOOKUP(AQ72,AE6:AI105,5,FALSE),0)/1000+ROUND(AR72,3)),ROUND(VLOOKUP(AQ72,Y6:AC105,5,FALSE),0)/1000+ROUND(AR72,3)),ROUND(VLOOKUP(AQ72,S6:W105,5,FALSE),0)/1000+ROUND(AR72,3)),ROUND(VLOOKUP(AQ72,M6:Q105,5,FALSE),0)/1000+ROUND(AR72,3)),ROUND(VLOOKUP(AQ72,G6:K105,5,FALSE),0)/1000+ROUND(AR72,3)),ROUND(VLOOKUP(AQ72,A6:E105,5,FALSE),0)/1000+ROUND(AR72,3)))))</f>
        <v/>
      </c>
      <c r="AU72" s="18" t="str">
        <f>IF(OR(NOT(EXACT(UPPER(AQ72),"TBM")),AR72=""),IF(AND(AR72&lt;&gt;"",AS72="",AT72&lt;&gt;""),"",IF(AND(AR72="",AS72&lt;&gt;"",AT72&lt;&gt;""),ROUND(ROUND(AT72,3)-ROUND(AS72,3),3)*1000,IF(AND(AR72&lt;&gt;"",AS72&lt;&gt;"",AT72&lt;&gt;""),ROUND(ROUND(AT71,3)-ROUND(AS72,3),3)*1000,""))),"")</f>
        <v/>
      </c>
      <c r="AV72" s="45" t="str">
        <f>IF(AND(NOT(ISNA(VLOOKUP(AQ72,A6:E105,5,FALSE))),AR72="",AS72&lt;&gt;""),ROUND((VLOOKUP(AQ72,A6:E105,5,FALSE)-AU72)/1000,3),IF(AND(NOT(ISNA(VLOOKUP(AQ72,G6:K105,5,FALSE))),AR72="",AS72&lt;&gt;""),ROUND((VLOOKUP(AQ72,G6:K105,5,FALSE)-AU72)/1000,3),IF(AND(NOT(ISNA(VLOOKUP(AQ72,M6:Q105,5,FALSE))),AR72="",AS72&lt;&gt;""),ROUND((VLOOKUP(AQ72,M6:Q105,5,FALSE)-AU72)/1000,3),IF(AND(NOT(ISNA(VLOOKUP(AQ72,S6:W105,5,FALSE))),AR72="",AS72&lt;&gt;""),ROUND((VLOOKUP(AQ72,S6:W105,5,FALSE)-AU72)/1000,3),IF(AND(NOT(ISNA(VLOOKUP(AQ72,Y6:AC105,5,FALSE))),AR72="",AS72&lt;&gt;""),ROUND((VLOOKUP(AQ72,Y6:AC105,5,FALSE)-AU72)/1000,3),IF(AND(NOT(ISNA(VLOOKUP(AQ72,AE6:AI105,5,FALSE))),AR72="",AS72&lt;&gt;""),ROUND((VLOOKUP(AQ72,AE6:AI105,5,FALSE)-AU72)/1000,3),IF(AND(NOT(ISNA(VLOOKUP(AQ72,AK6:AO105,5,FALSE))),AR72="",AS72&lt;&gt;""),ROUND((VLOOKUP(AQ72,AK6:AO105,5,FALSE)-AU72)/1000,3),IF(AND(NOT(ISNA(VLOOKUP(AQ72,AQ6:AU71,5,FALSE))),AR72="",AS72&lt;&gt;""),ROUND((VLOOKUP(AQ72,AQ6:AU71,5,FALSE)-AU72)/1000,3),""))))))))</f>
        <v/>
      </c>
      <c r="AW72" s="19">
        <f>IF(AW71="","",AW71+1)</f>
        <v>866</v>
      </c>
      <c r="AX72" s="39"/>
      <c r="AY72" s="39"/>
      <c r="AZ72" s="15" t="str">
        <f>IF(AND(AX72&lt;&gt;"",AY72&lt;&gt;""),ROUND(AX72,3)+ROUND(AZ71,3)-ROUND(AY72,3),IF(AND(EXACT(UPPER(AW72),"TBM"),AX72&lt;&gt;""),ROUND(AX72,3),IF(AX72="",AZ71,IF(ISNA(VLOOKUP(AW72,A6:E105,5,FALSE)),IF(ISNA(VLOOKUP(AW72,G6:K105,5,FALSE)),IF(ISNA(VLOOKUP(AW72,M6:Q105,5,FALSE)),IF(ISNA(VLOOKUP(AW72,S6:W105,5,FALSE)),IF(ISNA(VLOOKUP(AW72,Y6:AC105,5,FALSE)),IF(ISNA(VLOOKUP(AW72,AE6:AI105,5,FALSE)),IF(ISNA(VLOOKUP(AW72,AK6:AO105,5,FALSE)),IF(ISNA(VLOOKUP(AW72,AQ6:AU105,5,FALSE)),IF(ISNA(VLOOKUP(AW72,AW6:BA71,5,FALSE)),"",ROUND(VLOOKUP(AW72,AW6:BA71,5,FALSE),0)/1000+ROUND(AX72,3)),ROUND(VLOOKUP(AW72,AQ6:AU105,5,FALSE),0)/1000+ROUND(AX72,3)),ROUND(VLOOKUP(AW72,AK6:AO105,5,FALSE),0)/1000+ROUND(AX72,3)),ROUND(VLOOKUP(AW72,AE6:AI105,5,FALSE),0)/1000+ROUND(AX72,3)),ROUND(VLOOKUP(AW72,Y6:AC105,5,FALSE),0)/1000+ROUND(AX72,3)),ROUND(VLOOKUP(AW72,S6:W105,5,FALSE),0)/1000+ROUND(AX72,3)),ROUND(VLOOKUP(AW72,M6:Q105,5,FALSE),0)/1000+ROUND(AX72,3)),ROUND(VLOOKUP(AW72,G6:K105,5,FALSE),0)/1000+ROUND(AX72,3)),ROUND(VLOOKUP(AW72,A6:E105,5,FALSE),0)/1000+ROUND(AX72,3)))))</f>
        <v/>
      </c>
      <c r="BA72" s="18" t="str">
        <f>IF(OR(NOT(EXACT(UPPER(AW72),"TBM")),AX72=""),IF(AND(AX72&lt;&gt;"",AY72="",AZ72&lt;&gt;""),"",IF(AND(AX72="",AY72&lt;&gt;"",AZ72&lt;&gt;""),ROUND(ROUND(AZ72,3)-ROUND(AY72,3),3)*1000,IF(AND(AX72&lt;&gt;"",AY72&lt;&gt;"",AZ72&lt;&gt;""),ROUND(ROUND(AZ71,3)-ROUND(AY72,3),3)*1000,""))),"")</f>
        <v/>
      </c>
      <c r="BB72" s="45" t="str">
        <f>IF(AND(NOT(ISNA(VLOOKUP(AW72,A6:E105,5,FALSE))),AX72="",AY72&lt;&gt;""),ROUND((VLOOKUP(AW72,A6:E105,5,FALSE)-BA72)/1000,3),IF(AND(NOT(ISNA(VLOOKUP(AW72,G6:K105,5,FALSE))),AX72="",AY72&lt;&gt;""),ROUND((VLOOKUP(AW72,G6:K105,5,FALSE)-BA72)/1000,3),IF(AND(NOT(ISNA(VLOOKUP(AW72,M6:Q105,5,FALSE))),AX72="",AY72&lt;&gt;""),ROUND((VLOOKUP(AW72,M6:Q105,5,FALSE)-BA72)/1000,3),IF(AND(NOT(ISNA(VLOOKUP(AW72,S6:W105,5,FALSE))),AX72="",AY72&lt;&gt;""),ROUND((VLOOKUP(AW72,S6:W105,5,FALSE)-BA72)/1000,3),IF(AND(NOT(ISNA(VLOOKUP(AW72,Y6:AC105,5,FALSE))),AX72="",AY72&lt;&gt;""),ROUND((VLOOKUP(AW72,Y6:AC105,5,FALSE)-BA72)/1000,3),IF(AND(NOT(ISNA(VLOOKUP(AW72,AE6:AI105,5,FALSE))),AX72="",AY72&lt;&gt;""),ROUND((VLOOKUP(AW72,AE6:AI105,5,FALSE)-BA72)/1000,3),IF(AND(NOT(ISNA(VLOOKUP(AW72,AK6:AO105,5,FALSE))),AX72="",AY72&lt;&gt;""),ROUND((VLOOKUP(AW72,AK6:AO105,5,FALSE)-BA72)/1000,3),IF(AND(NOT(ISNA(VLOOKUP(AW72,AQ6:AU105,5,FALSE))),AX72="",AY72&lt;&gt;""),ROUND((VLOOKUP(AW72,AQ6:AU105,5,FALSE)-BA72)/1000,3),IF(AND(NOT(ISNA(VLOOKUP(AW72,AW6:BA71,5,FALSE))),AX72="",AY72&lt;&gt;""),ROUND((VLOOKUP(AW72,AW6:BA71,5,FALSE)-BA72)/1000,3),"")))))))))</f>
        <v/>
      </c>
      <c r="BC72" s="19">
        <f>IF(BC71="","",BC71+1)</f>
        <v>966</v>
      </c>
      <c r="BD72" s="39"/>
      <c r="BE72" s="39"/>
      <c r="BF72" s="15" t="str">
        <f>IF(AND(BD72&lt;&gt;"",BE72&lt;&gt;""),ROUND(BD72,3)+ROUND(BF71,3)-ROUND(BE72,3),IF(AND(EXACT(UPPER(BC72),"TBM"),BD72&lt;&gt;""),ROUND(BD72,3),IF(BD72="",BF71,IF(ISNA(VLOOKUP(BC72,A6:E105,5,FALSE)),IF(ISNA(VLOOKUP(BC72,G6:K105,5,FALSE)),IF(ISNA(VLOOKUP(BC72,M6:Q105,5,FALSE)),IF(ISNA(VLOOKUP(BC72,S6:W105,5,FALSE)),IF(ISNA(VLOOKUP(BC72,Y6:AC105,5,FALSE)),IF(ISNA(VLOOKUP(BC72,AE6:AI105,5,FALSE)),IF(ISNA(VLOOKUP(BC72,AK6:AO105,5,FALSE)),IF(ISNA(VLOOKUP(BC72,AQ6:AU105,5,FALSE)),IF(ISNA(VLOOKUP(BC72,AW6:BA105,5,FALSE)),IF(ISNA(VLOOKUP(BC72,BC6:BG71,5,FALSE)),"",ROUND(VLOOKUP(BC72,BC6:BG71,5,FALSE),0)/1000+ROUND(BD72,3)),ROUND(VLOOKUP(BC72,AW6:BA105,5,FALSE),0)/1000+ROUND(BD72,3)),ROUND(VLOOKUP(BC72,AQ6:AU105,5,FALSE),0)/1000+ROUND(BD72,3)),ROUND(VLOOKUP(BC72,AK6:AO105,5,FALSE),0)/1000+ROUND(BD72,3)),ROUND(VLOOKUP(BC72,AE6:AI105,5,FALSE),0)/1000+ROUND(BD72,3)),ROUND(VLOOKUP(BC72,Y6:AC105,5,FALSE),0)/1000+ROUND(BD72,3)),ROUND(VLOOKUP(BC72,S6:W105,5,FALSE),0)/1000+ROUND(BD72,3)),ROUND(VLOOKUP(BC72,M6:Q105,5,FALSE),0)/1000+ROUND(BD72,3)),ROUND(VLOOKUP(BC72,G6:K105,5,FALSE),0)/1000+ROUND(BD72,3)),ROUND(VLOOKUP(BC72,A6:E105,5,FALSE),0)/1000+ROUND(BD72,3)))))</f>
        <v/>
      </c>
      <c r="BG72" s="18" t="str">
        <f>IF(OR(NOT(EXACT(UPPER(BC72),"TBM")),BD72=""),IF(AND(BD72&lt;&gt;"",BE72="",BF72&lt;&gt;""),"",IF(AND(BD72="",BE72&lt;&gt;"",BF72&lt;&gt;""),ROUND(ROUND(BF72,3)-ROUND(BE72,3),3)*1000,IF(AND(BD72&lt;&gt;"",BE72&lt;&gt;"",BF72&lt;&gt;""),ROUND(ROUND(BF71,3)-ROUND(BE72,3),3)*1000,""))),"")</f>
        <v/>
      </c>
      <c r="BH72" s="45" t="str">
        <f>IF(AND(NOT(ISNA(VLOOKUP(BC72,A6:E105,5,FALSE))),BD72="",BE72&lt;&gt;""),ROUND((VLOOKUP(BC72,A6:E105,5,FALSE)-BG72)/1000,3),IF(AND(NOT(ISNA(VLOOKUP(BC72,G6:K105,5,FALSE))),BD72="",BE72&lt;&gt;""),ROUND((VLOOKUP(BC72,G6:K105,5,FALSE)-BG72)/1000,3),IF(AND(NOT(ISNA(VLOOKUP(BC72,M6:Q105,5,FALSE))),BD72="",BE72&lt;&gt;""),ROUND((VLOOKUP(BC72,M6:Q105,5,FALSE)-BG72)/1000,3),IF(AND(NOT(ISNA(VLOOKUP(BC72,S6:W105,5,FALSE))),BD72="",BE72&lt;&gt;""),ROUND((VLOOKUP(BC72,S6:W105,5,FALSE)-BG72)/1000,3),IF(AND(NOT(ISNA(VLOOKUP(BC72,Y6:AC105,5,FALSE))),BD72="",BE72&lt;&gt;""),ROUND((VLOOKUP(BC72,Y6:AC105,5,FALSE)-BG72)/1000,3),IF(AND(NOT(ISNA(VLOOKUP(BC72,AE6:AI105,5,FALSE))),BD72="",BE72&lt;&gt;""),ROUND((VLOOKUP(BC72,AE6:AI105,5,FALSE)-BG72)/1000,3),IF(AND(NOT(ISNA(VLOOKUP(BC72,AK6:AO105,5,FALSE))),BD72="",BE72&lt;&gt;""),ROUND((VLOOKUP(BC72,AK6:AO105,5,FALSE)-BG72)/1000,3),IF(AND(NOT(ISNA(VLOOKUP(BC72,AQ6:AU105,5,FALSE))),BD72="",BE72&lt;&gt;""),ROUND((VLOOKUP(BC72,AQ6:AU105,5,FALSE)-BG72)/1000,3),IF(AND(NOT(ISNA(VLOOKUP(BC72,AW6:BA105,5,FALSE))),BD72="",BE72&lt;&gt;""),ROUND((VLOOKUP(BC72,AW6:BA105,5,FALSE)-BG72)/1000,3),IF(AND(NOT(ISNA(VLOOKUP(BC72,BC6:BG71,5,FALSE))),BD72="",BE72&lt;&gt;""),ROUND((VLOOKUP(BC72,BC6:BG71,5,FALSE)-BG72)/1000,3),""))))))))))</f>
        <v/>
      </c>
    </row>
    <row r="73" spans="1:60" x14ac:dyDescent="0.25">
      <c r="A73" s="19">
        <f t="shared" ref="A73:A105" si="9">IF(A72="","",A72+1)</f>
        <v>67</v>
      </c>
      <c r="B73" s="39"/>
      <c r="C73" s="39"/>
      <c r="D73" s="15" t="str">
        <f>IF(AND(B73&lt;&gt;"",C73&lt;&gt;""),ROUND(B73,3)+ROUND(D72,3)-ROUND(C73,3),IF(AND(EXACT(UPPER(A73),"TBM"),B73&lt;&gt;""),ROUND(B73,3),IF(B73="",D72,IF(ISNA(VLOOKUP(A73,A6:E72,5,FALSE)),"",ROUND(VLOOKUP(A73,A6:E72,5,FALSE),0)/1000+ROUND(B73,3)))))</f>
        <v/>
      </c>
      <c r="E73" s="21" t="str">
        <f t="shared" si="6"/>
        <v/>
      </c>
      <c r="F73" s="45" t="str">
        <f>IF(AND(NOT(ISNA(VLOOKUP(A73,A6:E72,5,FALSE))),B73="",C73&lt;&gt;""),ROUND((VLOOKUP(A73,A6:E72,5,FALSE)-E73)/1000,3),"")</f>
        <v/>
      </c>
      <c r="G73" s="19">
        <f t="shared" si="7"/>
        <v>167</v>
      </c>
      <c r="H73" s="39"/>
      <c r="I73" s="39"/>
      <c r="J73" s="15" t="str">
        <f>IF(AND(H73&lt;&gt;"",I73&lt;&gt;""),ROUND(H73,3)+ROUND(J72,3)-ROUND(I73,3),IF(AND(EXACT(UPPER(G73),"TBM"),H73&lt;&gt;""),ROUND(H73,3),IF(H73="",J72,IF(ISNA(VLOOKUP(G73,A6:E105,5,FALSE)),IF(ISNA(VLOOKUP(G73,G6:K72,5,FALSE)),"",ROUND(VLOOKUP(G73,G6:K72,5,FALSE),0)/1000+ROUND(H73,3)),ROUND(VLOOKUP(G73,A6:E105,5,FALSE),0)/1000+ROUND(H73,3)))))</f>
        <v/>
      </c>
      <c r="K73" s="18" t="str">
        <f t="shared" si="8"/>
        <v/>
      </c>
      <c r="L73" s="45" t="str">
        <f>IF(AND(NOT(ISNA(VLOOKUP(G73,A6:E105,5,FALSE))),H73="",I73&lt;&gt;""),ROUND((VLOOKUP(G73,A6:E105,5,FALSE)-K73)/1000,3),IF(AND(NOT(ISNA(VLOOKUP(G73,G6:K72,5,FALSE))),H73="",I73&lt;&gt;""),ROUND((VLOOKUP(G73,G6:K72,5,FALSE)-K73)/1000,3),""))</f>
        <v/>
      </c>
      <c r="M73" s="19">
        <f>IF(M72="","",M72+1)</f>
        <v>267</v>
      </c>
      <c r="N73" s="39"/>
      <c r="O73" s="39"/>
      <c r="P73" s="15" t="str">
        <f>IF(AND(N73&lt;&gt;"",O73&lt;&gt;""),ROUND(N73,3)+ROUND(P72,3)-ROUND(O73,3),IF(AND(EXACT(UPPER(M73),"TBM"),N73&lt;&gt;""),ROUND(N73,3),IF(N73="",P72,IF(ISNA(VLOOKUP(M73,A6:E105,5,FALSE)),IF(ISNA(VLOOKUP(M73,G6:K105,5,FALSE)),IF(ISNA(VLOOKUP(M73,M6:Q72,5,FALSE)),"",ROUND(VLOOKUP(M73,M6:Q72,5,FALSE),0)/1000+ROUND(N73,3)),ROUND(VLOOKUP(M73,G6:K105,5,FALSE),0)/1000+ROUND(N73,3)),ROUND(VLOOKUP(M73,A6:E105,5,FALSE),0)/1000+ROUND(N73,3)))))</f>
        <v/>
      </c>
      <c r="Q73" s="18" t="str">
        <f>IF(OR(NOT(EXACT(UPPER(M73),"TBM")),N73=""),IF(AND(N73&lt;&gt;"",O73="",P73&lt;&gt;""),"",IF(AND(N73="",O73&lt;&gt;"",P73&lt;&gt;""),ROUND(ROUND(P73,3)-ROUND(O73,3),3)*1000,IF(AND(N73&lt;&gt;"",O73&lt;&gt;"",P73&lt;&gt;""),ROUND(ROUND(P72,3)-ROUND(O73,3),3)*1000,""))),"")</f>
        <v/>
      </c>
      <c r="R73" s="45" t="str">
        <f>IF(AND(NOT(ISNA(VLOOKUP(M73,A6:E105,5,FALSE))),N73="",O73&lt;&gt;""),ROUND((VLOOKUP(M73,A6:E105,5,FALSE)-Q73)/1000,3),IF(AND(NOT(ISNA(VLOOKUP(M73,G6:K105,5,FALSE))),N73="",O73&lt;&gt;""),ROUND((VLOOKUP(M73,G6:K105,5,FALSE)-Q73)/1000,3),IF(AND(NOT(ISNA(VLOOKUP(M73,M6:Q72,5,FALSE))),N73="",O73&lt;&gt;""),ROUND((VLOOKUP(M73,M6:Q72,5,FALSE)-Q73)/1000,3),"")))</f>
        <v/>
      </c>
      <c r="S73" s="19">
        <f>IF(S72="","",S72+1)</f>
        <v>367</v>
      </c>
      <c r="T73" s="39"/>
      <c r="U73" s="39"/>
      <c r="V73" s="15" t="str">
        <f>IF(AND(T73&lt;&gt;"",U73&lt;&gt;""),ROUND(T73,3)+ROUND(V72,3)-ROUND(U73,3),IF(AND(EXACT(UPPER(S73),"TBM"),T73&lt;&gt;""),ROUND(T73,3),IF(T73="",V72,IF(ISNA(VLOOKUP(S73,A6:E105,5,FALSE)),IF(ISNA(VLOOKUP(S73,G6:K105,5,FALSE)),IF(ISNA(VLOOKUP(S73,M6:Q105,5,FALSE)),IF(ISNA(VLOOKUP(S73,S6:W72,5,FALSE)),"",ROUND(VLOOKUP(S73,S6:W72,5,FALSE),0)/1000+ROUND(T73,3)),ROUND(VLOOKUP(S73,M6:Q105,5,FALSE),0)/1000+ROUND(T73,3)),ROUND(VLOOKUP(S73,G6:K105,5,FALSE),0)/1000+ROUND(T73,3)),ROUND(VLOOKUP(S73,A6:E105,5,FALSE),0)/1000+ROUND(T73,3)))))</f>
        <v/>
      </c>
      <c r="W73" s="18" t="str">
        <f>IF(OR(NOT(EXACT(UPPER(S73),"TBM")),T73=""),IF(AND(T73&lt;&gt;"",U73="",V73&lt;&gt;""),"",IF(AND(T73="",U73&lt;&gt;"",V73&lt;&gt;""),ROUND(ROUND(V73,3)-ROUND(U73,3),3)*1000,IF(AND(T73&lt;&gt;"",U73&lt;&gt;"",V73&lt;&gt;""),ROUND(ROUND(V72,3)-ROUND(U73,3),3)*1000,""))),"")</f>
        <v/>
      </c>
      <c r="X73" s="45" t="str">
        <f>IF(AND(NOT(ISNA(VLOOKUP(S73,A6:E105,5,FALSE))),T73="",U73&lt;&gt;""),ROUND((VLOOKUP(S73,A6:E105,5,FALSE)-W73)/1000,3),IF(AND(NOT(ISNA(VLOOKUP(S73,G6:K105,5,FALSE))),T73="",U73&lt;&gt;""),ROUND((VLOOKUP(S73,G6:K105,5,FALSE)-W73)/1000,3),IF(AND(NOT(ISNA(VLOOKUP(S73,M6:Q105,5,FALSE))),T73="",U73&lt;&gt;""),ROUND((VLOOKUP(S73,M6:Q105,5,FALSE)-W73)/1000,3),IF(AND(NOT(ISNA(VLOOKUP(S73,S6:W72,5,FALSE))),T73="",U73&lt;&gt;""),ROUND((VLOOKUP(S73,S6:W72,5,FALSE)-W73)/1000,3),""))))</f>
        <v/>
      </c>
      <c r="Y73" s="19">
        <f>IF(Y72="","",Y72+1)</f>
        <v>467</v>
      </c>
      <c r="Z73" s="39"/>
      <c r="AA73" s="39"/>
      <c r="AB73" s="15" t="str">
        <f>IF(AND(Z73&lt;&gt;"",AA73&lt;&gt;""),ROUND(Z73,3)+ROUND(AB72,3)-ROUND(AA73,3),IF(AND(EXACT(UPPER(Y73),"TBM"),Z73&lt;&gt;""),ROUND(Z73,3),IF(Z73="",AB72,IF(ISNA(VLOOKUP(Y73,A6:E105,5,FALSE)),IF(ISNA(VLOOKUP(Y73,G6:K105,5,FALSE)),IF(ISNA(VLOOKUP(Y73,M6:Q105,5,FALSE)),IF(ISNA(VLOOKUP(Y73,S6:W105,5,FALSE)),IF(ISNA(VLOOKUP(Y73,Y6:AC72,5,FALSE)),"",ROUND(VLOOKUP(Y73,Y6:AC72,5,FALSE),0)/1000+ROUND(Z73,3)),ROUND(VLOOKUP(Y73,S6:W105,5,FALSE),0)/1000+ROUND(Z73,3)),ROUND(VLOOKUP(Y73,M6:Q105,5,FALSE),0)/1000+ROUND(Z73,3)),ROUND(VLOOKUP(Y73,G6:K105,5,FALSE),0)/1000+ROUND(Z73,3)),ROUND(VLOOKUP(Y73,A6:E105,5,FALSE),0)/1000+ROUND(Z73,3)))))</f>
        <v/>
      </c>
      <c r="AC73" s="18" t="str">
        <f>IF(OR(NOT(EXACT(UPPER(Y73),"TBM")),Z73=""),IF(AND(Z73&lt;&gt;"",AA73="",AB73&lt;&gt;""),"",IF(AND(Z73="",AA73&lt;&gt;"",AB73&lt;&gt;""),ROUND(ROUND(AB73,3)-ROUND(AA73,3),3)*1000,IF(AND(Z73&lt;&gt;"",AA73&lt;&gt;"",AB73&lt;&gt;""),ROUND(ROUND(AB72,3)-ROUND(AA73,3),3)*1000,""))),"")</f>
        <v/>
      </c>
      <c r="AD73" s="45" t="str">
        <f>IF(AND(NOT(ISNA(VLOOKUP(Y73,A6:E105,5,FALSE))),Z73="",AA73&lt;&gt;""),ROUND((VLOOKUP(Y73,A6:E105,5,FALSE)-AC73)/1000,3),IF(AND(NOT(ISNA(VLOOKUP(Y73,G6:K105,5,FALSE))),Z73="",AA73&lt;&gt;""),ROUND((VLOOKUP(Y73,G6:K105,5,FALSE)-AC73)/1000,3),IF(AND(NOT(ISNA(VLOOKUP(Y73,M6:Q105,5,FALSE))),Z73="",AA73&lt;&gt;""),ROUND((VLOOKUP(Y73,M6:Q105,5,FALSE)-AC73)/1000,3),IF(AND(NOT(ISNA(VLOOKUP(Y73,S6:W105,5,FALSE))),Z73="",AA73&lt;&gt;""),ROUND((VLOOKUP(Y73,S6:W105,5,FALSE)-AC73)/1000,3),IF(AND(NOT(ISNA(VLOOKUP(Y73,Y6:AC72,5,FALSE))),Z73="",AA73&lt;&gt;""),ROUND((VLOOKUP(Y73,Y6:AC72,5,FALSE)-AC73)/1000,3),"")))))</f>
        <v/>
      </c>
      <c r="AE73" s="19">
        <f>IF(AE72="","",AE72+1)</f>
        <v>567</v>
      </c>
      <c r="AF73" s="39"/>
      <c r="AG73" s="39"/>
      <c r="AH73" s="15" t="str">
        <f>IF(AND(AF73&lt;&gt;"",AG73&lt;&gt;""),ROUND(AF73,3)+ROUND(AH72,3)-ROUND(AG73,3),IF(AND(EXACT(UPPER(AE73),"TBM"),AF73&lt;&gt;""),ROUND(AF73,3),IF(AF73="",AH72,IF(ISNA(VLOOKUP(AE73,A6:E105,5,FALSE)),IF(ISNA(VLOOKUP(AE73,G6:K105,5,FALSE)),IF(ISNA(VLOOKUP(AE73,M6:Q105,5,FALSE)),IF(ISNA(VLOOKUP(AE73,S6:W105,5,FALSE)),IF(ISNA(VLOOKUP(AE73,Y6:AC105,5,FALSE)),IF(ISNA(VLOOKUP(AE73,AE6:AI72,5,FALSE)),"",ROUND(VLOOKUP(AE73,AE6:AI72,5,FALSE),0)/1000+ROUND(AF73,3)),ROUND(VLOOKUP(AE73,Y6:AC105,5,FALSE),0)/1000+ROUND(AF73,3)),ROUND(VLOOKUP(AE73,S6:W105,5,FALSE),0)/1000+ROUND(AF73,3)),ROUND(VLOOKUP(AE73,M6:Q105,5,FALSE),0)/1000+ROUND(AF73,3)),ROUND(VLOOKUP(AE73,G6:K105,5,FALSE),0)/1000+ROUND(AF73,3)),ROUND(VLOOKUP(AE73,A6:E105,5,FALSE),0)/1000+ROUND(AF73,3)))))</f>
        <v/>
      </c>
      <c r="AI73" s="18" t="str">
        <f>IF(OR(NOT(EXACT(UPPER(AE73),"TBM")),AF73=""),IF(AND(AF73&lt;&gt;"",AG73="",AH73&lt;&gt;""),"",IF(AND(AF73="",AG73&lt;&gt;"",AH73&lt;&gt;""),ROUND(ROUND(AH73,3)-ROUND(AG73,3),3)*1000,IF(AND(AF73&lt;&gt;"",AG73&lt;&gt;"",AH73&lt;&gt;""),ROUND(ROUND(AH72,3)-ROUND(AG73,3),3)*1000,""))),"")</f>
        <v/>
      </c>
      <c r="AJ73" s="45" t="str">
        <f>IF(AND(NOT(ISNA(VLOOKUP(AE73,A6:E105,5,FALSE))),AF73="",AG73&lt;&gt;""),ROUND((VLOOKUP(AE73,A6:E105,5,FALSE)-AI73)/1000,3),IF(AND(NOT(ISNA(VLOOKUP(AE73,G6:K105,5,FALSE))),AF73="",AG73&lt;&gt;""),ROUND((VLOOKUP(AE73,G6:K105,5,FALSE)-AI73)/1000,3),IF(AND(NOT(ISNA(VLOOKUP(AE73,M6:Q105,5,FALSE))),AF73="",AG73&lt;&gt;""),ROUND((VLOOKUP(AE73,M6:Q105,5,FALSE)-AI73)/1000,3),IF(AND(NOT(ISNA(VLOOKUP(AE73,S6:W105,5,FALSE))),AF73="",AG73&lt;&gt;""),ROUND((VLOOKUP(AE73,S6:W105,5,FALSE)-AI73)/1000,3),IF(AND(NOT(ISNA(VLOOKUP(AE73,Y6:AC105,5,FALSE))),AF73="",AG73&lt;&gt;""),ROUND((VLOOKUP(AE73,Y6:AC105,5,FALSE)-AI73)/1000,3),IF(AND(NOT(ISNA(VLOOKUP(AE73,AE6:AI72,5,FALSE))),AF73="",AG73&lt;&gt;""),ROUND((VLOOKUP(AE73,AE6:AI72,5,FALSE)-AI73)/1000,3),""))))))</f>
        <v/>
      </c>
      <c r="AK73" s="19">
        <f>IF(AK72="","",AK72+1)</f>
        <v>667</v>
      </c>
      <c r="AL73" s="39"/>
      <c r="AM73" s="39"/>
      <c r="AN73" s="15" t="str">
        <f>IF(AND(AL73&lt;&gt;"",AM73&lt;&gt;""),ROUND(AL73,3)+ROUND(AN72,3)-ROUND(AM73,3),IF(AND(EXACT(UPPER(AK73),"TBM"),AL73&lt;&gt;""),ROUND(AL73,3),IF(AL73="",AN72,IF(ISNA(VLOOKUP(AK73,A6:E105,5,FALSE)),IF(ISNA(VLOOKUP(AK73,G6:K105,5,FALSE)),IF(ISNA(VLOOKUP(AK73,M6:Q105,5,FALSE)),IF(ISNA(VLOOKUP(AK73,S6:W105,5,FALSE)),IF(ISNA(VLOOKUP(AK73,Y6:AC105,5,FALSE)),IF(ISNA(VLOOKUP(AK73,AE6:AI105,5,FALSE)),IF(ISNA(VLOOKUP(AK73,AK6:AO72,5,FALSE)),"",ROUND(VLOOKUP(AK73,AK6:AO72,5,FALSE),0)/1000+ROUND(AL73,3)),ROUND(VLOOKUP(AK73,AE6:AI105,5,FALSE),0)/1000+ROUND(AL73,3)),ROUND(VLOOKUP(AK73,Y6:AC105,5,FALSE),0)/1000+ROUND(AL73,3)),ROUND(VLOOKUP(AK73,S6:W105,5,FALSE),0)/1000+ROUND(AL73,3)),ROUND(VLOOKUP(AK73,M6:Q105,5,FALSE),0)/1000+ROUND(AL73,3)),ROUND(VLOOKUP(AK73,G6:K105,5,FALSE),0)/1000+ROUND(AL73,3)),ROUND(VLOOKUP(AK73,A6:E105,5,FALSE),0)/1000+ROUND(AL73,3)))))</f>
        <v/>
      </c>
      <c r="AO73" s="18" t="str">
        <f>IF(OR(NOT(EXACT(UPPER(AK73),"TBM")),AL73=""),IF(AND(AL73&lt;&gt;"",AM73="",AN73&lt;&gt;""),"",IF(AND(AL73="",AM73&lt;&gt;"",AN73&lt;&gt;""),ROUND(ROUND(AN73,3)-ROUND(AM73,3),3)*1000,IF(AND(AL73&lt;&gt;"",AM73&lt;&gt;"",AN73&lt;&gt;""),ROUND(ROUND(AN72,3)-ROUND(AM73,3),3)*1000,""))),"")</f>
        <v/>
      </c>
      <c r="AP73" s="45" t="str">
        <f>IF(AND(NOT(ISNA(VLOOKUP(AK73,A6:E105,5,FALSE))),AL73="",AM73&lt;&gt;""),ROUND((VLOOKUP(AK73,A6:E105,5,FALSE)-AO73)/1000,3),IF(AND(NOT(ISNA(VLOOKUP(AK73,G6:K105,5,FALSE))),AL73="",AM73&lt;&gt;""),ROUND((VLOOKUP(AK73,G6:K105,5,FALSE)-AO73)/1000,3),IF(AND(NOT(ISNA(VLOOKUP(AK73,M6:Q105,5,FALSE))),AL73="",AM73&lt;&gt;""),ROUND((VLOOKUP(AK73,M6:Q105,5,FALSE)-AO73)/1000,3),IF(AND(NOT(ISNA(VLOOKUP(AK73,S6:W105,5,FALSE))),AL73="",AM73&lt;&gt;""),ROUND((VLOOKUP(AK73,S6:W105,5,FALSE)-AO73)/1000,3),IF(AND(NOT(ISNA(VLOOKUP(AK73,Y6:AC105,5,FALSE))),AL73="",AM73&lt;&gt;""),ROUND((VLOOKUP(AK73,Y6:AC105,5,FALSE)-AO73)/1000,3),IF(AND(NOT(ISNA(VLOOKUP(AK73,AE6:AI105,5,FALSE))),AL73="",AM73&lt;&gt;""),ROUND((VLOOKUP(AK73,AE6:AI105,5,FALSE)-AO73)/1000,3),IF(AND(NOT(ISNA(VLOOKUP(AK73,AK6:AO72,5,FALSE))),AL73="",AM73&lt;&gt;""),ROUND((VLOOKUP(AK73,AK6:AO72,5,FALSE)-AO73)/1000,3),"")))))))</f>
        <v/>
      </c>
      <c r="AQ73" s="19">
        <f>IF(AQ72="","",AQ72+1)</f>
        <v>767</v>
      </c>
      <c r="AR73" s="39"/>
      <c r="AS73" s="39"/>
      <c r="AT73" s="15" t="str">
        <f>IF(AND(AR73&lt;&gt;"",AS73&lt;&gt;""),ROUND(AR73,3)+ROUND(AT72,3)-ROUND(AS73,3),IF(AND(EXACT(UPPER(AQ73),"TBM"),AR73&lt;&gt;""),ROUND(AR73,3),IF(AR73="",AT72,IF(ISNA(VLOOKUP(AQ73,A6:E105,5,FALSE)),IF(ISNA(VLOOKUP(AQ73,G6:K105,5,FALSE)),IF(ISNA(VLOOKUP(AQ73,M6:Q105,5,FALSE)),IF(ISNA(VLOOKUP(AQ73,S6:W105,5,FALSE)),IF(ISNA(VLOOKUP(AQ73,Y6:AC105,5,FALSE)),IF(ISNA(VLOOKUP(AQ73,AE6:AI105,5,FALSE)),IF(ISNA(VLOOKUP(AQ73,AK6:AO105,5,FALSE)),IF(ISNA(VLOOKUP(AQ73,AQ6:AU72,5,FALSE)),"",ROUND(VLOOKUP(AQ73,AQ6:AU72,5,FALSE),0)/1000+ROUND(AR73,3)),ROUND(VLOOKUP(AQ73,AK6:AO105,5,FALSE),0)/1000+ROUND(AR73,3)),ROUND(VLOOKUP(AQ73,AE6:AI105,5,FALSE),0)/1000+ROUND(AR73,3)),ROUND(VLOOKUP(AQ73,Y6:AC105,5,FALSE),0)/1000+ROUND(AR73,3)),ROUND(VLOOKUP(AQ73,S6:W105,5,FALSE),0)/1000+ROUND(AR73,3)),ROUND(VLOOKUP(AQ73,M6:Q105,5,FALSE),0)/1000+ROUND(AR73,3)),ROUND(VLOOKUP(AQ73,G6:K105,5,FALSE),0)/1000+ROUND(AR73,3)),ROUND(VLOOKUP(AQ73,A6:E105,5,FALSE),0)/1000+ROUND(AR73,3)))))</f>
        <v/>
      </c>
      <c r="AU73" s="18" t="str">
        <f>IF(OR(NOT(EXACT(UPPER(AQ73),"TBM")),AR73=""),IF(AND(AR73&lt;&gt;"",AS73="",AT73&lt;&gt;""),"",IF(AND(AR73="",AS73&lt;&gt;"",AT73&lt;&gt;""),ROUND(ROUND(AT73,3)-ROUND(AS73,3),3)*1000,IF(AND(AR73&lt;&gt;"",AS73&lt;&gt;"",AT73&lt;&gt;""),ROUND(ROUND(AT72,3)-ROUND(AS73,3),3)*1000,""))),"")</f>
        <v/>
      </c>
      <c r="AV73" s="45" t="str">
        <f>IF(AND(NOT(ISNA(VLOOKUP(AQ73,A6:E105,5,FALSE))),AR73="",AS73&lt;&gt;""),ROUND((VLOOKUP(AQ73,A6:E105,5,FALSE)-AU73)/1000,3),IF(AND(NOT(ISNA(VLOOKUP(AQ73,G6:K105,5,FALSE))),AR73="",AS73&lt;&gt;""),ROUND((VLOOKUP(AQ73,G6:K105,5,FALSE)-AU73)/1000,3),IF(AND(NOT(ISNA(VLOOKUP(AQ73,M6:Q105,5,FALSE))),AR73="",AS73&lt;&gt;""),ROUND((VLOOKUP(AQ73,M6:Q105,5,FALSE)-AU73)/1000,3),IF(AND(NOT(ISNA(VLOOKUP(AQ73,S6:W105,5,FALSE))),AR73="",AS73&lt;&gt;""),ROUND((VLOOKUP(AQ73,S6:W105,5,FALSE)-AU73)/1000,3),IF(AND(NOT(ISNA(VLOOKUP(AQ73,Y6:AC105,5,FALSE))),AR73="",AS73&lt;&gt;""),ROUND((VLOOKUP(AQ73,Y6:AC105,5,FALSE)-AU73)/1000,3),IF(AND(NOT(ISNA(VLOOKUP(AQ73,AE6:AI105,5,FALSE))),AR73="",AS73&lt;&gt;""),ROUND((VLOOKUP(AQ73,AE6:AI105,5,FALSE)-AU73)/1000,3),IF(AND(NOT(ISNA(VLOOKUP(AQ73,AK6:AO105,5,FALSE))),AR73="",AS73&lt;&gt;""),ROUND((VLOOKUP(AQ73,AK6:AO105,5,FALSE)-AU73)/1000,3),IF(AND(NOT(ISNA(VLOOKUP(AQ73,AQ6:AU72,5,FALSE))),AR73="",AS73&lt;&gt;""),ROUND((VLOOKUP(AQ73,AQ6:AU72,5,FALSE)-AU73)/1000,3),""))))))))</f>
        <v/>
      </c>
      <c r="AW73" s="19">
        <f>IF(AW72="","",AW72+1)</f>
        <v>867</v>
      </c>
      <c r="AX73" s="39"/>
      <c r="AY73" s="39"/>
      <c r="AZ73" s="15" t="str">
        <f>IF(AND(AX73&lt;&gt;"",AY73&lt;&gt;""),ROUND(AX73,3)+ROUND(AZ72,3)-ROUND(AY73,3),IF(AND(EXACT(UPPER(AW73),"TBM"),AX73&lt;&gt;""),ROUND(AX73,3),IF(AX73="",AZ72,IF(ISNA(VLOOKUP(AW73,A6:E105,5,FALSE)),IF(ISNA(VLOOKUP(AW73,G6:K105,5,FALSE)),IF(ISNA(VLOOKUP(AW73,M6:Q105,5,FALSE)),IF(ISNA(VLOOKUP(AW73,S6:W105,5,FALSE)),IF(ISNA(VLOOKUP(AW73,Y6:AC105,5,FALSE)),IF(ISNA(VLOOKUP(AW73,AE6:AI105,5,FALSE)),IF(ISNA(VLOOKUP(AW73,AK6:AO105,5,FALSE)),IF(ISNA(VLOOKUP(AW73,AQ6:AU105,5,FALSE)),IF(ISNA(VLOOKUP(AW73,AW6:BA72,5,FALSE)),"",ROUND(VLOOKUP(AW73,AW6:BA72,5,FALSE),0)/1000+ROUND(AX73,3)),ROUND(VLOOKUP(AW73,AQ6:AU105,5,FALSE),0)/1000+ROUND(AX73,3)),ROUND(VLOOKUP(AW73,AK6:AO105,5,FALSE),0)/1000+ROUND(AX73,3)),ROUND(VLOOKUP(AW73,AE6:AI105,5,FALSE),0)/1000+ROUND(AX73,3)),ROUND(VLOOKUP(AW73,Y6:AC105,5,FALSE),0)/1000+ROUND(AX73,3)),ROUND(VLOOKUP(AW73,S6:W105,5,FALSE),0)/1000+ROUND(AX73,3)),ROUND(VLOOKUP(AW73,M6:Q105,5,FALSE),0)/1000+ROUND(AX73,3)),ROUND(VLOOKUP(AW73,G6:K105,5,FALSE),0)/1000+ROUND(AX73,3)),ROUND(VLOOKUP(AW73,A6:E105,5,FALSE),0)/1000+ROUND(AX73,3)))))</f>
        <v/>
      </c>
      <c r="BA73" s="18" t="str">
        <f>IF(OR(NOT(EXACT(UPPER(AW73),"TBM")),AX73=""),IF(AND(AX73&lt;&gt;"",AY73="",AZ73&lt;&gt;""),"",IF(AND(AX73="",AY73&lt;&gt;"",AZ73&lt;&gt;""),ROUND(ROUND(AZ73,3)-ROUND(AY73,3),3)*1000,IF(AND(AX73&lt;&gt;"",AY73&lt;&gt;"",AZ73&lt;&gt;""),ROUND(ROUND(AZ72,3)-ROUND(AY73,3),3)*1000,""))),"")</f>
        <v/>
      </c>
      <c r="BB73" s="45" t="str">
        <f>IF(AND(NOT(ISNA(VLOOKUP(AW73,A6:E105,5,FALSE))),AX73="",AY73&lt;&gt;""),ROUND((VLOOKUP(AW73,A6:E105,5,FALSE)-BA73)/1000,3),IF(AND(NOT(ISNA(VLOOKUP(AW73,G6:K105,5,FALSE))),AX73="",AY73&lt;&gt;""),ROUND((VLOOKUP(AW73,G6:K105,5,FALSE)-BA73)/1000,3),IF(AND(NOT(ISNA(VLOOKUP(AW73,M6:Q105,5,FALSE))),AX73="",AY73&lt;&gt;""),ROUND((VLOOKUP(AW73,M6:Q105,5,FALSE)-BA73)/1000,3),IF(AND(NOT(ISNA(VLOOKUP(AW73,S6:W105,5,FALSE))),AX73="",AY73&lt;&gt;""),ROUND((VLOOKUP(AW73,S6:W105,5,FALSE)-BA73)/1000,3),IF(AND(NOT(ISNA(VLOOKUP(AW73,Y6:AC105,5,FALSE))),AX73="",AY73&lt;&gt;""),ROUND((VLOOKUP(AW73,Y6:AC105,5,FALSE)-BA73)/1000,3),IF(AND(NOT(ISNA(VLOOKUP(AW73,AE6:AI105,5,FALSE))),AX73="",AY73&lt;&gt;""),ROUND((VLOOKUP(AW73,AE6:AI105,5,FALSE)-BA73)/1000,3),IF(AND(NOT(ISNA(VLOOKUP(AW73,AK6:AO105,5,FALSE))),AX73="",AY73&lt;&gt;""),ROUND((VLOOKUP(AW73,AK6:AO105,5,FALSE)-BA73)/1000,3),IF(AND(NOT(ISNA(VLOOKUP(AW73,AQ6:AU105,5,FALSE))),AX73="",AY73&lt;&gt;""),ROUND((VLOOKUP(AW73,AQ6:AU105,5,FALSE)-BA73)/1000,3),IF(AND(NOT(ISNA(VLOOKUP(AW73,AW6:BA72,5,FALSE))),AX73="",AY73&lt;&gt;""),ROUND((VLOOKUP(AW73,AW6:BA72,5,FALSE)-BA73)/1000,3),"")))))))))</f>
        <v/>
      </c>
      <c r="BC73" s="19">
        <f>IF(BC72="","",BC72+1)</f>
        <v>967</v>
      </c>
      <c r="BD73" s="39"/>
      <c r="BE73" s="39"/>
      <c r="BF73" s="15" t="str">
        <f>IF(AND(BD73&lt;&gt;"",BE73&lt;&gt;""),ROUND(BD73,3)+ROUND(BF72,3)-ROUND(BE73,3),IF(AND(EXACT(UPPER(BC73),"TBM"),BD73&lt;&gt;""),ROUND(BD73,3),IF(BD73="",BF72,IF(ISNA(VLOOKUP(BC73,A6:E105,5,FALSE)),IF(ISNA(VLOOKUP(BC73,G6:K105,5,FALSE)),IF(ISNA(VLOOKUP(BC73,M6:Q105,5,FALSE)),IF(ISNA(VLOOKUP(BC73,S6:W105,5,FALSE)),IF(ISNA(VLOOKUP(BC73,Y6:AC105,5,FALSE)),IF(ISNA(VLOOKUP(BC73,AE6:AI105,5,FALSE)),IF(ISNA(VLOOKUP(BC73,AK6:AO105,5,FALSE)),IF(ISNA(VLOOKUP(BC73,AQ6:AU105,5,FALSE)),IF(ISNA(VLOOKUP(BC73,AW6:BA105,5,FALSE)),IF(ISNA(VLOOKUP(BC73,BC6:BG72,5,FALSE)),"",ROUND(VLOOKUP(BC73,BC6:BG72,5,FALSE),0)/1000+ROUND(BD73,3)),ROUND(VLOOKUP(BC73,AW6:BA105,5,FALSE),0)/1000+ROUND(BD73,3)),ROUND(VLOOKUP(BC73,AQ6:AU105,5,FALSE),0)/1000+ROUND(BD73,3)),ROUND(VLOOKUP(BC73,AK6:AO105,5,FALSE),0)/1000+ROUND(BD73,3)),ROUND(VLOOKUP(BC73,AE6:AI105,5,FALSE),0)/1000+ROUND(BD73,3)),ROUND(VLOOKUP(BC73,Y6:AC105,5,FALSE),0)/1000+ROUND(BD73,3)),ROUND(VLOOKUP(BC73,S6:W105,5,FALSE),0)/1000+ROUND(BD73,3)),ROUND(VLOOKUP(BC73,M6:Q105,5,FALSE),0)/1000+ROUND(BD73,3)),ROUND(VLOOKUP(BC73,G6:K105,5,FALSE),0)/1000+ROUND(BD73,3)),ROUND(VLOOKUP(BC73,A6:E105,5,FALSE),0)/1000+ROUND(BD73,3)))))</f>
        <v/>
      </c>
      <c r="BG73" s="18" t="str">
        <f>IF(OR(NOT(EXACT(UPPER(BC73),"TBM")),BD73=""),IF(AND(BD73&lt;&gt;"",BE73="",BF73&lt;&gt;""),"",IF(AND(BD73="",BE73&lt;&gt;"",BF73&lt;&gt;""),ROUND(ROUND(BF73,3)-ROUND(BE73,3),3)*1000,IF(AND(BD73&lt;&gt;"",BE73&lt;&gt;"",BF73&lt;&gt;""),ROUND(ROUND(BF72,3)-ROUND(BE73,3),3)*1000,""))),"")</f>
        <v/>
      </c>
      <c r="BH73" s="45" t="str">
        <f>IF(AND(NOT(ISNA(VLOOKUP(BC73,A6:E105,5,FALSE))),BD73="",BE73&lt;&gt;""),ROUND((VLOOKUP(BC73,A6:E105,5,FALSE)-BG73)/1000,3),IF(AND(NOT(ISNA(VLOOKUP(BC73,G6:K105,5,FALSE))),BD73="",BE73&lt;&gt;""),ROUND((VLOOKUP(BC73,G6:K105,5,FALSE)-BG73)/1000,3),IF(AND(NOT(ISNA(VLOOKUP(BC73,M6:Q105,5,FALSE))),BD73="",BE73&lt;&gt;""),ROUND((VLOOKUP(BC73,M6:Q105,5,FALSE)-BG73)/1000,3),IF(AND(NOT(ISNA(VLOOKUP(BC73,S6:W105,5,FALSE))),BD73="",BE73&lt;&gt;""),ROUND((VLOOKUP(BC73,S6:W105,5,FALSE)-BG73)/1000,3),IF(AND(NOT(ISNA(VLOOKUP(BC73,Y6:AC105,5,FALSE))),BD73="",BE73&lt;&gt;""),ROUND((VLOOKUP(BC73,Y6:AC105,5,FALSE)-BG73)/1000,3),IF(AND(NOT(ISNA(VLOOKUP(BC73,AE6:AI105,5,FALSE))),BD73="",BE73&lt;&gt;""),ROUND((VLOOKUP(BC73,AE6:AI105,5,FALSE)-BG73)/1000,3),IF(AND(NOT(ISNA(VLOOKUP(BC73,AK6:AO105,5,FALSE))),BD73="",BE73&lt;&gt;""),ROUND((VLOOKUP(BC73,AK6:AO105,5,FALSE)-BG73)/1000,3),IF(AND(NOT(ISNA(VLOOKUP(BC73,AQ6:AU105,5,FALSE))),BD73="",BE73&lt;&gt;""),ROUND((VLOOKUP(BC73,AQ6:AU105,5,FALSE)-BG73)/1000,3),IF(AND(NOT(ISNA(VLOOKUP(BC73,AW6:BA105,5,FALSE))),BD73="",BE73&lt;&gt;""),ROUND((VLOOKUP(BC73,AW6:BA105,5,FALSE)-BG73)/1000,3),IF(AND(NOT(ISNA(VLOOKUP(BC73,BC6:BG72,5,FALSE))),BD73="",BE73&lt;&gt;""),ROUND((VLOOKUP(BC73,BC6:BG72,5,FALSE)-BG73)/1000,3),""))))))))))</f>
        <v/>
      </c>
    </row>
    <row r="74" spans="1:60" x14ac:dyDescent="0.25">
      <c r="A74" s="19">
        <f t="shared" si="9"/>
        <v>68</v>
      </c>
      <c r="B74" s="39"/>
      <c r="C74" s="39"/>
      <c r="D74" s="15" t="str">
        <f>IF(AND(B74&lt;&gt;"",C74&lt;&gt;""),ROUND(B74,3)+ROUND(D73,3)-ROUND(C74,3),IF(AND(EXACT(UPPER(A74),"TBM"),B74&lt;&gt;""),ROUND(B74,3),IF(B74="",D73,IF(ISNA(VLOOKUP(A74,A6:E73,5,FALSE)),"",ROUND(VLOOKUP(A74,A6:E73,5,FALSE),0)/1000+ROUND(B74,3)))))</f>
        <v/>
      </c>
      <c r="E74" s="21" t="str">
        <f t="shared" si="6"/>
        <v/>
      </c>
      <c r="F74" s="45" t="str">
        <f>IF(AND(NOT(ISNA(VLOOKUP(A74,A6:E73,5,FALSE))),B74="",C74&lt;&gt;""),ROUND((VLOOKUP(A74,A6:E73,5,FALSE)-E74)/1000,3),"")</f>
        <v/>
      </c>
      <c r="G74" s="19">
        <f t="shared" si="7"/>
        <v>168</v>
      </c>
      <c r="H74" s="39"/>
      <c r="I74" s="39"/>
      <c r="J74" s="15" t="str">
        <f>IF(AND(H74&lt;&gt;"",I74&lt;&gt;""),ROUND(H74,3)+ROUND(J73,3)-ROUND(I74,3),IF(AND(EXACT(UPPER(G74),"TBM"),H74&lt;&gt;""),ROUND(H74,3),IF(H74="",J73,IF(ISNA(VLOOKUP(G74,A6:E105,5,FALSE)),IF(ISNA(VLOOKUP(G74,G6:K73,5,FALSE)),"",ROUND(VLOOKUP(G74,G6:K73,5,FALSE),0)/1000+ROUND(H74,3)),ROUND(VLOOKUP(G74,A6:E105,5,FALSE),0)/1000+ROUND(H74,3)))))</f>
        <v/>
      </c>
      <c r="K74" s="18" t="str">
        <f t="shared" si="8"/>
        <v/>
      </c>
      <c r="L74" s="45" t="str">
        <f>IF(AND(NOT(ISNA(VLOOKUP(G74,A6:E105,5,FALSE))),H74="",I74&lt;&gt;""),ROUND((VLOOKUP(G74,A6:E105,5,FALSE)-K74)/1000,3),IF(AND(NOT(ISNA(VLOOKUP(G74,G6:K73,5,FALSE))),H74="",I74&lt;&gt;""),ROUND((VLOOKUP(G74,G6:K73,5,FALSE)-K74)/1000,3),""))</f>
        <v/>
      </c>
      <c r="M74" s="19">
        <f>IF(M73="","",M73+1)</f>
        <v>268</v>
      </c>
      <c r="N74" s="39"/>
      <c r="O74" s="39"/>
      <c r="P74" s="15" t="str">
        <f>IF(AND(N74&lt;&gt;"",O74&lt;&gt;""),ROUND(N74,3)+ROUND(P73,3)-ROUND(O74,3),IF(AND(EXACT(UPPER(M74),"TBM"),N74&lt;&gt;""),ROUND(N74,3),IF(N74="",P73,IF(ISNA(VLOOKUP(M74,A6:E105,5,FALSE)),IF(ISNA(VLOOKUP(M74,G6:K105,5,FALSE)),IF(ISNA(VLOOKUP(M74,M6:Q73,5,FALSE)),"",ROUND(VLOOKUP(M74,M6:Q73,5,FALSE),0)/1000+ROUND(N74,3)),ROUND(VLOOKUP(M74,G6:K105,5,FALSE),0)/1000+ROUND(N74,3)),ROUND(VLOOKUP(M74,A6:E105,5,FALSE),0)/1000+ROUND(N74,3)))))</f>
        <v/>
      </c>
      <c r="Q74" s="18" t="str">
        <f>IF(OR(NOT(EXACT(UPPER(M74),"TBM")),N74=""),IF(AND(N74&lt;&gt;"",O74="",P74&lt;&gt;""),"",IF(AND(N74="",O74&lt;&gt;"",P74&lt;&gt;""),ROUND(ROUND(P74,3)-ROUND(O74,3),3)*1000,IF(AND(N74&lt;&gt;"",O74&lt;&gt;"",P74&lt;&gt;""),ROUND(ROUND(P73,3)-ROUND(O74,3),3)*1000,""))),"")</f>
        <v/>
      </c>
      <c r="R74" s="45" t="str">
        <f>IF(AND(NOT(ISNA(VLOOKUP(M74,A6:E105,5,FALSE))),N74="",O74&lt;&gt;""),ROUND((VLOOKUP(M74,A6:E105,5,FALSE)-Q74)/1000,3),IF(AND(NOT(ISNA(VLOOKUP(M74,G6:K105,5,FALSE))),N74="",O74&lt;&gt;""),ROUND((VLOOKUP(M74,G6:K105,5,FALSE)-Q74)/1000,3),IF(AND(NOT(ISNA(VLOOKUP(M74,M6:Q73,5,FALSE))),N74="",O74&lt;&gt;""),ROUND((VLOOKUP(M74,M6:Q73,5,FALSE)-Q74)/1000,3),"")))</f>
        <v/>
      </c>
      <c r="S74" s="19">
        <f>IF(S73="","",S73+1)</f>
        <v>368</v>
      </c>
      <c r="T74" s="39"/>
      <c r="U74" s="39"/>
      <c r="V74" s="15" t="str">
        <f>IF(AND(T74&lt;&gt;"",U74&lt;&gt;""),ROUND(T74,3)+ROUND(V73,3)-ROUND(U74,3),IF(AND(EXACT(UPPER(S74),"TBM"),T74&lt;&gt;""),ROUND(T74,3),IF(T74="",V73,IF(ISNA(VLOOKUP(S74,A6:E105,5,FALSE)),IF(ISNA(VLOOKUP(S74,G6:K105,5,FALSE)),IF(ISNA(VLOOKUP(S74,M6:Q105,5,FALSE)),IF(ISNA(VLOOKUP(S74,S6:W73,5,FALSE)),"",ROUND(VLOOKUP(S74,S6:W73,5,FALSE),0)/1000+ROUND(T74,3)),ROUND(VLOOKUP(S74,M6:Q105,5,FALSE),0)/1000+ROUND(T74,3)),ROUND(VLOOKUP(S74,G6:K105,5,FALSE),0)/1000+ROUND(T74,3)),ROUND(VLOOKUP(S74,A6:E105,5,FALSE),0)/1000+ROUND(T74,3)))))</f>
        <v/>
      </c>
      <c r="W74" s="18" t="str">
        <f>IF(OR(NOT(EXACT(UPPER(S74),"TBM")),T74=""),IF(AND(T74&lt;&gt;"",U74="",V74&lt;&gt;""),"",IF(AND(T74="",U74&lt;&gt;"",V74&lt;&gt;""),ROUND(ROUND(V74,3)-ROUND(U74,3),3)*1000,IF(AND(T74&lt;&gt;"",U74&lt;&gt;"",V74&lt;&gt;""),ROUND(ROUND(V73,3)-ROUND(U74,3),3)*1000,""))),"")</f>
        <v/>
      </c>
      <c r="X74" s="45" t="str">
        <f>IF(AND(NOT(ISNA(VLOOKUP(S74,A6:E105,5,FALSE))),T74="",U74&lt;&gt;""),ROUND((VLOOKUP(S74,A6:E105,5,FALSE)-W74)/1000,3),IF(AND(NOT(ISNA(VLOOKUP(S74,G6:K105,5,FALSE))),T74="",U74&lt;&gt;""),ROUND((VLOOKUP(S74,G6:K105,5,FALSE)-W74)/1000,3),IF(AND(NOT(ISNA(VLOOKUP(S74,M6:Q105,5,FALSE))),T74="",U74&lt;&gt;""),ROUND((VLOOKUP(S74,M6:Q105,5,FALSE)-W74)/1000,3),IF(AND(NOT(ISNA(VLOOKUP(S74,S6:W73,5,FALSE))),T74="",U74&lt;&gt;""),ROUND((VLOOKUP(S74,S6:W73,5,FALSE)-W74)/1000,3),""))))</f>
        <v/>
      </c>
      <c r="Y74" s="19">
        <f>IF(Y73="","",Y73+1)</f>
        <v>468</v>
      </c>
      <c r="Z74" s="39"/>
      <c r="AA74" s="39"/>
      <c r="AB74" s="15" t="str">
        <f>IF(AND(Z74&lt;&gt;"",AA74&lt;&gt;""),ROUND(Z74,3)+ROUND(AB73,3)-ROUND(AA74,3),IF(AND(EXACT(UPPER(Y74),"TBM"),Z74&lt;&gt;""),ROUND(Z74,3),IF(Z74="",AB73,IF(ISNA(VLOOKUP(Y74,A6:E105,5,FALSE)),IF(ISNA(VLOOKUP(Y74,G6:K105,5,FALSE)),IF(ISNA(VLOOKUP(Y74,M6:Q105,5,FALSE)),IF(ISNA(VLOOKUP(Y74,S6:W105,5,FALSE)),IF(ISNA(VLOOKUP(Y74,Y6:AC73,5,FALSE)),"",ROUND(VLOOKUP(Y74,Y6:AC73,5,FALSE),0)/1000+ROUND(Z74,3)),ROUND(VLOOKUP(Y74,S6:W105,5,FALSE),0)/1000+ROUND(Z74,3)),ROUND(VLOOKUP(Y74,M6:Q105,5,FALSE),0)/1000+ROUND(Z74,3)),ROUND(VLOOKUP(Y74,G6:K105,5,FALSE),0)/1000+ROUND(Z74,3)),ROUND(VLOOKUP(Y74,A6:E105,5,FALSE),0)/1000+ROUND(Z74,3)))))</f>
        <v/>
      </c>
      <c r="AC74" s="18" t="str">
        <f>IF(OR(NOT(EXACT(UPPER(Y74),"TBM")),Z74=""),IF(AND(Z74&lt;&gt;"",AA74="",AB74&lt;&gt;""),"",IF(AND(Z74="",AA74&lt;&gt;"",AB74&lt;&gt;""),ROUND(ROUND(AB74,3)-ROUND(AA74,3),3)*1000,IF(AND(Z74&lt;&gt;"",AA74&lt;&gt;"",AB74&lt;&gt;""),ROUND(ROUND(AB73,3)-ROUND(AA74,3),3)*1000,""))),"")</f>
        <v/>
      </c>
      <c r="AD74" s="45" t="str">
        <f>IF(AND(NOT(ISNA(VLOOKUP(Y74,A6:E105,5,FALSE))),Z74="",AA74&lt;&gt;""),ROUND((VLOOKUP(Y74,A6:E105,5,FALSE)-AC74)/1000,3),IF(AND(NOT(ISNA(VLOOKUP(Y74,G6:K105,5,FALSE))),Z74="",AA74&lt;&gt;""),ROUND((VLOOKUP(Y74,G6:K105,5,FALSE)-AC74)/1000,3),IF(AND(NOT(ISNA(VLOOKUP(Y74,M6:Q105,5,FALSE))),Z74="",AA74&lt;&gt;""),ROUND((VLOOKUP(Y74,M6:Q105,5,FALSE)-AC74)/1000,3),IF(AND(NOT(ISNA(VLOOKUP(Y74,S6:W105,5,FALSE))),Z74="",AA74&lt;&gt;""),ROUND((VLOOKUP(Y74,S6:W105,5,FALSE)-AC74)/1000,3),IF(AND(NOT(ISNA(VLOOKUP(Y74,Y6:AC73,5,FALSE))),Z74="",AA74&lt;&gt;""),ROUND((VLOOKUP(Y74,Y6:AC73,5,FALSE)-AC74)/1000,3),"")))))</f>
        <v/>
      </c>
      <c r="AE74" s="19">
        <f>IF(AE73="","",AE73+1)</f>
        <v>568</v>
      </c>
      <c r="AF74" s="39"/>
      <c r="AG74" s="39"/>
      <c r="AH74" s="15" t="str">
        <f>IF(AND(AF74&lt;&gt;"",AG74&lt;&gt;""),ROUND(AF74,3)+ROUND(AH73,3)-ROUND(AG74,3),IF(AND(EXACT(UPPER(AE74),"TBM"),AF74&lt;&gt;""),ROUND(AF74,3),IF(AF74="",AH73,IF(ISNA(VLOOKUP(AE74,A6:E105,5,FALSE)),IF(ISNA(VLOOKUP(AE74,G6:K105,5,FALSE)),IF(ISNA(VLOOKUP(AE74,M6:Q105,5,FALSE)),IF(ISNA(VLOOKUP(AE74,S6:W105,5,FALSE)),IF(ISNA(VLOOKUP(AE74,Y6:AC105,5,FALSE)),IF(ISNA(VLOOKUP(AE74,AE6:AI73,5,FALSE)),"",ROUND(VLOOKUP(AE74,AE6:AI73,5,FALSE),0)/1000+ROUND(AF74,3)),ROUND(VLOOKUP(AE74,Y6:AC105,5,FALSE),0)/1000+ROUND(AF74,3)),ROUND(VLOOKUP(AE74,S6:W105,5,FALSE),0)/1000+ROUND(AF74,3)),ROUND(VLOOKUP(AE74,M6:Q105,5,FALSE),0)/1000+ROUND(AF74,3)),ROUND(VLOOKUP(AE74,G6:K105,5,FALSE),0)/1000+ROUND(AF74,3)),ROUND(VLOOKUP(AE74,A6:E105,5,FALSE),0)/1000+ROUND(AF74,3)))))</f>
        <v/>
      </c>
      <c r="AI74" s="18" t="str">
        <f>IF(OR(NOT(EXACT(UPPER(AE74),"TBM")),AF74=""),IF(AND(AF74&lt;&gt;"",AG74="",AH74&lt;&gt;""),"",IF(AND(AF74="",AG74&lt;&gt;"",AH74&lt;&gt;""),ROUND(ROUND(AH74,3)-ROUND(AG74,3),3)*1000,IF(AND(AF74&lt;&gt;"",AG74&lt;&gt;"",AH74&lt;&gt;""),ROUND(ROUND(AH73,3)-ROUND(AG74,3),3)*1000,""))),"")</f>
        <v/>
      </c>
      <c r="AJ74" s="45" t="str">
        <f>IF(AND(NOT(ISNA(VLOOKUP(AE74,A6:E105,5,FALSE))),AF74="",AG74&lt;&gt;""),ROUND((VLOOKUP(AE74,A6:E105,5,FALSE)-AI74)/1000,3),IF(AND(NOT(ISNA(VLOOKUP(AE74,G6:K105,5,FALSE))),AF74="",AG74&lt;&gt;""),ROUND((VLOOKUP(AE74,G6:K105,5,FALSE)-AI74)/1000,3),IF(AND(NOT(ISNA(VLOOKUP(AE74,M6:Q105,5,FALSE))),AF74="",AG74&lt;&gt;""),ROUND((VLOOKUP(AE74,M6:Q105,5,FALSE)-AI74)/1000,3),IF(AND(NOT(ISNA(VLOOKUP(AE74,S6:W105,5,FALSE))),AF74="",AG74&lt;&gt;""),ROUND((VLOOKUP(AE74,S6:W105,5,FALSE)-AI74)/1000,3),IF(AND(NOT(ISNA(VLOOKUP(AE74,Y6:AC105,5,FALSE))),AF74="",AG74&lt;&gt;""),ROUND((VLOOKUP(AE74,Y6:AC105,5,FALSE)-AI74)/1000,3),IF(AND(NOT(ISNA(VLOOKUP(AE74,AE6:AI73,5,FALSE))),AF74="",AG74&lt;&gt;""),ROUND((VLOOKUP(AE74,AE6:AI73,5,FALSE)-AI74)/1000,3),""))))))</f>
        <v/>
      </c>
      <c r="AK74" s="19">
        <f>IF(AK73="","",AK73+1)</f>
        <v>668</v>
      </c>
      <c r="AL74" s="39"/>
      <c r="AM74" s="39"/>
      <c r="AN74" s="15" t="str">
        <f>IF(AND(AL74&lt;&gt;"",AM74&lt;&gt;""),ROUND(AL74,3)+ROUND(AN73,3)-ROUND(AM74,3),IF(AND(EXACT(UPPER(AK74),"TBM"),AL74&lt;&gt;""),ROUND(AL74,3),IF(AL74="",AN73,IF(ISNA(VLOOKUP(AK74,A6:E105,5,FALSE)),IF(ISNA(VLOOKUP(AK74,G6:K105,5,FALSE)),IF(ISNA(VLOOKUP(AK74,M6:Q105,5,FALSE)),IF(ISNA(VLOOKUP(AK74,S6:W105,5,FALSE)),IF(ISNA(VLOOKUP(AK74,Y6:AC105,5,FALSE)),IF(ISNA(VLOOKUP(AK74,AE6:AI105,5,FALSE)),IF(ISNA(VLOOKUP(AK74,AK6:AO73,5,FALSE)),"",ROUND(VLOOKUP(AK74,AK6:AO73,5,FALSE),0)/1000+ROUND(AL74,3)),ROUND(VLOOKUP(AK74,AE6:AI105,5,FALSE),0)/1000+ROUND(AL74,3)),ROUND(VLOOKUP(AK74,Y6:AC105,5,FALSE),0)/1000+ROUND(AL74,3)),ROUND(VLOOKUP(AK74,S6:W105,5,FALSE),0)/1000+ROUND(AL74,3)),ROUND(VLOOKUP(AK74,M6:Q105,5,FALSE),0)/1000+ROUND(AL74,3)),ROUND(VLOOKUP(AK74,G6:K105,5,FALSE),0)/1000+ROUND(AL74,3)),ROUND(VLOOKUP(AK74,A6:E105,5,FALSE),0)/1000+ROUND(AL74,3)))))</f>
        <v/>
      </c>
      <c r="AO74" s="18" t="str">
        <f>IF(OR(NOT(EXACT(UPPER(AK74),"TBM")),AL74=""),IF(AND(AL74&lt;&gt;"",AM74="",AN74&lt;&gt;""),"",IF(AND(AL74="",AM74&lt;&gt;"",AN74&lt;&gt;""),ROUND(ROUND(AN74,3)-ROUND(AM74,3),3)*1000,IF(AND(AL74&lt;&gt;"",AM74&lt;&gt;"",AN74&lt;&gt;""),ROUND(ROUND(AN73,3)-ROUND(AM74,3),3)*1000,""))),"")</f>
        <v/>
      </c>
      <c r="AP74" s="45" t="str">
        <f>IF(AND(NOT(ISNA(VLOOKUP(AK74,A6:E105,5,FALSE))),AL74="",AM74&lt;&gt;""),ROUND((VLOOKUP(AK74,A6:E105,5,FALSE)-AO74)/1000,3),IF(AND(NOT(ISNA(VLOOKUP(AK74,G6:K105,5,FALSE))),AL74="",AM74&lt;&gt;""),ROUND((VLOOKUP(AK74,G6:K105,5,FALSE)-AO74)/1000,3),IF(AND(NOT(ISNA(VLOOKUP(AK74,M6:Q105,5,FALSE))),AL74="",AM74&lt;&gt;""),ROUND((VLOOKUP(AK74,M6:Q105,5,FALSE)-AO74)/1000,3),IF(AND(NOT(ISNA(VLOOKUP(AK74,S6:W105,5,FALSE))),AL74="",AM74&lt;&gt;""),ROUND((VLOOKUP(AK74,S6:W105,5,FALSE)-AO74)/1000,3),IF(AND(NOT(ISNA(VLOOKUP(AK74,Y6:AC105,5,FALSE))),AL74="",AM74&lt;&gt;""),ROUND((VLOOKUP(AK74,Y6:AC105,5,FALSE)-AO74)/1000,3),IF(AND(NOT(ISNA(VLOOKUP(AK74,AE6:AI105,5,FALSE))),AL74="",AM74&lt;&gt;""),ROUND((VLOOKUP(AK74,AE6:AI105,5,FALSE)-AO74)/1000,3),IF(AND(NOT(ISNA(VLOOKUP(AK74,AK6:AO73,5,FALSE))),AL74="",AM74&lt;&gt;""),ROUND((VLOOKUP(AK74,AK6:AO73,5,FALSE)-AO74)/1000,3),"")))))))</f>
        <v/>
      </c>
      <c r="AQ74" s="19">
        <f>IF(AQ73="","",AQ73+1)</f>
        <v>768</v>
      </c>
      <c r="AR74" s="39"/>
      <c r="AS74" s="39"/>
      <c r="AT74" s="15" t="str">
        <f>IF(AND(AR74&lt;&gt;"",AS74&lt;&gt;""),ROUND(AR74,3)+ROUND(AT73,3)-ROUND(AS74,3),IF(AND(EXACT(UPPER(AQ74),"TBM"),AR74&lt;&gt;""),ROUND(AR74,3),IF(AR74="",AT73,IF(ISNA(VLOOKUP(AQ74,A6:E105,5,FALSE)),IF(ISNA(VLOOKUP(AQ74,G6:K105,5,FALSE)),IF(ISNA(VLOOKUP(AQ74,M6:Q105,5,FALSE)),IF(ISNA(VLOOKUP(AQ74,S6:W105,5,FALSE)),IF(ISNA(VLOOKUP(AQ74,Y6:AC105,5,FALSE)),IF(ISNA(VLOOKUP(AQ74,AE6:AI105,5,FALSE)),IF(ISNA(VLOOKUP(AQ74,AK6:AO105,5,FALSE)),IF(ISNA(VLOOKUP(AQ74,AQ6:AU73,5,FALSE)),"",ROUND(VLOOKUP(AQ74,AQ6:AU73,5,FALSE),0)/1000+ROUND(AR74,3)),ROUND(VLOOKUP(AQ74,AK6:AO105,5,FALSE),0)/1000+ROUND(AR74,3)),ROUND(VLOOKUP(AQ74,AE6:AI105,5,FALSE),0)/1000+ROUND(AR74,3)),ROUND(VLOOKUP(AQ74,Y6:AC105,5,FALSE),0)/1000+ROUND(AR74,3)),ROUND(VLOOKUP(AQ74,S6:W105,5,FALSE),0)/1000+ROUND(AR74,3)),ROUND(VLOOKUP(AQ74,M6:Q105,5,FALSE),0)/1000+ROUND(AR74,3)),ROUND(VLOOKUP(AQ74,G6:K105,5,FALSE),0)/1000+ROUND(AR74,3)),ROUND(VLOOKUP(AQ74,A6:E105,5,FALSE),0)/1000+ROUND(AR74,3)))))</f>
        <v/>
      </c>
      <c r="AU74" s="18" t="str">
        <f>IF(OR(NOT(EXACT(UPPER(AQ74),"TBM")),AR74=""),IF(AND(AR74&lt;&gt;"",AS74="",AT74&lt;&gt;""),"",IF(AND(AR74="",AS74&lt;&gt;"",AT74&lt;&gt;""),ROUND(ROUND(AT74,3)-ROUND(AS74,3),3)*1000,IF(AND(AR74&lt;&gt;"",AS74&lt;&gt;"",AT74&lt;&gt;""),ROUND(ROUND(AT73,3)-ROUND(AS74,3),3)*1000,""))),"")</f>
        <v/>
      </c>
      <c r="AV74" s="45" t="str">
        <f>IF(AND(NOT(ISNA(VLOOKUP(AQ74,A6:E105,5,FALSE))),AR74="",AS74&lt;&gt;""),ROUND((VLOOKUP(AQ74,A6:E105,5,FALSE)-AU74)/1000,3),IF(AND(NOT(ISNA(VLOOKUP(AQ74,G6:K105,5,FALSE))),AR74="",AS74&lt;&gt;""),ROUND((VLOOKUP(AQ74,G6:K105,5,FALSE)-AU74)/1000,3),IF(AND(NOT(ISNA(VLOOKUP(AQ74,M6:Q105,5,FALSE))),AR74="",AS74&lt;&gt;""),ROUND((VLOOKUP(AQ74,M6:Q105,5,FALSE)-AU74)/1000,3),IF(AND(NOT(ISNA(VLOOKUP(AQ74,S6:W105,5,FALSE))),AR74="",AS74&lt;&gt;""),ROUND((VLOOKUP(AQ74,S6:W105,5,FALSE)-AU74)/1000,3),IF(AND(NOT(ISNA(VLOOKUP(AQ74,Y6:AC105,5,FALSE))),AR74="",AS74&lt;&gt;""),ROUND((VLOOKUP(AQ74,Y6:AC105,5,FALSE)-AU74)/1000,3),IF(AND(NOT(ISNA(VLOOKUP(AQ74,AE6:AI105,5,FALSE))),AR74="",AS74&lt;&gt;""),ROUND((VLOOKUP(AQ74,AE6:AI105,5,FALSE)-AU74)/1000,3),IF(AND(NOT(ISNA(VLOOKUP(AQ74,AK6:AO105,5,FALSE))),AR74="",AS74&lt;&gt;""),ROUND((VLOOKUP(AQ74,AK6:AO105,5,FALSE)-AU74)/1000,3),IF(AND(NOT(ISNA(VLOOKUP(AQ74,AQ6:AU73,5,FALSE))),AR74="",AS74&lt;&gt;""),ROUND((VLOOKUP(AQ74,AQ6:AU73,5,FALSE)-AU74)/1000,3),""))))))))</f>
        <v/>
      </c>
      <c r="AW74" s="19">
        <f>IF(AW73="","",AW73+1)</f>
        <v>868</v>
      </c>
      <c r="AX74" s="39"/>
      <c r="AY74" s="39"/>
      <c r="AZ74" s="15" t="str">
        <f>IF(AND(AX74&lt;&gt;"",AY74&lt;&gt;""),ROUND(AX74,3)+ROUND(AZ73,3)-ROUND(AY74,3),IF(AND(EXACT(UPPER(AW74),"TBM"),AX74&lt;&gt;""),ROUND(AX74,3),IF(AX74="",AZ73,IF(ISNA(VLOOKUP(AW74,A6:E105,5,FALSE)),IF(ISNA(VLOOKUP(AW74,G6:K105,5,FALSE)),IF(ISNA(VLOOKUP(AW74,M6:Q105,5,FALSE)),IF(ISNA(VLOOKUP(AW74,S6:W105,5,FALSE)),IF(ISNA(VLOOKUP(AW74,Y6:AC105,5,FALSE)),IF(ISNA(VLOOKUP(AW74,AE6:AI105,5,FALSE)),IF(ISNA(VLOOKUP(AW74,AK6:AO105,5,FALSE)),IF(ISNA(VLOOKUP(AW74,AQ6:AU105,5,FALSE)),IF(ISNA(VLOOKUP(AW74,AW6:BA73,5,FALSE)),"",ROUND(VLOOKUP(AW74,AW6:BA73,5,FALSE),0)/1000+ROUND(AX74,3)),ROUND(VLOOKUP(AW74,AQ6:AU105,5,FALSE),0)/1000+ROUND(AX74,3)),ROUND(VLOOKUP(AW74,AK6:AO105,5,FALSE),0)/1000+ROUND(AX74,3)),ROUND(VLOOKUP(AW74,AE6:AI105,5,FALSE),0)/1000+ROUND(AX74,3)),ROUND(VLOOKUP(AW74,Y6:AC105,5,FALSE),0)/1000+ROUND(AX74,3)),ROUND(VLOOKUP(AW74,S6:W105,5,FALSE),0)/1000+ROUND(AX74,3)),ROUND(VLOOKUP(AW74,M6:Q105,5,FALSE),0)/1000+ROUND(AX74,3)),ROUND(VLOOKUP(AW74,G6:K105,5,FALSE),0)/1000+ROUND(AX74,3)),ROUND(VLOOKUP(AW74,A6:E105,5,FALSE),0)/1000+ROUND(AX74,3)))))</f>
        <v/>
      </c>
      <c r="BA74" s="18" t="str">
        <f>IF(OR(NOT(EXACT(UPPER(AW74),"TBM")),AX74=""),IF(AND(AX74&lt;&gt;"",AY74="",AZ74&lt;&gt;""),"",IF(AND(AX74="",AY74&lt;&gt;"",AZ74&lt;&gt;""),ROUND(ROUND(AZ74,3)-ROUND(AY74,3),3)*1000,IF(AND(AX74&lt;&gt;"",AY74&lt;&gt;"",AZ74&lt;&gt;""),ROUND(ROUND(AZ73,3)-ROUND(AY74,3),3)*1000,""))),"")</f>
        <v/>
      </c>
      <c r="BB74" s="45" t="str">
        <f>IF(AND(NOT(ISNA(VLOOKUP(AW74,A6:E105,5,FALSE))),AX74="",AY74&lt;&gt;""),ROUND((VLOOKUP(AW74,A6:E105,5,FALSE)-BA74)/1000,3),IF(AND(NOT(ISNA(VLOOKUP(AW74,G6:K105,5,FALSE))),AX74="",AY74&lt;&gt;""),ROUND((VLOOKUP(AW74,G6:K105,5,FALSE)-BA74)/1000,3),IF(AND(NOT(ISNA(VLOOKUP(AW74,M6:Q105,5,FALSE))),AX74="",AY74&lt;&gt;""),ROUND((VLOOKUP(AW74,M6:Q105,5,FALSE)-BA74)/1000,3),IF(AND(NOT(ISNA(VLOOKUP(AW74,S6:W105,5,FALSE))),AX74="",AY74&lt;&gt;""),ROUND((VLOOKUP(AW74,S6:W105,5,FALSE)-BA74)/1000,3),IF(AND(NOT(ISNA(VLOOKUP(AW74,Y6:AC105,5,FALSE))),AX74="",AY74&lt;&gt;""),ROUND((VLOOKUP(AW74,Y6:AC105,5,FALSE)-BA74)/1000,3),IF(AND(NOT(ISNA(VLOOKUP(AW74,AE6:AI105,5,FALSE))),AX74="",AY74&lt;&gt;""),ROUND((VLOOKUP(AW74,AE6:AI105,5,FALSE)-BA74)/1000,3),IF(AND(NOT(ISNA(VLOOKUP(AW74,AK6:AO105,5,FALSE))),AX74="",AY74&lt;&gt;""),ROUND((VLOOKUP(AW74,AK6:AO105,5,FALSE)-BA74)/1000,3),IF(AND(NOT(ISNA(VLOOKUP(AW74,AQ6:AU105,5,FALSE))),AX74="",AY74&lt;&gt;""),ROUND((VLOOKUP(AW74,AQ6:AU105,5,FALSE)-BA74)/1000,3),IF(AND(NOT(ISNA(VLOOKUP(AW74,AW6:BA73,5,FALSE))),AX74="",AY74&lt;&gt;""),ROUND((VLOOKUP(AW74,AW6:BA73,5,FALSE)-BA74)/1000,3),"")))))))))</f>
        <v/>
      </c>
      <c r="BC74" s="19">
        <f>IF(BC73="","",BC73+1)</f>
        <v>968</v>
      </c>
      <c r="BD74" s="39"/>
      <c r="BE74" s="39"/>
      <c r="BF74" s="15" t="str">
        <f>IF(AND(BD74&lt;&gt;"",BE74&lt;&gt;""),ROUND(BD74,3)+ROUND(BF73,3)-ROUND(BE74,3),IF(AND(EXACT(UPPER(BC74),"TBM"),BD74&lt;&gt;""),ROUND(BD74,3),IF(BD74="",BF73,IF(ISNA(VLOOKUP(BC74,A6:E105,5,FALSE)),IF(ISNA(VLOOKUP(BC74,G6:K105,5,FALSE)),IF(ISNA(VLOOKUP(BC74,M6:Q105,5,FALSE)),IF(ISNA(VLOOKUP(BC74,S6:W105,5,FALSE)),IF(ISNA(VLOOKUP(BC74,Y6:AC105,5,FALSE)),IF(ISNA(VLOOKUP(BC74,AE6:AI105,5,FALSE)),IF(ISNA(VLOOKUP(BC74,AK6:AO105,5,FALSE)),IF(ISNA(VLOOKUP(BC74,AQ6:AU105,5,FALSE)),IF(ISNA(VLOOKUP(BC74,AW6:BA105,5,FALSE)),IF(ISNA(VLOOKUP(BC74,BC6:BG73,5,FALSE)),"",ROUND(VLOOKUP(BC74,BC6:BG73,5,FALSE),0)/1000+ROUND(BD74,3)),ROUND(VLOOKUP(BC74,AW6:BA105,5,FALSE),0)/1000+ROUND(BD74,3)),ROUND(VLOOKUP(BC74,AQ6:AU105,5,FALSE),0)/1000+ROUND(BD74,3)),ROUND(VLOOKUP(BC74,AK6:AO105,5,FALSE),0)/1000+ROUND(BD74,3)),ROUND(VLOOKUP(BC74,AE6:AI105,5,FALSE),0)/1000+ROUND(BD74,3)),ROUND(VLOOKUP(BC74,Y6:AC105,5,FALSE),0)/1000+ROUND(BD74,3)),ROUND(VLOOKUP(BC74,S6:W105,5,FALSE),0)/1000+ROUND(BD74,3)),ROUND(VLOOKUP(BC74,M6:Q105,5,FALSE),0)/1000+ROUND(BD74,3)),ROUND(VLOOKUP(BC74,G6:K105,5,FALSE),0)/1000+ROUND(BD74,3)),ROUND(VLOOKUP(BC74,A6:E105,5,FALSE),0)/1000+ROUND(BD74,3)))))</f>
        <v/>
      </c>
      <c r="BG74" s="18" t="str">
        <f>IF(OR(NOT(EXACT(UPPER(BC74),"TBM")),BD74=""),IF(AND(BD74&lt;&gt;"",BE74="",BF74&lt;&gt;""),"",IF(AND(BD74="",BE74&lt;&gt;"",BF74&lt;&gt;""),ROUND(ROUND(BF74,3)-ROUND(BE74,3),3)*1000,IF(AND(BD74&lt;&gt;"",BE74&lt;&gt;"",BF74&lt;&gt;""),ROUND(ROUND(BF73,3)-ROUND(BE74,3),3)*1000,""))),"")</f>
        <v/>
      </c>
      <c r="BH74" s="45" t="str">
        <f>IF(AND(NOT(ISNA(VLOOKUP(BC74,A6:E105,5,FALSE))),BD74="",BE74&lt;&gt;""),ROUND((VLOOKUP(BC74,A6:E105,5,FALSE)-BG74)/1000,3),IF(AND(NOT(ISNA(VLOOKUP(BC74,G6:K105,5,FALSE))),BD74="",BE74&lt;&gt;""),ROUND((VLOOKUP(BC74,G6:K105,5,FALSE)-BG74)/1000,3),IF(AND(NOT(ISNA(VLOOKUP(BC74,M6:Q105,5,FALSE))),BD74="",BE74&lt;&gt;""),ROUND((VLOOKUP(BC74,M6:Q105,5,FALSE)-BG74)/1000,3),IF(AND(NOT(ISNA(VLOOKUP(BC74,S6:W105,5,FALSE))),BD74="",BE74&lt;&gt;""),ROUND((VLOOKUP(BC74,S6:W105,5,FALSE)-BG74)/1000,3),IF(AND(NOT(ISNA(VLOOKUP(BC74,Y6:AC105,5,FALSE))),BD74="",BE74&lt;&gt;""),ROUND((VLOOKUP(BC74,Y6:AC105,5,FALSE)-BG74)/1000,3),IF(AND(NOT(ISNA(VLOOKUP(BC74,AE6:AI105,5,FALSE))),BD74="",BE74&lt;&gt;""),ROUND((VLOOKUP(BC74,AE6:AI105,5,FALSE)-BG74)/1000,3),IF(AND(NOT(ISNA(VLOOKUP(BC74,AK6:AO105,5,FALSE))),BD74="",BE74&lt;&gt;""),ROUND((VLOOKUP(BC74,AK6:AO105,5,FALSE)-BG74)/1000,3),IF(AND(NOT(ISNA(VLOOKUP(BC74,AQ6:AU105,5,FALSE))),BD74="",BE74&lt;&gt;""),ROUND((VLOOKUP(BC74,AQ6:AU105,5,FALSE)-BG74)/1000,3),IF(AND(NOT(ISNA(VLOOKUP(BC74,AW6:BA105,5,FALSE))),BD74="",BE74&lt;&gt;""),ROUND((VLOOKUP(BC74,AW6:BA105,5,FALSE)-BG74)/1000,3),IF(AND(NOT(ISNA(VLOOKUP(BC74,BC6:BG73,5,FALSE))),BD74="",BE74&lt;&gt;""),ROUND((VLOOKUP(BC74,BC6:BG73,5,FALSE)-BG74)/1000,3),""))))))))))</f>
        <v/>
      </c>
    </row>
    <row r="75" spans="1:60" x14ac:dyDescent="0.25">
      <c r="A75" s="81">
        <f t="shared" si="9"/>
        <v>69</v>
      </c>
      <c r="B75" s="82"/>
      <c r="C75" s="82"/>
      <c r="D75" s="83" t="str">
        <f>IF(AND(B75&lt;&gt;"",C75&lt;&gt;""),ROUND(B75,3)+ROUND(D74,3)-ROUND(C75,3),IF(AND(EXACT(UPPER(A75),"TBM"),B75&lt;&gt;""),ROUND(B75,3),IF(B75="",D74,IF(ISNA(VLOOKUP(A75,A6:E74,5,FALSE)),"",ROUND(VLOOKUP(A75,A6:E74,5,FALSE),0)/1000+ROUND(B75,3)))))</f>
        <v/>
      </c>
      <c r="E75" s="88" t="str">
        <f t="shared" si="6"/>
        <v/>
      </c>
      <c r="F75" s="85" t="str">
        <f>IF(AND(NOT(ISNA(VLOOKUP(A75,A6:E74,5,FALSE))),B75="",C75&lt;&gt;""),ROUND((VLOOKUP(A75,A6:E74,5,FALSE)-E75)/1000,3),"")</f>
        <v/>
      </c>
      <c r="G75" s="81">
        <f t="shared" si="7"/>
        <v>169</v>
      </c>
      <c r="H75" s="82"/>
      <c r="I75" s="82"/>
      <c r="J75" s="83" t="str">
        <f>IF(AND(H75&lt;&gt;"",I75&lt;&gt;""),ROUND(H75,3)+ROUND(J74,3)-ROUND(I75,3),IF(AND(EXACT(UPPER(G75),"TBM"),H75&lt;&gt;""),ROUND(H75,3),IF(H75="",J74,IF(ISNA(VLOOKUP(G75,A6:E105,5,FALSE)),IF(ISNA(VLOOKUP(G75,G6:K74,5,FALSE)),"",ROUND(VLOOKUP(G75,G6:K74,5,FALSE),0)/1000+ROUND(H75,3)),ROUND(VLOOKUP(G75,A6:E105,5,FALSE),0)/1000+ROUND(H75,3)))))</f>
        <v/>
      </c>
      <c r="K75" s="95" t="str">
        <f t="shared" si="8"/>
        <v/>
      </c>
      <c r="L75" s="85" t="str">
        <f>IF(AND(NOT(ISNA(VLOOKUP(G75,A6:E105,5,FALSE))),H75="",I75&lt;&gt;""),ROUND((VLOOKUP(G75,A6:E105,5,FALSE)-K75)/1000,3),IF(AND(NOT(ISNA(VLOOKUP(G75,G6:K74,5,FALSE))),H75="",I75&lt;&gt;""),ROUND((VLOOKUP(G75,G6:K74,5,FALSE)-K75)/1000,3),""))</f>
        <v/>
      </c>
      <c r="M75" s="81">
        <f>IF(M74="","",M74+1)</f>
        <v>269</v>
      </c>
      <c r="N75" s="82"/>
      <c r="O75" s="82"/>
      <c r="P75" s="83" t="str">
        <f>IF(AND(N75&lt;&gt;"",O75&lt;&gt;""),ROUND(N75,3)+ROUND(P74,3)-ROUND(O75,3),IF(AND(EXACT(UPPER(M75),"TBM"),N75&lt;&gt;""),ROUND(N75,3),IF(N75="",P74,IF(ISNA(VLOOKUP(M75,A6:E105,5,FALSE)),IF(ISNA(VLOOKUP(M75,G6:K105,5,FALSE)),IF(ISNA(VLOOKUP(M75,M6:Q74,5,FALSE)),"",ROUND(VLOOKUP(M75,M6:Q74,5,FALSE),0)/1000+ROUND(N75,3)),ROUND(VLOOKUP(M75,G6:K105,5,FALSE),0)/1000+ROUND(N75,3)),ROUND(VLOOKUP(M75,A6:E105,5,FALSE),0)/1000+ROUND(N75,3)))))</f>
        <v/>
      </c>
      <c r="Q75" s="95" t="str">
        <f>IF(OR(NOT(EXACT(UPPER(M75),"TBM")),N75=""),IF(AND(N75&lt;&gt;"",O75="",P75&lt;&gt;""),"",IF(AND(N75="",O75&lt;&gt;"",P75&lt;&gt;""),ROUND(ROUND(P75,3)-ROUND(O75,3),3)*1000,IF(AND(N75&lt;&gt;"",O75&lt;&gt;"",P75&lt;&gt;""),ROUND(ROUND(P74,3)-ROUND(O75,3),3)*1000,""))),"")</f>
        <v/>
      </c>
      <c r="R75" s="85" t="str">
        <f>IF(AND(NOT(ISNA(VLOOKUP(M75,A6:E105,5,FALSE))),N75="",O75&lt;&gt;""),ROUND((VLOOKUP(M75,A6:E105,5,FALSE)-Q75)/1000,3),IF(AND(NOT(ISNA(VLOOKUP(M75,G6:K105,5,FALSE))),N75="",O75&lt;&gt;""),ROUND((VLOOKUP(M75,G6:K105,5,FALSE)-Q75)/1000,3),IF(AND(NOT(ISNA(VLOOKUP(M75,M6:Q74,5,FALSE))),N75="",O75&lt;&gt;""),ROUND((VLOOKUP(M75,M6:Q74,5,FALSE)-Q75)/1000,3),"")))</f>
        <v/>
      </c>
      <c r="S75" s="81">
        <f>IF(S74="","",S74+1)</f>
        <v>369</v>
      </c>
      <c r="T75" s="82"/>
      <c r="U75" s="82"/>
      <c r="V75" s="83" t="str">
        <f>IF(AND(T75&lt;&gt;"",U75&lt;&gt;""),ROUND(T75,3)+ROUND(V74,3)-ROUND(U75,3),IF(AND(EXACT(UPPER(S75),"TBM"),T75&lt;&gt;""),ROUND(T75,3),IF(T75="",V74,IF(ISNA(VLOOKUP(S75,A6:E105,5,FALSE)),IF(ISNA(VLOOKUP(S75,G6:K105,5,FALSE)),IF(ISNA(VLOOKUP(S75,M6:Q105,5,FALSE)),IF(ISNA(VLOOKUP(S75,S6:W74,5,FALSE)),"",ROUND(VLOOKUP(S75,S6:W74,5,FALSE),0)/1000+ROUND(T75,3)),ROUND(VLOOKUP(S75,M6:Q105,5,FALSE),0)/1000+ROUND(T75,3)),ROUND(VLOOKUP(S75,G6:K105,5,FALSE),0)/1000+ROUND(T75,3)),ROUND(VLOOKUP(S75,A6:E105,5,FALSE),0)/1000+ROUND(T75,3)))))</f>
        <v/>
      </c>
      <c r="W75" s="95" t="str">
        <f>IF(OR(NOT(EXACT(UPPER(S75),"TBM")),T75=""),IF(AND(T75&lt;&gt;"",U75="",V75&lt;&gt;""),"",IF(AND(T75="",U75&lt;&gt;"",V75&lt;&gt;""),ROUND(ROUND(V75,3)-ROUND(U75,3),3)*1000,IF(AND(T75&lt;&gt;"",U75&lt;&gt;"",V75&lt;&gt;""),ROUND(ROUND(V74,3)-ROUND(U75,3),3)*1000,""))),"")</f>
        <v/>
      </c>
      <c r="X75" s="85" t="str">
        <f>IF(AND(NOT(ISNA(VLOOKUP(S75,A6:E105,5,FALSE))),T75="",U75&lt;&gt;""),ROUND((VLOOKUP(S75,A6:E105,5,FALSE)-W75)/1000,3),IF(AND(NOT(ISNA(VLOOKUP(S75,G6:K105,5,FALSE))),T75="",U75&lt;&gt;""),ROUND((VLOOKUP(S75,G6:K105,5,FALSE)-W75)/1000,3),IF(AND(NOT(ISNA(VLOOKUP(S75,M6:Q105,5,FALSE))),T75="",U75&lt;&gt;""),ROUND((VLOOKUP(S75,M6:Q105,5,FALSE)-W75)/1000,3),IF(AND(NOT(ISNA(VLOOKUP(S75,S6:W74,5,FALSE))),T75="",U75&lt;&gt;""),ROUND((VLOOKUP(S75,S6:W74,5,FALSE)-W75)/1000,3),""))))</f>
        <v/>
      </c>
      <c r="Y75" s="81">
        <f>IF(Y74="","",Y74+1)</f>
        <v>469</v>
      </c>
      <c r="Z75" s="82"/>
      <c r="AA75" s="82"/>
      <c r="AB75" s="83" t="str">
        <f>IF(AND(Z75&lt;&gt;"",AA75&lt;&gt;""),ROUND(Z75,3)+ROUND(AB74,3)-ROUND(AA75,3),IF(AND(EXACT(UPPER(Y75),"TBM"),Z75&lt;&gt;""),ROUND(Z75,3),IF(Z75="",AB74,IF(ISNA(VLOOKUP(Y75,A6:E105,5,FALSE)),IF(ISNA(VLOOKUP(Y75,G6:K105,5,FALSE)),IF(ISNA(VLOOKUP(Y75,M6:Q105,5,FALSE)),IF(ISNA(VLOOKUP(Y75,S6:W105,5,FALSE)),IF(ISNA(VLOOKUP(Y75,Y6:AC74,5,FALSE)),"",ROUND(VLOOKUP(Y75,Y6:AC74,5,FALSE),0)/1000+ROUND(Z75,3)),ROUND(VLOOKUP(Y75,S6:W105,5,FALSE),0)/1000+ROUND(Z75,3)),ROUND(VLOOKUP(Y75,M6:Q105,5,FALSE),0)/1000+ROUND(Z75,3)),ROUND(VLOOKUP(Y75,G6:K105,5,FALSE),0)/1000+ROUND(Z75,3)),ROUND(VLOOKUP(Y75,A6:E105,5,FALSE),0)/1000+ROUND(Z75,3)))))</f>
        <v/>
      </c>
      <c r="AC75" s="95" t="str">
        <f>IF(OR(NOT(EXACT(UPPER(Y75),"TBM")),Z75=""),IF(AND(Z75&lt;&gt;"",AA75="",AB75&lt;&gt;""),"",IF(AND(Z75="",AA75&lt;&gt;"",AB75&lt;&gt;""),ROUND(ROUND(AB75,3)-ROUND(AA75,3),3)*1000,IF(AND(Z75&lt;&gt;"",AA75&lt;&gt;"",AB75&lt;&gt;""),ROUND(ROUND(AB74,3)-ROUND(AA75,3),3)*1000,""))),"")</f>
        <v/>
      </c>
      <c r="AD75" s="85" t="str">
        <f>IF(AND(NOT(ISNA(VLOOKUP(Y75,A6:E105,5,FALSE))),Z75="",AA75&lt;&gt;""),ROUND((VLOOKUP(Y75,A6:E105,5,FALSE)-AC75)/1000,3),IF(AND(NOT(ISNA(VLOOKUP(Y75,G6:K105,5,FALSE))),Z75="",AA75&lt;&gt;""),ROUND((VLOOKUP(Y75,G6:K105,5,FALSE)-AC75)/1000,3),IF(AND(NOT(ISNA(VLOOKUP(Y75,M6:Q105,5,FALSE))),Z75="",AA75&lt;&gt;""),ROUND((VLOOKUP(Y75,M6:Q105,5,FALSE)-AC75)/1000,3),IF(AND(NOT(ISNA(VLOOKUP(Y75,S6:W105,5,FALSE))),Z75="",AA75&lt;&gt;""),ROUND((VLOOKUP(Y75,S6:W105,5,FALSE)-AC75)/1000,3),IF(AND(NOT(ISNA(VLOOKUP(Y75,Y6:AC74,5,FALSE))),Z75="",AA75&lt;&gt;""),ROUND((VLOOKUP(Y75,Y6:AC74,5,FALSE)-AC75)/1000,3),"")))))</f>
        <v/>
      </c>
      <c r="AE75" s="81">
        <f>IF(AE74="","",AE74+1)</f>
        <v>569</v>
      </c>
      <c r="AF75" s="82"/>
      <c r="AG75" s="82"/>
      <c r="AH75" s="83" t="str">
        <f>IF(AND(AF75&lt;&gt;"",AG75&lt;&gt;""),ROUND(AF75,3)+ROUND(AH74,3)-ROUND(AG75,3),IF(AND(EXACT(UPPER(AE75),"TBM"),AF75&lt;&gt;""),ROUND(AF75,3),IF(AF75="",AH74,IF(ISNA(VLOOKUP(AE75,A6:E105,5,FALSE)),IF(ISNA(VLOOKUP(AE75,G6:K105,5,FALSE)),IF(ISNA(VLOOKUP(AE75,M6:Q105,5,FALSE)),IF(ISNA(VLOOKUP(AE75,S6:W105,5,FALSE)),IF(ISNA(VLOOKUP(AE75,Y6:AC105,5,FALSE)),IF(ISNA(VLOOKUP(AE75,AE6:AI74,5,FALSE)),"",ROUND(VLOOKUP(AE75,AE6:AI74,5,FALSE),0)/1000+ROUND(AF75,3)),ROUND(VLOOKUP(AE75,Y6:AC105,5,FALSE),0)/1000+ROUND(AF75,3)),ROUND(VLOOKUP(AE75,S6:W105,5,FALSE),0)/1000+ROUND(AF75,3)),ROUND(VLOOKUP(AE75,M6:Q105,5,FALSE),0)/1000+ROUND(AF75,3)),ROUND(VLOOKUP(AE75,G6:K105,5,FALSE),0)/1000+ROUND(AF75,3)),ROUND(VLOOKUP(AE75,A6:E105,5,FALSE),0)/1000+ROUND(AF75,3)))))</f>
        <v/>
      </c>
      <c r="AI75" s="95" t="str">
        <f>IF(OR(NOT(EXACT(UPPER(AE75),"TBM")),AF75=""),IF(AND(AF75&lt;&gt;"",AG75="",AH75&lt;&gt;""),"",IF(AND(AF75="",AG75&lt;&gt;"",AH75&lt;&gt;""),ROUND(ROUND(AH75,3)-ROUND(AG75,3),3)*1000,IF(AND(AF75&lt;&gt;"",AG75&lt;&gt;"",AH75&lt;&gt;""),ROUND(ROUND(AH74,3)-ROUND(AG75,3),3)*1000,""))),"")</f>
        <v/>
      </c>
      <c r="AJ75" s="85" t="str">
        <f>IF(AND(NOT(ISNA(VLOOKUP(AE75,A6:E105,5,FALSE))),AF75="",AG75&lt;&gt;""),ROUND((VLOOKUP(AE75,A6:E105,5,FALSE)-AI75)/1000,3),IF(AND(NOT(ISNA(VLOOKUP(AE75,G6:K105,5,FALSE))),AF75="",AG75&lt;&gt;""),ROUND((VLOOKUP(AE75,G6:K105,5,FALSE)-AI75)/1000,3),IF(AND(NOT(ISNA(VLOOKUP(AE75,M6:Q105,5,FALSE))),AF75="",AG75&lt;&gt;""),ROUND((VLOOKUP(AE75,M6:Q105,5,FALSE)-AI75)/1000,3),IF(AND(NOT(ISNA(VLOOKUP(AE75,S6:W105,5,FALSE))),AF75="",AG75&lt;&gt;""),ROUND((VLOOKUP(AE75,S6:W105,5,FALSE)-AI75)/1000,3),IF(AND(NOT(ISNA(VLOOKUP(AE75,Y6:AC105,5,FALSE))),AF75="",AG75&lt;&gt;""),ROUND((VLOOKUP(AE75,Y6:AC105,5,FALSE)-AI75)/1000,3),IF(AND(NOT(ISNA(VLOOKUP(AE75,AE6:AI74,5,FALSE))),AF75="",AG75&lt;&gt;""),ROUND((VLOOKUP(AE75,AE6:AI74,5,FALSE)-AI75)/1000,3),""))))))</f>
        <v/>
      </c>
      <c r="AK75" s="81">
        <f>IF(AK74="","",AK74+1)</f>
        <v>669</v>
      </c>
      <c r="AL75" s="82"/>
      <c r="AM75" s="82"/>
      <c r="AN75" s="83" t="str">
        <f>IF(AND(AL75&lt;&gt;"",AM75&lt;&gt;""),ROUND(AL75,3)+ROUND(AN74,3)-ROUND(AM75,3),IF(AND(EXACT(UPPER(AK75),"TBM"),AL75&lt;&gt;""),ROUND(AL75,3),IF(AL75="",AN74,IF(ISNA(VLOOKUP(AK75,A6:E105,5,FALSE)),IF(ISNA(VLOOKUP(AK75,G6:K105,5,FALSE)),IF(ISNA(VLOOKUP(AK75,M6:Q105,5,FALSE)),IF(ISNA(VLOOKUP(AK75,S6:W105,5,FALSE)),IF(ISNA(VLOOKUP(AK75,Y6:AC105,5,FALSE)),IF(ISNA(VLOOKUP(AK75,AE6:AI105,5,FALSE)),IF(ISNA(VLOOKUP(AK75,AK6:AO74,5,FALSE)),"",ROUND(VLOOKUP(AK75,AK6:AO74,5,FALSE),0)/1000+ROUND(AL75,3)),ROUND(VLOOKUP(AK75,AE6:AI105,5,FALSE),0)/1000+ROUND(AL75,3)),ROUND(VLOOKUP(AK75,Y6:AC105,5,FALSE),0)/1000+ROUND(AL75,3)),ROUND(VLOOKUP(AK75,S6:W105,5,FALSE),0)/1000+ROUND(AL75,3)),ROUND(VLOOKUP(AK75,M6:Q105,5,FALSE),0)/1000+ROUND(AL75,3)),ROUND(VLOOKUP(AK75,G6:K105,5,FALSE),0)/1000+ROUND(AL75,3)),ROUND(VLOOKUP(AK75,A6:E105,5,FALSE),0)/1000+ROUND(AL75,3)))))</f>
        <v/>
      </c>
      <c r="AO75" s="95" t="str">
        <f>IF(OR(NOT(EXACT(UPPER(AK75),"TBM")),AL75=""),IF(AND(AL75&lt;&gt;"",AM75="",AN75&lt;&gt;""),"",IF(AND(AL75="",AM75&lt;&gt;"",AN75&lt;&gt;""),ROUND(ROUND(AN75,3)-ROUND(AM75,3),3)*1000,IF(AND(AL75&lt;&gt;"",AM75&lt;&gt;"",AN75&lt;&gt;""),ROUND(ROUND(AN74,3)-ROUND(AM75,3),3)*1000,""))),"")</f>
        <v/>
      </c>
      <c r="AP75" s="85" t="str">
        <f>IF(AND(NOT(ISNA(VLOOKUP(AK75,A6:E105,5,FALSE))),AL75="",AM75&lt;&gt;""),ROUND((VLOOKUP(AK75,A6:E105,5,FALSE)-AO75)/1000,3),IF(AND(NOT(ISNA(VLOOKUP(AK75,G6:K105,5,FALSE))),AL75="",AM75&lt;&gt;""),ROUND((VLOOKUP(AK75,G6:K105,5,FALSE)-AO75)/1000,3),IF(AND(NOT(ISNA(VLOOKUP(AK75,M6:Q105,5,FALSE))),AL75="",AM75&lt;&gt;""),ROUND((VLOOKUP(AK75,M6:Q105,5,FALSE)-AO75)/1000,3),IF(AND(NOT(ISNA(VLOOKUP(AK75,S6:W105,5,FALSE))),AL75="",AM75&lt;&gt;""),ROUND((VLOOKUP(AK75,S6:W105,5,FALSE)-AO75)/1000,3),IF(AND(NOT(ISNA(VLOOKUP(AK75,Y6:AC105,5,FALSE))),AL75="",AM75&lt;&gt;""),ROUND((VLOOKUP(AK75,Y6:AC105,5,FALSE)-AO75)/1000,3),IF(AND(NOT(ISNA(VLOOKUP(AK75,AE6:AI105,5,FALSE))),AL75="",AM75&lt;&gt;""),ROUND((VLOOKUP(AK75,AE6:AI105,5,FALSE)-AO75)/1000,3),IF(AND(NOT(ISNA(VLOOKUP(AK75,AK6:AO74,5,FALSE))),AL75="",AM75&lt;&gt;""),ROUND((VLOOKUP(AK75,AK6:AO74,5,FALSE)-AO75)/1000,3),"")))))))</f>
        <v/>
      </c>
      <c r="AQ75" s="81">
        <f>IF(AQ74="","",AQ74+1)</f>
        <v>769</v>
      </c>
      <c r="AR75" s="82"/>
      <c r="AS75" s="82"/>
      <c r="AT75" s="83" t="str">
        <f>IF(AND(AR75&lt;&gt;"",AS75&lt;&gt;""),ROUND(AR75,3)+ROUND(AT74,3)-ROUND(AS75,3),IF(AND(EXACT(UPPER(AQ75),"TBM"),AR75&lt;&gt;""),ROUND(AR75,3),IF(AR75="",AT74,IF(ISNA(VLOOKUP(AQ75,A6:E105,5,FALSE)),IF(ISNA(VLOOKUP(AQ75,G6:K105,5,FALSE)),IF(ISNA(VLOOKUP(AQ75,M6:Q105,5,FALSE)),IF(ISNA(VLOOKUP(AQ75,S6:W105,5,FALSE)),IF(ISNA(VLOOKUP(AQ75,Y6:AC105,5,FALSE)),IF(ISNA(VLOOKUP(AQ75,AE6:AI105,5,FALSE)),IF(ISNA(VLOOKUP(AQ75,AK6:AO105,5,FALSE)),IF(ISNA(VLOOKUP(AQ75,AQ6:AU74,5,FALSE)),"",ROUND(VLOOKUP(AQ75,AQ6:AU74,5,FALSE),0)/1000+ROUND(AR75,3)),ROUND(VLOOKUP(AQ75,AK6:AO105,5,FALSE),0)/1000+ROUND(AR75,3)),ROUND(VLOOKUP(AQ75,AE6:AI105,5,FALSE),0)/1000+ROUND(AR75,3)),ROUND(VLOOKUP(AQ75,Y6:AC105,5,FALSE),0)/1000+ROUND(AR75,3)),ROUND(VLOOKUP(AQ75,S6:W105,5,FALSE),0)/1000+ROUND(AR75,3)),ROUND(VLOOKUP(AQ75,M6:Q105,5,FALSE),0)/1000+ROUND(AR75,3)),ROUND(VLOOKUP(AQ75,G6:K105,5,FALSE),0)/1000+ROUND(AR75,3)),ROUND(VLOOKUP(AQ75,A6:E105,5,FALSE),0)/1000+ROUND(AR75,3)))))</f>
        <v/>
      </c>
      <c r="AU75" s="95" t="str">
        <f>IF(OR(NOT(EXACT(UPPER(AQ75),"TBM")),AR75=""),IF(AND(AR75&lt;&gt;"",AS75="",AT75&lt;&gt;""),"",IF(AND(AR75="",AS75&lt;&gt;"",AT75&lt;&gt;""),ROUND(ROUND(AT75,3)-ROUND(AS75,3),3)*1000,IF(AND(AR75&lt;&gt;"",AS75&lt;&gt;"",AT75&lt;&gt;""),ROUND(ROUND(AT74,3)-ROUND(AS75,3),3)*1000,""))),"")</f>
        <v/>
      </c>
      <c r="AV75" s="85" t="str">
        <f>IF(AND(NOT(ISNA(VLOOKUP(AQ75,A6:E105,5,FALSE))),AR75="",AS75&lt;&gt;""),ROUND((VLOOKUP(AQ75,A6:E105,5,FALSE)-AU75)/1000,3),IF(AND(NOT(ISNA(VLOOKUP(AQ75,G6:K105,5,FALSE))),AR75="",AS75&lt;&gt;""),ROUND((VLOOKUP(AQ75,G6:K105,5,FALSE)-AU75)/1000,3),IF(AND(NOT(ISNA(VLOOKUP(AQ75,M6:Q105,5,FALSE))),AR75="",AS75&lt;&gt;""),ROUND((VLOOKUP(AQ75,M6:Q105,5,FALSE)-AU75)/1000,3),IF(AND(NOT(ISNA(VLOOKUP(AQ75,S6:W105,5,FALSE))),AR75="",AS75&lt;&gt;""),ROUND((VLOOKUP(AQ75,S6:W105,5,FALSE)-AU75)/1000,3),IF(AND(NOT(ISNA(VLOOKUP(AQ75,Y6:AC105,5,FALSE))),AR75="",AS75&lt;&gt;""),ROUND((VLOOKUP(AQ75,Y6:AC105,5,FALSE)-AU75)/1000,3),IF(AND(NOT(ISNA(VLOOKUP(AQ75,AE6:AI105,5,FALSE))),AR75="",AS75&lt;&gt;""),ROUND((VLOOKUP(AQ75,AE6:AI105,5,FALSE)-AU75)/1000,3),IF(AND(NOT(ISNA(VLOOKUP(AQ75,AK6:AO105,5,FALSE))),AR75="",AS75&lt;&gt;""),ROUND((VLOOKUP(AQ75,AK6:AO105,5,FALSE)-AU75)/1000,3),IF(AND(NOT(ISNA(VLOOKUP(AQ75,AQ6:AU74,5,FALSE))),AR75="",AS75&lt;&gt;""),ROUND((VLOOKUP(AQ75,AQ6:AU74,5,FALSE)-AU75)/1000,3),""))))))))</f>
        <v/>
      </c>
      <c r="AW75" s="81">
        <f>IF(AW74="","",AW74+1)</f>
        <v>869</v>
      </c>
      <c r="AX75" s="82"/>
      <c r="AY75" s="82"/>
      <c r="AZ75" s="83" t="str">
        <f>IF(AND(AX75&lt;&gt;"",AY75&lt;&gt;""),ROUND(AX75,3)+ROUND(AZ74,3)-ROUND(AY75,3),IF(AND(EXACT(UPPER(AW75),"TBM"),AX75&lt;&gt;""),ROUND(AX75,3),IF(AX75="",AZ74,IF(ISNA(VLOOKUP(AW75,A6:E105,5,FALSE)),IF(ISNA(VLOOKUP(AW75,G6:K105,5,FALSE)),IF(ISNA(VLOOKUP(AW75,M6:Q105,5,FALSE)),IF(ISNA(VLOOKUP(AW75,S6:W105,5,FALSE)),IF(ISNA(VLOOKUP(AW75,Y6:AC105,5,FALSE)),IF(ISNA(VLOOKUP(AW75,AE6:AI105,5,FALSE)),IF(ISNA(VLOOKUP(AW75,AK6:AO105,5,FALSE)),IF(ISNA(VLOOKUP(AW75,AQ6:AU105,5,FALSE)),IF(ISNA(VLOOKUP(AW75,AW6:BA74,5,FALSE)),"",ROUND(VLOOKUP(AW75,AW6:BA74,5,FALSE),0)/1000+ROUND(AX75,3)),ROUND(VLOOKUP(AW75,AQ6:AU105,5,FALSE),0)/1000+ROUND(AX75,3)),ROUND(VLOOKUP(AW75,AK6:AO105,5,FALSE),0)/1000+ROUND(AX75,3)),ROUND(VLOOKUP(AW75,AE6:AI105,5,FALSE),0)/1000+ROUND(AX75,3)),ROUND(VLOOKUP(AW75,Y6:AC105,5,FALSE),0)/1000+ROUND(AX75,3)),ROUND(VLOOKUP(AW75,S6:W105,5,FALSE),0)/1000+ROUND(AX75,3)),ROUND(VLOOKUP(AW75,M6:Q105,5,FALSE),0)/1000+ROUND(AX75,3)),ROUND(VLOOKUP(AW75,G6:K105,5,FALSE),0)/1000+ROUND(AX75,3)),ROUND(VLOOKUP(AW75,A6:E105,5,FALSE),0)/1000+ROUND(AX75,3)))))</f>
        <v/>
      </c>
      <c r="BA75" s="95" t="str">
        <f>IF(OR(NOT(EXACT(UPPER(AW75),"TBM")),AX75=""),IF(AND(AX75&lt;&gt;"",AY75="",AZ75&lt;&gt;""),"",IF(AND(AX75="",AY75&lt;&gt;"",AZ75&lt;&gt;""),ROUND(ROUND(AZ75,3)-ROUND(AY75,3),3)*1000,IF(AND(AX75&lt;&gt;"",AY75&lt;&gt;"",AZ75&lt;&gt;""),ROUND(ROUND(AZ74,3)-ROUND(AY75,3),3)*1000,""))),"")</f>
        <v/>
      </c>
      <c r="BB75" s="85" t="str">
        <f>IF(AND(NOT(ISNA(VLOOKUP(AW75,A6:E105,5,FALSE))),AX75="",AY75&lt;&gt;""),ROUND((VLOOKUP(AW75,A6:E105,5,FALSE)-BA75)/1000,3),IF(AND(NOT(ISNA(VLOOKUP(AW75,G6:K105,5,FALSE))),AX75="",AY75&lt;&gt;""),ROUND((VLOOKUP(AW75,G6:K105,5,FALSE)-BA75)/1000,3),IF(AND(NOT(ISNA(VLOOKUP(AW75,M6:Q105,5,FALSE))),AX75="",AY75&lt;&gt;""),ROUND((VLOOKUP(AW75,M6:Q105,5,FALSE)-BA75)/1000,3),IF(AND(NOT(ISNA(VLOOKUP(AW75,S6:W105,5,FALSE))),AX75="",AY75&lt;&gt;""),ROUND((VLOOKUP(AW75,S6:W105,5,FALSE)-BA75)/1000,3),IF(AND(NOT(ISNA(VLOOKUP(AW75,Y6:AC105,5,FALSE))),AX75="",AY75&lt;&gt;""),ROUND((VLOOKUP(AW75,Y6:AC105,5,FALSE)-BA75)/1000,3),IF(AND(NOT(ISNA(VLOOKUP(AW75,AE6:AI105,5,FALSE))),AX75="",AY75&lt;&gt;""),ROUND((VLOOKUP(AW75,AE6:AI105,5,FALSE)-BA75)/1000,3),IF(AND(NOT(ISNA(VLOOKUP(AW75,AK6:AO105,5,FALSE))),AX75="",AY75&lt;&gt;""),ROUND((VLOOKUP(AW75,AK6:AO105,5,FALSE)-BA75)/1000,3),IF(AND(NOT(ISNA(VLOOKUP(AW75,AQ6:AU105,5,FALSE))),AX75="",AY75&lt;&gt;""),ROUND((VLOOKUP(AW75,AQ6:AU105,5,FALSE)-BA75)/1000,3),IF(AND(NOT(ISNA(VLOOKUP(AW75,AW6:BA74,5,FALSE))),AX75="",AY75&lt;&gt;""),ROUND((VLOOKUP(AW75,AW6:BA74,5,FALSE)-BA75)/1000,3),"")))))))))</f>
        <v/>
      </c>
      <c r="BC75" s="81">
        <f>IF(BC74="","",BC74+1)</f>
        <v>969</v>
      </c>
      <c r="BD75" s="82"/>
      <c r="BE75" s="82"/>
      <c r="BF75" s="83" t="str">
        <f>IF(AND(BD75&lt;&gt;"",BE75&lt;&gt;""),ROUND(BD75,3)+ROUND(BF74,3)-ROUND(BE75,3),IF(AND(EXACT(UPPER(BC75),"TBM"),BD75&lt;&gt;""),ROUND(BD75,3),IF(BD75="",BF74,IF(ISNA(VLOOKUP(BC75,A6:E105,5,FALSE)),IF(ISNA(VLOOKUP(BC75,G6:K105,5,FALSE)),IF(ISNA(VLOOKUP(BC75,M6:Q105,5,FALSE)),IF(ISNA(VLOOKUP(BC75,S6:W105,5,FALSE)),IF(ISNA(VLOOKUP(BC75,Y6:AC105,5,FALSE)),IF(ISNA(VLOOKUP(BC75,AE6:AI105,5,FALSE)),IF(ISNA(VLOOKUP(BC75,AK6:AO105,5,FALSE)),IF(ISNA(VLOOKUP(BC75,AQ6:AU105,5,FALSE)),IF(ISNA(VLOOKUP(BC75,AW6:BA105,5,FALSE)),IF(ISNA(VLOOKUP(BC75,BC6:BG74,5,FALSE)),"",ROUND(VLOOKUP(BC75,BC6:BG74,5,FALSE),0)/1000+ROUND(BD75,3)),ROUND(VLOOKUP(BC75,AW6:BA105,5,FALSE),0)/1000+ROUND(BD75,3)),ROUND(VLOOKUP(BC75,AQ6:AU105,5,FALSE),0)/1000+ROUND(BD75,3)),ROUND(VLOOKUP(BC75,AK6:AO105,5,FALSE),0)/1000+ROUND(BD75,3)),ROUND(VLOOKUP(BC75,AE6:AI105,5,FALSE),0)/1000+ROUND(BD75,3)),ROUND(VLOOKUP(BC75,Y6:AC105,5,FALSE),0)/1000+ROUND(BD75,3)),ROUND(VLOOKUP(BC75,S6:W105,5,FALSE),0)/1000+ROUND(BD75,3)),ROUND(VLOOKUP(BC75,M6:Q105,5,FALSE),0)/1000+ROUND(BD75,3)),ROUND(VLOOKUP(BC75,G6:K105,5,FALSE),0)/1000+ROUND(BD75,3)),ROUND(VLOOKUP(BC75,A6:E105,5,FALSE),0)/1000+ROUND(BD75,3)))))</f>
        <v/>
      </c>
      <c r="BG75" s="95" t="str">
        <f>IF(OR(NOT(EXACT(UPPER(BC75),"TBM")),BD75=""),IF(AND(BD75&lt;&gt;"",BE75="",BF75&lt;&gt;""),"",IF(AND(BD75="",BE75&lt;&gt;"",BF75&lt;&gt;""),ROUND(ROUND(BF75,3)-ROUND(BE75,3),3)*1000,IF(AND(BD75&lt;&gt;"",BE75&lt;&gt;"",BF75&lt;&gt;""),ROUND(ROUND(BF74,3)-ROUND(BE75,3),3)*1000,""))),"")</f>
        <v/>
      </c>
      <c r="BH75" s="85" t="str">
        <f>IF(AND(NOT(ISNA(VLOOKUP(BC75,A6:E105,5,FALSE))),BD75="",BE75&lt;&gt;""),ROUND((VLOOKUP(BC75,A6:E105,5,FALSE)-BG75)/1000,3),IF(AND(NOT(ISNA(VLOOKUP(BC75,G6:K105,5,FALSE))),BD75="",BE75&lt;&gt;""),ROUND((VLOOKUP(BC75,G6:K105,5,FALSE)-BG75)/1000,3),IF(AND(NOT(ISNA(VLOOKUP(BC75,M6:Q105,5,FALSE))),BD75="",BE75&lt;&gt;""),ROUND((VLOOKUP(BC75,M6:Q105,5,FALSE)-BG75)/1000,3),IF(AND(NOT(ISNA(VLOOKUP(BC75,S6:W105,5,FALSE))),BD75="",BE75&lt;&gt;""),ROUND((VLOOKUP(BC75,S6:W105,5,FALSE)-BG75)/1000,3),IF(AND(NOT(ISNA(VLOOKUP(BC75,Y6:AC105,5,FALSE))),BD75="",BE75&lt;&gt;""),ROUND((VLOOKUP(BC75,Y6:AC105,5,FALSE)-BG75)/1000,3),IF(AND(NOT(ISNA(VLOOKUP(BC75,AE6:AI105,5,FALSE))),BD75="",BE75&lt;&gt;""),ROUND((VLOOKUP(BC75,AE6:AI105,5,FALSE)-BG75)/1000,3),IF(AND(NOT(ISNA(VLOOKUP(BC75,AK6:AO105,5,FALSE))),BD75="",BE75&lt;&gt;""),ROUND((VLOOKUP(BC75,AK6:AO105,5,FALSE)-BG75)/1000,3),IF(AND(NOT(ISNA(VLOOKUP(BC75,AQ6:AU105,5,FALSE))),BD75="",BE75&lt;&gt;""),ROUND((VLOOKUP(BC75,AQ6:AU105,5,FALSE)-BG75)/1000,3),IF(AND(NOT(ISNA(VLOOKUP(BC75,AW6:BA105,5,FALSE))),BD75="",BE75&lt;&gt;""),ROUND((VLOOKUP(BC75,AW6:BA105,5,FALSE)-BG75)/1000,3),IF(AND(NOT(ISNA(VLOOKUP(BC75,BC6:BG74,5,FALSE))),BD75="",BE75&lt;&gt;""),ROUND((VLOOKUP(BC75,BC6:BG74,5,FALSE)-BG75)/1000,3),""))))))))))</f>
        <v/>
      </c>
    </row>
    <row r="76" spans="1:60" x14ac:dyDescent="0.25">
      <c r="A76" s="64">
        <f t="shared" si="9"/>
        <v>70</v>
      </c>
      <c r="B76" s="38"/>
      <c r="C76" s="38"/>
      <c r="D76" s="17" t="str">
        <f>IF(AND(B76&lt;&gt;"",C76&lt;&gt;""),ROUND(B76,3)+ROUND(D75,3)-ROUND(C76,3),IF(AND(EXACT(UPPER(A76),"TBM"),B76&lt;&gt;""),ROUND(B76,3),IF(B76="",D75,IF(ISNA(VLOOKUP(A76,A6:E75,5,FALSE)),"",ROUND(VLOOKUP(A76,A6:E75,5,FALSE),0)/1000+ROUND(B76,3)))))</f>
        <v/>
      </c>
      <c r="E76" s="65" t="str">
        <f t="shared" si="6"/>
        <v/>
      </c>
      <c r="F76" s="66" t="str">
        <f>IF(AND(NOT(ISNA(VLOOKUP(A76,A6:E75,5,FALSE))),B76="",C76&lt;&gt;""),ROUND((VLOOKUP(A76,A6:E75,5,FALSE)-E76)/1000,3),"")</f>
        <v/>
      </c>
      <c r="G76" s="64">
        <f t="shared" si="7"/>
        <v>170</v>
      </c>
      <c r="H76" s="38"/>
      <c r="I76" s="38"/>
      <c r="J76" s="17" t="str">
        <f>IF(AND(H76&lt;&gt;"",I76&lt;&gt;""),ROUND(H76,3)+ROUND(J75,3)-ROUND(I76,3),IF(AND(EXACT(UPPER(G76),"TBM"),H76&lt;&gt;""),ROUND(H76,3),IF(H76="",J75,IF(ISNA(VLOOKUP(G76,A6:E105,5,FALSE)),IF(ISNA(VLOOKUP(G76,G6:K75,5,FALSE)),"",ROUND(VLOOKUP(G76,G6:K75,5,FALSE),0)/1000+ROUND(H76,3)),ROUND(VLOOKUP(G76,A6:E105,5,FALSE),0)/1000+ROUND(H76,3)))))</f>
        <v/>
      </c>
      <c r="K76" s="18" t="str">
        <f t="shared" si="8"/>
        <v/>
      </c>
      <c r="L76" s="66" t="str">
        <f>IF(AND(NOT(ISNA(VLOOKUP(G76,A6:E105,5,FALSE))),H76="",I76&lt;&gt;""),ROUND((VLOOKUP(G76,A6:E105,5,FALSE)-K76)/1000,3),IF(AND(NOT(ISNA(VLOOKUP(G76,G6:K75,5,FALSE))),H76="",I76&lt;&gt;""),ROUND((VLOOKUP(G76,G6:K75,5,FALSE)-K76)/1000,3),""))</f>
        <v/>
      </c>
      <c r="M76" s="64">
        <f>IF(M75="","",M75+1)</f>
        <v>270</v>
      </c>
      <c r="N76" s="38"/>
      <c r="O76" s="38"/>
      <c r="P76" s="17" t="str">
        <f>IF(AND(N76&lt;&gt;"",O76&lt;&gt;""),ROUND(N76,3)+ROUND(P75,3)-ROUND(O76,3),IF(AND(EXACT(UPPER(M76),"TBM"),N76&lt;&gt;""),ROUND(N76,3),IF(N76="",P75,IF(ISNA(VLOOKUP(M76,A6:E105,5,FALSE)),IF(ISNA(VLOOKUP(M76,G6:K105,5,FALSE)),IF(ISNA(VLOOKUP(M76,M6:Q75,5,FALSE)),"",ROUND(VLOOKUP(M76,M6:Q75,5,FALSE),0)/1000+ROUND(N76,3)),ROUND(VLOOKUP(M76,G6:K105,5,FALSE),0)/1000+ROUND(N76,3)),ROUND(VLOOKUP(M76,A6:E105,5,FALSE),0)/1000+ROUND(N76,3)))))</f>
        <v/>
      </c>
      <c r="Q76" s="18" t="str">
        <f>IF(OR(NOT(EXACT(UPPER(M76),"TBM")),N76=""),IF(AND(N76&lt;&gt;"",O76="",P76&lt;&gt;""),"",IF(AND(N76="",O76&lt;&gt;"",P76&lt;&gt;""),ROUND(ROUND(P76,3)-ROUND(O76,3),3)*1000,IF(AND(N76&lt;&gt;"",O76&lt;&gt;"",P76&lt;&gt;""),ROUND(ROUND(P75,3)-ROUND(O76,3),3)*1000,""))),"")</f>
        <v/>
      </c>
      <c r="R76" s="66" t="str">
        <f>IF(AND(NOT(ISNA(VLOOKUP(M76,A6:E105,5,FALSE))),N76="",O76&lt;&gt;""),ROUND((VLOOKUP(M76,A6:E105,5,FALSE)-Q76)/1000,3),IF(AND(NOT(ISNA(VLOOKUP(M76,G6:K105,5,FALSE))),N76="",O76&lt;&gt;""),ROUND((VLOOKUP(M76,G6:K105,5,FALSE)-Q76)/1000,3),IF(AND(NOT(ISNA(VLOOKUP(M76,M6:Q75,5,FALSE))),N76="",O76&lt;&gt;""),ROUND((VLOOKUP(M76,M6:Q75,5,FALSE)-Q76)/1000,3),"")))</f>
        <v/>
      </c>
      <c r="S76" s="64">
        <f>IF(S75="","",S75+1)</f>
        <v>370</v>
      </c>
      <c r="T76" s="38"/>
      <c r="U76" s="38"/>
      <c r="V76" s="17" t="str">
        <f>IF(AND(T76&lt;&gt;"",U76&lt;&gt;""),ROUND(T76,3)+ROUND(V75,3)-ROUND(U76,3),IF(AND(EXACT(UPPER(S76),"TBM"),T76&lt;&gt;""),ROUND(T76,3),IF(T76="",V75,IF(ISNA(VLOOKUP(S76,A6:E105,5,FALSE)),IF(ISNA(VLOOKUP(S76,G6:K105,5,FALSE)),IF(ISNA(VLOOKUP(S76,M6:Q105,5,FALSE)),IF(ISNA(VLOOKUP(S76,S6:W75,5,FALSE)),"",ROUND(VLOOKUP(S76,S6:W75,5,FALSE),0)/1000+ROUND(T76,3)),ROUND(VLOOKUP(S76,M6:Q105,5,FALSE),0)/1000+ROUND(T76,3)),ROUND(VLOOKUP(S76,G6:K105,5,FALSE),0)/1000+ROUND(T76,3)),ROUND(VLOOKUP(S76,A6:E105,5,FALSE),0)/1000+ROUND(T76,3)))))</f>
        <v/>
      </c>
      <c r="W76" s="18" t="str">
        <f>IF(OR(NOT(EXACT(UPPER(S76),"TBM")),T76=""),IF(AND(T76&lt;&gt;"",U76="",V76&lt;&gt;""),"",IF(AND(T76="",U76&lt;&gt;"",V76&lt;&gt;""),ROUND(ROUND(V76,3)-ROUND(U76,3),3)*1000,IF(AND(T76&lt;&gt;"",U76&lt;&gt;"",V76&lt;&gt;""),ROUND(ROUND(V75,3)-ROUND(U76,3),3)*1000,""))),"")</f>
        <v/>
      </c>
      <c r="X76" s="66" t="str">
        <f>IF(AND(NOT(ISNA(VLOOKUP(S76,A6:E105,5,FALSE))),T76="",U76&lt;&gt;""),ROUND((VLOOKUP(S76,A6:E105,5,FALSE)-W76)/1000,3),IF(AND(NOT(ISNA(VLOOKUP(S76,G6:K105,5,FALSE))),T76="",U76&lt;&gt;""),ROUND((VLOOKUP(S76,G6:K105,5,FALSE)-W76)/1000,3),IF(AND(NOT(ISNA(VLOOKUP(S76,M6:Q105,5,FALSE))),T76="",U76&lt;&gt;""),ROUND((VLOOKUP(S76,M6:Q105,5,FALSE)-W76)/1000,3),IF(AND(NOT(ISNA(VLOOKUP(S76,S6:W75,5,FALSE))),T76="",U76&lt;&gt;""),ROUND((VLOOKUP(S76,S6:W75,5,FALSE)-W76)/1000,3),""))))</f>
        <v/>
      </c>
      <c r="Y76" s="64">
        <f>IF(Y75="","",Y75+1)</f>
        <v>470</v>
      </c>
      <c r="Z76" s="38"/>
      <c r="AA76" s="38"/>
      <c r="AB76" s="17" t="str">
        <f>IF(AND(Z76&lt;&gt;"",AA76&lt;&gt;""),ROUND(Z76,3)+ROUND(AB75,3)-ROUND(AA76,3),IF(AND(EXACT(UPPER(Y76),"TBM"),Z76&lt;&gt;""),ROUND(Z76,3),IF(Z76="",AB75,IF(ISNA(VLOOKUP(Y76,A6:E105,5,FALSE)),IF(ISNA(VLOOKUP(Y76,G6:K105,5,FALSE)),IF(ISNA(VLOOKUP(Y76,M6:Q105,5,FALSE)),IF(ISNA(VLOOKUP(Y76,S6:W105,5,FALSE)),IF(ISNA(VLOOKUP(Y76,Y6:AC75,5,FALSE)),"",ROUND(VLOOKUP(Y76,Y6:AC75,5,FALSE),0)/1000+ROUND(Z76,3)),ROUND(VLOOKUP(Y76,S6:W105,5,FALSE),0)/1000+ROUND(Z76,3)),ROUND(VLOOKUP(Y76,M6:Q105,5,FALSE),0)/1000+ROUND(Z76,3)),ROUND(VLOOKUP(Y76,G6:K105,5,FALSE),0)/1000+ROUND(Z76,3)),ROUND(VLOOKUP(Y76,A6:E105,5,FALSE),0)/1000+ROUND(Z76,3)))))</f>
        <v/>
      </c>
      <c r="AC76" s="18" t="str">
        <f>IF(OR(NOT(EXACT(UPPER(Y76),"TBM")),Z76=""),IF(AND(Z76&lt;&gt;"",AA76="",AB76&lt;&gt;""),"",IF(AND(Z76="",AA76&lt;&gt;"",AB76&lt;&gt;""),ROUND(ROUND(AB76,3)-ROUND(AA76,3),3)*1000,IF(AND(Z76&lt;&gt;"",AA76&lt;&gt;"",AB76&lt;&gt;""),ROUND(ROUND(AB75,3)-ROUND(AA76,3),3)*1000,""))),"")</f>
        <v/>
      </c>
      <c r="AD76" s="66" t="str">
        <f>IF(AND(NOT(ISNA(VLOOKUP(Y76,A6:E105,5,FALSE))),Z76="",AA76&lt;&gt;""),ROUND((VLOOKUP(Y76,A6:E105,5,FALSE)-AC76)/1000,3),IF(AND(NOT(ISNA(VLOOKUP(Y76,G6:K105,5,FALSE))),Z76="",AA76&lt;&gt;""),ROUND((VLOOKUP(Y76,G6:K105,5,FALSE)-AC76)/1000,3),IF(AND(NOT(ISNA(VLOOKUP(Y76,M6:Q105,5,FALSE))),Z76="",AA76&lt;&gt;""),ROUND((VLOOKUP(Y76,M6:Q105,5,FALSE)-AC76)/1000,3),IF(AND(NOT(ISNA(VLOOKUP(Y76,S6:W105,5,FALSE))),Z76="",AA76&lt;&gt;""),ROUND((VLOOKUP(Y76,S6:W105,5,FALSE)-AC76)/1000,3),IF(AND(NOT(ISNA(VLOOKUP(Y76,Y6:AC75,5,FALSE))),Z76="",AA76&lt;&gt;""),ROUND((VLOOKUP(Y76,Y6:AC75,5,FALSE)-AC76)/1000,3),"")))))</f>
        <v/>
      </c>
      <c r="AE76" s="64">
        <f>IF(AE75="","",AE75+1)</f>
        <v>570</v>
      </c>
      <c r="AF76" s="38"/>
      <c r="AG76" s="38"/>
      <c r="AH76" s="17" t="str">
        <f>IF(AND(AF76&lt;&gt;"",AG76&lt;&gt;""),ROUND(AF76,3)+ROUND(AH75,3)-ROUND(AG76,3),IF(AND(EXACT(UPPER(AE76),"TBM"),AF76&lt;&gt;""),ROUND(AF76,3),IF(AF76="",AH75,IF(ISNA(VLOOKUP(AE76,A6:E105,5,FALSE)),IF(ISNA(VLOOKUP(AE76,G6:K105,5,FALSE)),IF(ISNA(VLOOKUP(AE76,M6:Q105,5,FALSE)),IF(ISNA(VLOOKUP(AE76,S6:W105,5,FALSE)),IF(ISNA(VLOOKUP(AE76,Y6:AC105,5,FALSE)),IF(ISNA(VLOOKUP(AE76,AE6:AI75,5,FALSE)),"",ROUND(VLOOKUP(AE76,AE6:AI75,5,FALSE),0)/1000+ROUND(AF76,3)),ROUND(VLOOKUP(AE76,Y6:AC105,5,FALSE),0)/1000+ROUND(AF76,3)),ROUND(VLOOKUP(AE76,S6:W105,5,FALSE),0)/1000+ROUND(AF76,3)),ROUND(VLOOKUP(AE76,M6:Q105,5,FALSE),0)/1000+ROUND(AF76,3)),ROUND(VLOOKUP(AE76,G6:K105,5,FALSE),0)/1000+ROUND(AF76,3)),ROUND(VLOOKUP(AE76,A6:E105,5,FALSE),0)/1000+ROUND(AF76,3)))))</f>
        <v/>
      </c>
      <c r="AI76" s="18" t="str">
        <f>IF(OR(NOT(EXACT(UPPER(AE76),"TBM")),AF76=""),IF(AND(AF76&lt;&gt;"",AG76="",AH76&lt;&gt;""),"",IF(AND(AF76="",AG76&lt;&gt;"",AH76&lt;&gt;""),ROUND(ROUND(AH76,3)-ROUND(AG76,3),3)*1000,IF(AND(AF76&lt;&gt;"",AG76&lt;&gt;"",AH76&lt;&gt;""),ROUND(ROUND(AH75,3)-ROUND(AG76,3),3)*1000,""))),"")</f>
        <v/>
      </c>
      <c r="AJ76" s="66" t="str">
        <f>IF(AND(NOT(ISNA(VLOOKUP(AE76,A6:E105,5,FALSE))),AF76="",AG76&lt;&gt;""),ROUND((VLOOKUP(AE76,A6:E105,5,FALSE)-AI76)/1000,3),IF(AND(NOT(ISNA(VLOOKUP(AE76,G6:K105,5,FALSE))),AF76="",AG76&lt;&gt;""),ROUND((VLOOKUP(AE76,G6:K105,5,FALSE)-AI76)/1000,3),IF(AND(NOT(ISNA(VLOOKUP(AE76,M6:Q105,5,FALSE))),AF76="",AG76&lt;&gt;""),ROUND((VLOOKUP(AE76,M6:Q105,5,FALSE)-AI76)/1000,3),IF(AND(NOT(ISNA(VLOOKUP(AE76,S6:W105,5,FALSE))),AF76="",AG76&lt;&gt;""),ROUND((VLOOKUP(AE76,S6:W105,5,FALSE)-AI76)/1000,3),IF(AND(NOT(ISNA(VLOOKUP(AE76,Y6:AC105,5,FALSE))),AF76="",AG76&lt;&gt;""),ROUND((VLOOKUP(AE76,Y6:AC105,5,FALSE)-AI76)/1000,3),IF(AND(NOT(ISNA(VLOOKUP(AE76,AE6:AI75,5,FALSE))),AF76="",AG76&lt;&gt;""),ROUND((VLOOKUP(AE76,AE6:AI75,5,FALSE)-AI76)/1000,3),""))))))</f>
        <v/>
      </c>
      <c r="AK76" s="64">
        <f>IF(AK75="","",AK75+1)</f>
        <v>670</v>
      </c>
      <c r="AL76" s="38"/>
      <c r="AM76" s="38"/>
      <c r="AN76" s="17" t="str">
        <f>IF(AND(AL76&lt;&gt;"",AM76&lt;&gt;""),ROUND(AL76,3)+ROUND(AN75,3)-ROUND(AM76,3),IF(AND(EXACT(UPPER(AK76),"TBM"),AL76&lt;&gt;""),ROUND(AL76,3),IF(AL76="",AN75,IF(ISNA(VLOOKUP(AK76,A6:E105,5,FALSE)),IF(ISNA(VLOOKUP(AK76,G6:K105,5,FALSE)),IF(ISNA(VLOOKUP(AK76,M6:Q105,5,FALSE)),IF(ISNA(VLOOKUP(AK76,S6:W105,5,FALSE)),IF(ISNA(VLOOKUP(AK76,Y6:AC105,5,FALSE)),IF(ISNA(VLOOKUP(AK76,AE6:AI105,5,FALSE)),IF(ISNA(VLOOKUP(AK76,AK6:AO75,5,FALSE)),"",ROUND(VLOOKUP(AK76,AK6:AO75,5,FALSE),0)/1000+ROUND(AL76,3)),ROUND(VLOOKUP(AK76,AE6:AI105,5,FALSE),0)/1000+ROUND(AL76,3)),ROUND(VLOOKUP(AK76,Y6:AC105,5,FALSE),0)/1000+ROUND(AL76,3)),ROUND(VLOOKUP(AK76,S6:W105,5,FALSE),0)/1000+ROUND(AL76,3)),ROUND(VLOOKUP(AK76,M6:Q105,5,FALSE),0)/1000+ROUND(AL76,3)),ROUND(VLOOKUP(AK76,G6:K105,5,FALSE),0)/1000+ROUND(AL76,3)),ROUND(VLOOKUP(AK76,A6:E105,5,FALSE),0)/1000+ROUND(AL76,3)))))</f>
        <v/>
      </c>
      <c r="AO76" s="18" t="str">
        <f>IF(OR(NOT(EXACT(UPPER(AK76),"TBM")),AL76=""),IF(AND(AL76&lt;&gt;"",AM76="",AN76&lt;&gt;""),"",IF(AND(AL76="",AM76&lt;&gt;"",AN76&lt;&gt;""),ROUND(ROUND(AN76,3)-ROUND(AM76,3),3)*1000,IF(AND(AL76&lt;&gt;"",AM76&lt;&gt;"",AN76&lt;&gt;""),ROUND(ROUND(AN75,3)-ROUND(AM76,3),3)*1000,""))),"")</f>
        <v/>
      </c>
      <c r="AP76" s="66" t="str">
        <f>IF(AND(NOT(ISNA(VLOOKUP(AK76,A6:E105,5,FALSE))),AL76="",AM76&lt;&gt;""),ROUND((VLOOKUP(AK76,A6:E105,5,FALSE)-AO76)/1000,3),IF(AND(NOT(ISNA(VLOOKUP(AK76,G6:K105,5,FALSE))),AL76="",AM76&lt;&gt;""),ROUND((VLOOKUP(AK76,G6:K105,5,FALSE)-AO76)/1000,3),IF(AND(NOT(ISNA(VLOOKUP(AK76,M6:Q105,5,FALSE))),AL76="",AM76&lt;&gt;""),ROUND((VLOOKUP(AK76,M6:Q105,5,FALSE)-AO76)/1000,3),IF(AND(NOT(ISNA(VLOOKUP(AK76,S6:W105,5,FALSE))),AL76="",AM76&lt;&gt;""),ROUND((VLOOKUP(AK76,S6:W105,5,FALSE)-AO76)/1000,3),IF(AND(NOT(ISNA(VLOOKUP(AK76,Y6:AC105,5,FALSE))),AL76="",AM76&lt;&gt;""),ROUND((VLOOKUP(AK76,Y6:AC105,5,FALSE)-AO76)/1000,3),IF(AND(NOT(ISNA(VLOOKUP(AK76,AE6:AI105,5,FALSE))),AL76="",AM76&lt;&gt;""),ROUND((VLOOKUP(AK76,AE6:AI105,5,FALSE)-AO76)/1000,3),IF(AND(NOT(ISNA(VLOOKUP(AK76,AK6:AO75,5,FALSE))),AL76="",AM76&lt;&gt;""),ROUND((VLOOKUP(AK76,AK6:AO75,5,FALSE)-AO76)/1000,3),"")))))))</f>
        <v/>
      </c>
      <c r="AQ76" s="64">
        <f>IF(AQ75="","",AQ75+1)</f>
        <v>770</v>
      </c>
      <c r="AR76" s="38"/>
      <c r="AS76" s="38"/>
      <c r="AT76" s="17" t="str">
        <f>IF(AND(AR76&lt;&gt;"",AS76&lt;&gt;""),ROUND(AR76,3)+ROUND(AT75,3)-ROUND(AS76,3),IF(AND(EXACT(UPPER(AQ76),"TBM"),AR76&lt;&gt;""),ROUND(AR76,3),IF(AR76="",AT75,IF(ISNA(VLOOKUP(AQ76,A6:E105,5,FALSE)),IF(ISNA(VLOOKUP(AQ76,G6:K105,5,FALSE)),IF(ISNA(VLOOKUP(AQ76,M6:Q105,5,FALSE)),IF(ISNA(VLOOKUP(AQ76,S6:W105,5,FALSE)),IF(ISNA(VLOOKUP(AQ76,Y6:AC105,5,FALSE)),IF(ISNA(VLOOKUP(AQ76,AE6:AI105,5,FALSE)),IF(ISNA(VLOOKUP(AQ76,AK6:AO105,5,FALSE)),IF(ISNA(VLOOKUP(AQ76,AQ6:AU75,5,FALSE)),"",ROUND(VLOOKUP(AQ76,AQ6:AU75,5,FALSE),0)/1000+ROUND(AR76,3)),ROUND(VLOOKUP(AQ76,AK6:AO105,5,FALSE),0)/1000+ROUND(AR76,3)),ROUND(VLOOKUP(AQ76,AE6:AI105,5,FALSE),0)/1000+ROUND(AR76,3)),ROUND(VLOOKUP(AQ76,Y6:AC105,5,FALSE),0)/1000+ROUND(AR76,3)),ROUND(VLOOKUP(AQ76,S6:W105,5,FALSE),0)/1000+ROUND(AR76,3)),ROUND(VLOOKUP(AQ76,M6:Q105,5,FALSE),0)/1000+ROUND(AR76,3)),ROUND(VLOOKUP(AQ76,G6:K105,5,FALSE),0)/1000+ROUND(AR76,3)),ROUND(VLOOKUP(AQ76,A6:E105,5,FALSE),0)/1000+ROUND(AR76,3)))))</f>
        <v/>
      </c>
      <c r="AU76" s="18" t="str">
        <f>IF(OR(NOT(EXACT(UPPER(AQ76),"TBM")),AR76=""),IF(AND(AR76&lt;&gt;"",AS76="",AT76&lt;&gt;""),"",IF(AND(AR76="",AS76&lt;&gt;"",AT76&lt;&gt;""),ROUND(ROUND(AT76,3)-ROUND(AS76,3),3)*1000,IF(AND(AR76&lt;&gt;"",AS76&lt;&gt;"",AT76&lt;&gt;""),ROUND(ROUND(AT75,3)-ROUND(AS76,3),3)*1000,""))),"")</f>
        <v/>
      </c>
      <c r="AV76" s="66" t="str">
        <f>IF(AND(NOT(ISNA(VLOOKUP(AQ76,A6:E105,5,FALSE))),AR76="",AS76&lt;&gt;""),ROUND((VLOOKUP(AQ76,A6:E105,5,FALSE)-AU76)/1000,3),IF(AND(NOT(ISNA(VLOOKUP(AQ76,G6:K105,5,FALSE))),AR76="",AS76&lt;&gt;""),ROUND((VLOOKUP(AQ76,G6:K105,5,FALSE)-AU76)/1000,3),IF(AND(NOT(ISNA(VLOOKUP(AQ76,M6:Q105,5,FALSE))),AR76="",AS76&lt;&gt;""),ROUND((VLOOKUP(AQ76,M6:Q105,5,FALSE)-AU76)/1000,3),IF(AND(NOT(ISNA(VLOOKUP(AQ76,S6:W105,5,FALSE))),AR76="",AS76&lt;&gt;""),ROUND((VLOOKUP(AQ76,S6:W105,5,FALSE)-AU76)/1000,3),IF(AND(NOT(ISNA(VLOOKUP(AQ76,Y6:AC105,5,FALSE))),AR76="",AS76&lt;&gt;""),ROUND((VLOOKUP(AQ76,Y6:AC105,5,FALSE)-AU76)/1000,3),IF(AND(NOT(ISNA(VLOOKUP(AQ76,AE6:AI105,5,FALSE))),AR76="",AS76&lt;&gt;""),ROUND((VLOOKUP(AQ76,AE6:AI105,5,FALSE)-AU76)/1000,3),IF(AND(NOT(ISNA(VLOOKUP(AQ76,AK6:AO105,5,FALSE))),AR76="",AS76&lt;&gt;""),ROUND((VLOOKUP(AQ76,AK6:AO105,5,FALSE)-AU76)/1000,3),IF(AND(NOT(ISNA(VLOOKUP(AQ76,AQ6:AU75,5,FALSE))),AR76="",AS76&lt;&gt;""),ROUND((VLOOKUP(AQ76,AQ6:AU75,5,FALSE)-AU76)/1000,3),""))))))))</f>
        <v/>
      </c>
      <c r="AW76" s="64">
        <f>IF(AW75="","",AW75+1)</f>
        <v>870</v>
      </c>
      <c r="AX76" s="38"/>
      <c r="AY76" s="38"/>
      <c r="AZ76" s="17" t="str">
        <f>IF(AND(AX76&lt;&gt;"",AY76&lt;&gt;""),ROUND(AX76,3)+ROUND(AZ75,3)-ROUND(AY76,3),IF(AND(EXACT(UPPER(AW76),"TBM"),AX76&lt;&gt;""),ROUND(AX76,3),IF(AX76="",AZ75,IF(ISNA(VLOOKUP(AW76,A6:E105,5,FALSE)),IF(ISNA(VLOOKUP(AW76,G6:K105,5,FALSE)),IF(ISNA(VLOOKUP(AW76,M6:Q105,5,FALSE)),IF(ISNA(VLOOKUP(AW76,S6:W105,5,FALSE)),IF(ISNA(VLOOKUP(AW76,Y6:AC105,5,FALSE)),IF(ISNA(VLOOKUP(AW76,AE6:AI105,5,FALSE)),IF(ISNA(VLOOKUP(AW76,AK6:AO105,5,FALSE)),IF(ISNA(VLOOKUP(AW76,AQ6:AU105,5,FALSE)),IF(ISNA(VLOOKUP(AW76,AW6:BA75,5,FALSE)),"",ROUND(VLOOKUP(AW76,AW6:BA75,5,FALSE),0)/1000+ROUND(AX76,3)),ROUND(VLOOKUP(AW76,AQ6:AU105,5,FALSE),0)/1000+ROUND(AX76,3)),ROUND(VLOOKUP(AW76,AK6:AO105,5,FALSE),0)/1000+ROUND(AX76,3)),ROUND(VLOOKUP(AW76,AE6:AI105,5,FALSE),0)/1000+ROUND(AX76,3)),ROUND(VLOOKUP(AW76,Y6:AC105,5,FALSE),0)/1000+ROUND(AX76,3)),ROUND(VLOOKUP(AW76,S6:W105,5,FALSE),0)/1000+ROUND(AX76,3)),ROUND(VLOOKUP(AW76,M6:Q105,5,FALSE),0)/1000+ROUND(AX76,3)),ROUND(VLOOKUP(AW76,G6:K105,5,FALSE),0)/1000+ROUND(AX76,3)),ROUND(VLOOKUP(AW76,A6:E105,5,FALSE),0)/1000+ROUND(AX76,3)))))</f>
        <v/>
      </c>
      <c r="BA76" s="18" t="str">
        <f>IF(OR(NOT(EXACT(UPPER(AW76),"TBM")),AX76=""),IF(AND(AX76&lt;&gt;"",AY76="",AZ76&lt;&gt;""),"",IF(AND(AX76="",AY76&lt;&gt;"",AZ76&lt;&gt;""),ROUND(ROUND(AZ76,3)-ROUND(AY76,3),3)*1000,IF(AND(AX76&lt;&gt;"",AY76&lt;&gt;"",AZ76&lt;&gt;""),ROUND(ROUND(AZ75,3)-ROUND(AY76,3),3)*1000,""))),"")</f>
        <v/>
      </c>
      <c r="BB76" s="66" t="str">
        <f>IF(AND(NOT(ISNA(VLOOKUP(AW76,A6:E105,5,FALSE))),AX76="",AY76&lt;&gt;""),ROUND((VLOOKUP(AW76,A6:E105,5,FALSE)-BA76)/1000,3),IF(AND(NOT(ISNA(VLOOKUP(AW76,G6:K105,5,FALSE))),AX76="",AY76&lt;&gt;""),ROUND((VLOOKUP(AW76,G6:K105,5,FALSE)-BA76)/1000,3),IF(AND(NOT(ISNA(VLOOKUP(AW76,M6:Q105,5,FALSE))),AX76="",AY76&lt;&gt;""),ROUND((VLOOKUP(AW76,M6:Q105,5,FALSE)-BA76)/1000,3),IF(AND(NOT(ISNA(VLOOKUP(AW76,S6:W105,5,FALSE))),AX76="",AY76&lt;&gt;""),ROUND((VLOOKUP(AW76,S6:W105,5,FALSE)-BA76)/1000,3),IF(AND(NOT(ISNA(VLOOKUP(AW76,Y6:AC105,5,FALSE))),AX76="",AY76&lt;&gt;""),ROUND((VLOOKUP(AW76,Y6:AC105,5,FALSE)-BA76)/1000,3),IF(AND(NOT(ISNA(VLOOKUP(AW76,AE6:AI105,5,FALSE))),AX76="",AY76&lt;&gt;""),ROUND((VLOOKUP(AW76,AE6:AI105,5,FALSE)-BA76)/1000,3),IF(AND(NOT(ISNA(VLOOKUP(AW76,AK6:AO105,5,FALSE))),AX76="",AY76&lt;&gt;""),ROUND((VLOOKUP(AW76,AK6:AO105,5,FALSE)-BA76)/1000,3),IF(AND(NOT(ISNA(VLOOKUP(AW76,AQ6:AU105,5,FALSE))),AX76="",AY76&lt;&gt;""),ROUND((VLOOKUP(AW76,AQ6:AU105,5,FALSE)-BA76)/1000,3),IF(AND(NOT(ISNA(VLOOKUP(AW76,AW6:BA75,5,FALSE))),AX76="",AY76&lt;&gt;""),ROUND((VLOOKUP(AW76,AW6:BA75,5,FALSE)-BA76)/1000,3),"")))))))))</f>
        <v/>
      </c>
      <c r="BC76" s="64">
        <f>IF(BC75="","",BC75+1)</f>
        <v>970</v>
      </c>
      <c r="BD76" s="38"/>
      <c r="BE76" s="38"/>
      <c r="BF76" s="17" t="str">
        <f>IF(AND(BD76&lt;&gt;"",BE76&lt;&gt;""),ROUND(BD76,3)+ROUND(BF75,3)-ROUND(BE76,3),IF(AND(EXACT(UPPER(BC76),"TBM"),BD76&lt;&gt;""),ROUND(BD76,3),IF(BD76="",BF75,IF(ISNA(VLOOKUP(BC76,A6:E105,5,FALSE)),IF(ISNA(VLOOKUP(BC76,G6:K105,5,FALSE)),IF(ISNA(VLOOKUP(BC76,M6:Q105,5,FALSE)),IF(ISNA(VLOOKUP(BC76,S6:W105,5,FALSE)),IF(ISNA(VLOOKUP(BC76,Y6:AC105,5,FALSE)),IF(ISNA(VLOOKUP(BC76,AE6:AI105,5,FALSE)),IF(ISNA(VLOOKUP(BC76,AK6:AO105,5,FALSE)),IF(ISNA(VLOOKUP(BC76,AQ6:AU105,5,FALSE)),IF(ISNA(VLOOKUP(BC76,AW6:BA105,5,FALSE)),IF(ISNA(VLOOKUP(BC76,BC6:BG75,5,FALSE)),"",ROUND(VLOOKUP(BC76,BC6:BG75,5,FALSE),0)/1000+ROUND(BD76,3)),ROUND(VLOOKUP(BC76,AW6:BA105,5,FALSE),0)/1000+ROUND(BD76,3)),ROUND(VLOOKUP(BC76,AQ6:AU105,5,FALSE),0)/1000+ROUND(BD76,3)),ROUND(VLOOKUP(BC76,AK6:AO105,5,FALSE),0)/1000+ROUND(BD76,3)),ROUND(VLOOKUP(BC76,AE6:AI105,5,FALSE),0)/1000+ROUND(BD76,3)),ROUND(VLOOKUP(BC76,Y6:AC105,5,FALSE),0)/1000+ROUND(BD76,3)),ROUND(VLOOKUP(BC76,S6:W105,5,FALSE),0)/1000+ROUND(BD76,3)),ROUND(VLOOKUP(BC76,M6:Q105,5,FALSE),0)/1000+ROUND(BD76,3)),ROUND(VLOOKUP(BC76,G6:K105,5,FALSE),0)/1000+ROUND(BD76,3)),ROUND(VLOOKUP(BC76,A6:E105,5,FALSE),0)/1000+ROUND(BD76,3)))))</f>
        <v/>
      </c>
      <c r="BG76" s="18" t="str">
        <f>IF(OR(NOT(EXACT(UPPER(BC76),"TBM")),BD76=""),IF(AND(BD76&lt;&gt;"",BE76="",BF76&lt;&gt;""),"",IF(AND(BD76="",BE76&lt;&gt;"",BF76&lt;&gt;""),ROUND(ROUND(BF76,3)-ROUND(BE76,3),3)*1000,IF(AND(BD76&lt;&gt;"",BE76&lt;&gt;"",BF76&lt;&gt;""),ROUND(ROUND(BF75,3)-ROUND(BE76,3),3)*1000,""))),"")</f>
        <v/>
      </c>
      <c r="BH76" s="66" t="str">
        <f>IF(AND(NOT(ISNA(VLOOKUP(BC76,A6:E105,5,FALSE))),BD76="",BE76&lt;&gt;""),ROUND((VLOOKUP(BC76,A6:E105,5,FALSE)-BG76)/1000,3),IF(AND(NOT(ISNA(VLOOKUP(BC76,G6:K105,5,FALSE))),BD76="",BE76&lt;&gt;""),ROUND((VLOOKUP(BC76,G6:K105,5,FALSE)-BG76)/1000,3),IF(AND(NOT(ISNA(VLOOKUP(BC76,M6:Q105,5,FALSE))),BD76="",BE76&lt;&gt;""),ROUND((VLOOKUP(BC76,M6:Q105,5,FALSE)-BG76)/1000,3),IF(AND(NOT(ISNA(VLOOKUP(BC76,S6:W105,5,FALSE))),BD76="",BE76&lt;&gt;""),ROUND((VLOOKUP(BC76,S6:W105,5,FALSE)-BG76)/1000,3),IF(AND(NOT(ISNA(VLOOKUP(BC76,Y6:AC105,5,FALSE))),BD76="",BE76&lt;&gt;""),ROUND((VLOOKUP(BC76,Y6:AC105,5,FALSE)-BG76)/1000,3),IF(AND(NOT(ISNA(VLOOKUP(BC76,AE6:AI105,5,FALSE))),BD76="",BE76&lt;&gt;""),ROUND((VLOOKUP(BC76,AE6:AI105,5,FALSE)-BG76)/1000,3),IF(AND(NOT(ISNA(VLOOKUP(BC76,AK6:AO105,5,FALSE))),BD76="",BE76&lt;&gt;""),ROUND((VLOOKUP(BC76,AK6:AO105,5,FALSE)-BG76)/1000,3),IF(AND(NOT(ISNA(VLOOKUP(BC76,AQ6:AU105,5,FALSE))),BD76="",BE76&lt;&gt;""),ROUND((VLOOKUP(BC76,AQ6:AU105,5,FALSE)-BG76)/1000,3),IF(AND(NOT(ISNA(VLOOKUP(BC76,AW6:BA105,5,FALSE))),BD76="",BE76&lt;&gt;""),ROUND((VLOOKUP(BC76,AW6:BA105,5,FALSE)-BG76)/1000,3),IF(AND(NOT(ISNA(VLOOKUP(BC76,BC6:BG75,5,FALSE))),BD76="",BE76&lt;&gt;""),ROUND((VLOOKUP(BC76,BC6:BG75,5,FALSE)-BG76)/1000,3),""))))))))))</f>
        <v/>
      </c>
    </row>
    <row r="77" spans="1:60" x14ac:dyDescent="0.25">
      <c r="A77" s="19">
        <f t="shared" si="9"/>
        <v>71</v>
      </c>
      <c r="B77" s="39"/>
      <c r="C77" s="39"/>
      <c r="D77" s="15" t="str">
        <f>IF(AND(B77&lt;&gt;"",C77&lt;&gt;""),ROUND(B77,3)+ROUND(D76,3)-ROUND(C77,3),IF(AND(EXACT(UPPER(A77),"TBM"),B77&lt;&gt;""),ROUND(B77,3),IF(B77="",D76,IF(ISNA(VLOOKUP(A77,A6:E76,5,FALSE)),"",ROUND(VLOOKUP(A77,A6:E76,5,FALSE),0)/1000+ROUND(B77,3)))))</f>
        <v/>
      </c>
      <c r="E77" s="21" t="str">
        <f t="shared" si="6"/>
        <v/>
      </c>
      <c r="F77" s="45" t="str">
        <f>IF(AND(NOT(ISNA(VLOOKUP(A77,A6:E76,5,FALSE))),B77="",C77&lt;&gt;""),ROUND((VLOOKUP(A77,A6:E76,5,FALSE)-E77)/1000,3),"")</f>
        <v/>
      </c>
      <c r="G77" s="19">
        <f t="shared" si="7"/>
        <v>171</v>
      </c>
      <c r="H77" s="39"/>
      <c r="I77" s="39"/>
      <c r="J77" s="15" t="str">
        <f>IF(AND(H77&lt;&gt;"",I77&lt;&gt;""),ROUND(H77,3)+ROUND(J76,3)-ROUND(I77,3),IF(AND(EXACT(UPPER(G77),"TBM"),H77&lt;&gt;""),ROUND(H77,3),IF(H77="",J76,IF(ISNA(VLOOKUP(G77,A6:E105,5,FALSE)),IF(ISNA(VLOOKUP(G77,G6:K76,5,FALSE)),"",ROUND(VLOOKUP(G77,G6:K76,5,FALSE),0)/1000+ROUND(H77,3)),ROUND(VLOOKUP(G77,A6:E105,5,FALSE),0)/1000+ROUND(H77,3)))))</f>
        <v/>
      </c>
      <c r="K77" s="18" t="str">
        <f t="shared" si="8"/>
        <v/>
      </c>
      <c r="L77" s="45" t="str">
        <f>IF(AND(NOT(ISNA(VLOOKUP(G77,A6:E105,5,FALSE))),H77="",I77&lt;&gt;""),ROUND((VLOOKUP(G77,A6:E105,5,FALSE)-K77)/1000,3),IF(AND(NOT(ISNA(VLOOKUP(G77,G6:K76,5,FALSE))),H77="",I77&lt;&gt;""),ROUND((VLOOKUP(G77,G6:K76,5,FALSE)-K77)/1000,3),""))</f>
        <v/>
      </c>
      <c r="M77" s="19">
        <f>IF(M76="","",M76+1)</f>
        <v>271</v>
      </c>
      <c r="N77" s="39"/>
      <c r="O77" s="39"/>
      <c r="P77" s="15" t="str">
        <f>IF(AND(N77&lt;&gt;"",O77&lt;&gt;""),ROUND(N77,3)+ROUND(P76,3)-ROUND(O77,3),IF(AND(EXACT(UPPER(M77),"TBM"),N77&lt;&gt;""),ROUND(N77,3),IF(N77="",P76,IF(ISNA(VLOOKUP(M77,A6:E105,5,FALSE)),IF(ISNA(VLOOKUP(M77,G6:K105,5,FALSE)),IF(ISNA(VLOOKUP(M77,M6:Q76,5,FALSE)),"",ROUND(VLOOKUP(M77,M6:Q76,5,FALSE),0)/1000+ROUND(N77,3)),ROUND(VLOOKUP(M77,G6:K105,5,FALSE),0)/1000+ROUND(N77,3)),ROUND(VLOOKUP(M77,A6:E105,5,FALSE),0)/1000+ROUND(N77,3)))))</f>
        <v/>
      </c>
      <c r="Q77" s="18" t="str">
        <f>IF(OR(NOT(EXACT(UPPER(M77),"TBM")),N77=""),IF(AND(N77&lt;&gt;"",O77="",P77&lt;&gt;""),"",IF(AND(N77="",O77&lt;&gt;"",P77&lt;&gt;""),ROUND(ROUND(P77,3)-ROUND(O77,3),3)*1000,IF(AND(N77&lt;&gt;"",O77&lt;&gt;"",P77&lt;&gt;""),ROUND(ROUND(P76,3)-ROUND(O77,3),3)*1000,""))),"")</f>
        <v/>
      </c>
      <c r="R77" s="45" t="str">
        <f>IF(AND(NOT(ISNA(VLOOKUP(M77,A6:E105,5,FALSE))),N77="",O77&lt;&gt;""),ROUND((VLOOKUP(M77,A6:E105,5,FALSE)-Q77)/1000,3),IF(AND(NOT(ISNA(VLOOKUP(M77,G6:K105,5,FALSE))),N77="",O77&lt;&gt;""),ROUND((VLOOKUP(M77,G6:K105,5,FALSE)-Q77)/1000,3),IF(AND(NOT(ISNA(VLOOKUP(M77,M6:Q76,5,FALSE))),N77="",O77&lt;&gt;""),ROUND((VLOOKUP(M77,M6:Q76,5,FALSE)-Q77)/1000,3),"")))</f>
        <v/>
      </c>
      <c r="S77" s="19">
        <f>IF(S76="","",S76+1)</f>
        <v>371</v>
      </c>
      <c r="T77" s="39"/>
      <c r="U77" s="39"/>
      <c r="V77" s="15" t="str">
        <f>IF(AND(T77&lt;&gt;"",U77&lt;&gt;""),ROUND(T77,3)+ROUND(V76,3)-ROUND(U77,3),IF(AND(EXACT(UPPER(S77),"TBM"),T77&lt;&gt;""),ROUND(T77,3),IF(T77="",V76,IF(ISNA(VLOOKUP(S77,A6:E105,5,FALSE)),IF(ISNA(VLOOKUP(S77,G6:K105,5,FALSE)),IF(ISNA(VLOOKUP(S77,M6:Q105,5,FALSE)),IF(ISNA(VLOOKUP(S77,S6:W76,5,FALSE)),"",ROUND(VLOOKUP(S77,S6:W76,5,FALSE),0)/1000+ROUND(T77,3)),ROUND(VLOOKUP(S77,M6:Q105,5,FALSE),0)/1000+ROUND(T77,3)),ROUND(VLOOKUP(S77,G6:K105,5,FALSE),0)/1000+ROUND(T77,3)),ROUND(VLOOKUP(S77,A6:E105,5,FALSE),0)/1000+ROUND(T77,3)))))</f>
        <v/>
      </c>
      <c r="W77" s="18" t="str">
        <f>IF(OR(NOT(EXACT(UPPER(S77),"TBM")),T77=""),IF(AND(T77&lt;&gt;"",U77="",V77&lt;&gt;""),"",IF(AND(T77="",U77&lt;&gt;"",V77&lt;&gt;""),ROUND(ROUND(V77,3)-ROUND(U77,3),3)*1000,IF(AND(T77&lt;&gt;"",U77&lt;&gt;"",V77&lt;&gt;""),ROUND(ROUND(V76,3)-ROUND(U77,3),3)*1000,""))),"")</f>
        <v/>
      </c>
      <c r="X77" s="45" t="str">
        <f>IF(AND(NOT(ISNA(VLOOKUP(S77,A6:E105,5,FALSE))),T77="",U77&lt;&gt;""),ROUND((VLOOKUP(S77,A6:E105,5,FALSE)-W77)/1000,3),IF(AND(NOT(ISNA(VLOOKUP(S77,G6:K105,5,FALSE))),T77="",U77&lt;&gt;""),ROUND((VLOOKUP(S77,G6:K105,5,FALSE)-W77)/1000,3),IF(AND(NOT(ISNA(VLOOKUP(S77,M6:Q105,5,FALSE))),T77="",U77&lt;&gt;""),ROUND((VLOOKUP(S77,M6:Q105,5,FALSE)-W77)/1000,3),IF(AND(NOT(ISNA(VLOOKUP(S77,S6:W76,5,FALSE))),T77="",U77&lt;&gt;""),ROUND((VLOOKUP(S77,S6:W76,5,FALSE)-W77)/1000,3),""))))</f>
        <v/>
      </c>
      <c r="Y77" s="19">
        <f>IF(Y76="","",Y76+1)</f>
        <v>471</v>
      </c>
      <c r="Z77" s="39"/>
      <c r="AA77" s="39"/>
      <c r="AB77" s="15" t="str">
        <f>IF(AND(Z77&lt;&gt;"",AA77&lt;&gt;""),ROUND(Z77,3)+ROUND(AB76,3)-ROUND(AA77,3),IF(AND(EXACT(UPPER(Y77),"TBM"),Z77&lt;&gt;""),ROUND(Z77,3),IF(Z77="",AB76,IF(ISNA(VLOOKUP(Y77,A6:E105,5,FALSE)),IF(ISNA(VLOOKUP(Y77,G6:K105,5,FALSE)),IF(ISNA(VLOOKUP(Y77,M6:Q105,5,FALSE)),IF(ISNA(VLOOKUP(Y77,S6:W105,5,FALSE)),IF(ISNA(VLOOKUP(Y77,Y6:AC76,5,FALSE)),"",ROUND(VLOOKUP(Y77,Y6:AC76,5,FALSE),0)/1000+ROUND(Z77,3)),ROUND(VLOOKUP(Y77,S6:W105,5,FALSE),0)/1000+ROUND(Z77,3)),ROUND(VLOOKUP(Y77,M6:Q105,5,FALSE),0)/1000+ROUND(Z77,3)),ROUND(VLOOKUP(Y77,G6:K105,5,FALSE),0)/1000+ROUND(Z77,3)),ROUND(VLOOKUP(Y77,A6:E105,5,FALSE),0)/1000+ROUND(Z77,3)))))</f>
        <v/>
      </c>
      <c r="AC77" s="18" t="str">
        <f>IF(OR(NOT(EXACT(UPPER(Y77),"TBM")),Z77=""),IF(AND(Z77&lt;&gt;"",AA77="",AB77&lt;&gt;""),"",IF(AND(Z77="",AA77&lt;&gt;"",AB77&lt;&gt;""),ROUND(ROUND(AB77,3)-ROUND(AA77,3),3)*1000,IF(AND(Z77&lt;&gt;"",AA77&lt;&gt;"",AB77&lt;&gt;""),ROUND(ROUND(AB76,3)-ROUND(AA77,3),3)*1000,""))),"")</f>
        <v/>
      </c>
      <c r="AD77" s="45" t="str">
        <f>IF(AND(NOT(ISNA(VLOOKUP(Y77,A6:E105,5,FALSE))),Z77="",AA77&lt;&gt;""),ROUND((VLOOKUP(Y77,A6:E105,5,FALSE)-AC77)/1000,3),IF(AND(NOT(ISNA(VLOOKUP(Y77,G6:K105,5,FALSE))),Z77="",AA77&lt;&gt;""),ROUND((VLOOKUP(Y77,G6:K105,5,FALSE)-AC77)/1000,3),IF(AND(NOT(ISNA(VLOOKUP(Y77,M6:Q105,5,FALSE))),Z77="",AA77&lt;&gt;""),ROUND((VLOOKUP(Y77,M6:Q105,5,FALSE)-AC77)/1000,3),IF(AND(NOT(ISNA(VLOOKUP(Y77,S6:W105,5,FALSE))),Z77="",AA77&lt;&gt;""),ROUND((VLOOKUP(Y77,S6:W105,5,FALSE)-AC77)/1000,3),IF(AND(NOT(ISNA(VLOOKUP(Y77,Y6:AC76,5,FALSE))),Z77="",AA77&lt;&gt;""),ROUND((VLOOKUP(Y77,Y6:AC76,5,FALSE)-AC77)/1000,3),"")))))</f>
        <v/>
      </c>
      <c r="AE77" s="19">
        <f>IF(AE76="","",AE76+1)</f>
        <v>571</v>
      </c>
      <c r="AF77" s="39"/>
      <c r="AG77" s="39"/>
      <c r="AH77" s="15" t="str">
        <f>IF(AND(AF77&lt;&gt;"",AG77&lt;&gt;""),ROUND(AF77,3)+ROUND(AH76,3)-ROUND(AG77,3),IF(AND(EXACT(UPPER(AE77),"TBM"),AF77&lt;&gt;""),ROUND(AF77,3),IF(AF77="",AH76,IF(ISNA(VLOOKUP(AE77,A6:E105,5,FALSE)),IF(ISNA(VLOOKUP(AE77,G6:K105,5,FALSE)),IF(ISNA(VLOOKUP(AE77,M6:Q105,5,FALSE)),IF(ISNA(VLOOKUP(AE77,S6:W105,5,FALSE)),IF(ISNA(VLOOKUP(AE77,Y6:AC105,5,FALSE)),IF(ISNA(VLOOKUP(AE77,AE6:AI76,5,FALSE)),"",ROUND(VLOOKUP(AE77,AE6:AI76,5,FALSE),0)/1000+ROUND(AF77,3)),ROUND(VLOOKUP(AE77,Y6:AC105,5,FALSE),0)/1000+ROUND(AF77,3)),ROUND(VLOOKUP(AE77,S6:W105,5,FALSE),0)/1000+ROUND(AF77,3)),ROUND(VLOOKUP(AE77,M6:Q105,5,FALSE),0)/1000+ROUND(AF77,3)),ROUND(VLOOKUP(AE77,G6:K105,5,FALSE),0)/1000+ROUND(AF77,3)),ROUND(VLOOKUP(AE77,A6:E105,5,FALSE),0)/1000+ROUND(AF77,3)))))</f>
        <v/>
      </c>
      <c r="AI77" s="18" t="str">
        <f>IF(OR(NOT(EXACT(UPPER(AE77),"TBM")),AF77=""),IF(AND(AF77&lt;&gt;"",AG77="",AH77&lt;&gt;""),"",IF(AND(AF77="",AG77&lt;&gt;"",AH77&lt;&gt;""),ROUND(ROUND(AH77,3)-ROUND(AG77,3),3)*1000,IF(AND(AF77&lt;&gt;"",AG77&lt;&gt;"",AH77&lt;&gt;""),ROUND(ROUND(AH76,3)-ROUND(AG77,3),3)*1000,""))),"")</f>
        <v/>
      </c>
      <c r="AJ77" s="45" t="str">
        <f>IF(AND(NOT(ISNA(VLOOKUP(AE77,A6:E105,5,FALSE))),AF77="",AG77&lt;&gt;""),ROUND((VLOOKUP(AE77,A6:E105,5,FALSE)-AI77)/1000,3),IF(AND(NOT(ISNA(VLOOKUP(AE77,G6:K105,5,FALSE))),AF77="",AG77&lt;&gt;""),ROUND((VLOOKUP(AE77,G6:K105,5,FALSE)-AI77)/1000,3),IF(AND(NOT(ISNA(VLOOKUP(AE77,M6:Q105,5,FALSE))),AF77="",AG77&lt;&gt;""),ROUND((VLOOKUP(AE77,M6:Q105,5,FALSE)-AI77)/1000,3),IF(AND(NOT(ISNA(VLOOKUP(AE77,S6:W105,5,FALSE))),AF77="",AG77&lt;&gt;""),ROUND((VLOOKUP(AE77,S6:W105,5,FALSE)-AI77)/1000,3),IF(AND(NOT(ISNA(VLOOKUP(AE77,Y6:AC105,5,FALSE))),AF77="",AG77&lt;&gt;""),ROUND((VLOOKUP(AE77,Y6:AC105,5,FALSE)-AI77)/1000,3),IF(AND(NOT(ISNA(VLOOKUP(AE77,AE6:AI76,5,FALSE))),AF77="",AG77&lt;&gt;""),ROUND((VLOOKUP(AE77,AE6:AI76,5,FALSE)-AI77)/1000,3),""))))))</f>
        <v/>
      </c>
      <c r="AK77" s="19">
        <f>IF(AK76="","",AK76+1)</f>
        <v>671</v>
      </c>
      <c r="AL77" s="39"/>
      <c r="AM77" s="39"/>
      <c r="AN77" s="15" t="str">
        <f>IF(AND(AL77&lt;&gt;"",AM77&lt;&gt;""),ROUND(AL77,3)+ROUND(AN76,3)-ROUND(AM77,3),IF(AND(EXACT(UPPER(AK77),"TBM"),AL77&lt;&gt;""),ROUND(AL77,3),IF(AL77="",AN76,IF(ISNA(VLOOKUP(AK77,A6:E105,5,FALSE)),IF(ISNA(VLOOKUP(AK77,G6:K105,5,FALSE)),IF(ISNA(VLOOKUP(AK77,M6:Q105,5,FALSE)),IF(ISNA(VLOOKUP(AK77,S6:W105,5,FALSE)),IF(ISNA(VLOOKUP(AK77,Y6:AC105,5,FALSE)),IF(ISNA(VLOOKUP(AK77,AE6:AI105,5,FALSE)),IF(ISNA(VLOOKUP(AK77,AK6:AO76,5,FALSE)),"",ROUND(VLOOKUP(AK77,AK6:AO76,5,FALSE),0)/1000+ROUND(AL77,3)),ROUND(VLOOKUP(AK77,AE6:AI105,5,FALSE),0)/1000+ROUND(AL77,3)),ROUND(VLOOKUP(AK77,Y6:AC105,5,FALSE),0)/1000+ROUND(AL77,3)),ROUND(VLOOKUP(AK77,S6:W105,5,FALSE),0)/1000+ROUND(AL77,3)),ROUND(VLOOKUP(AK77,M6:Q105,5,FALSE),0)/1000+ROUND(AL77,3)),ROUND(VLOOKUP(AK77,G6:K105,5,FALSE),0)/1000+ROUND(AL77,3)),ROUND(VLOOKUP(AK77,A6:E105,5,FALSE),0)/1000+ROUND(AL77,3)))))</f>
        <v/>
      </c>
      <c r="AO77" s="18" t="str">
        <f>IF(OR(NOT(EXACT(UPPER(AK77),"TBM")),AL77=""),IF(AND(AL77&lt;&gt;"",AM77="",AN77&lt;&gt;""),"",IF(AND(AL77="",AM77&lt;&gt;"",AN77&lt;&gt;""),ROUND(ROUND(AN77,3)-ROUND(AM77,3),3)*1000,IF(AND(AL77&lt;&gt;"",AM77&lt;&gt;"",AN77&lt;&gt;""),ROUND(ROUND(AN76,3)-ROUND(AM77,3),3)*1000,""))),"")</f>
        <v/>
      </c>
      <c r="AP77" s="45" t="str">
        <f>IF(AND(NOT(ISNA(VLOOKUP(AK77,A6:E105,5,FALSE))),AL77="",AM77&lt;&gt;""),ROUND((VLOOKUP(AK77,A6:E105,5,FALSE)-AO77)/1000,3),IF(AND(NOT(ISNA(VLOOKUP(AK77,G6:K105,5,FALSE))),AL77="",AM77&lt;&gt;""),ROUND((VLOOKUP(AK77,G6:K105,5,FALSE)-AO77)/1000,3),IF(AND(NOT(ISNA(VLOOKUP(AK77,M6:Q105,5,FALSE))),AL77="",AM77&lt;&gt;""),ROUND((VLOOKUP(AK77,M6:Q105,5,FALSE)-AO77)/1000,3),IF(AND(NOT(ISNA(VLOOKUP(AK77,S6:W105,5,FALSE))),AL77="",AM77&lt;&gt;""),ROUND((VLOOKUP(AK77,S6:W105,5,FALSE)-AO77)/1000,3),IF(AND(NOT(ISNA(VLOOKUP(AK77,Y6:AC105,5,FALSE))),AL77="",AM77&lt;&gt;""),ROUND((VLOOKUP(AK77,Y6:AC105,5,FALSE)-AO77)/1000,3),IF(AND(NOT(ISNA(VLOOKUP(AK77,AE6:AI105,5,FALSE))),AL77="",AM77&lt;&gt;""),ROUND((VLOOKUP(AK77,AE6:AI105,5,FALSE)-AO77)/1000,3),IF(AND(NOT(ISNA(VLOOKUP(AK77,AK6:AO76,5,FALSE))),AL77="",AM77&lt;&gt;""),ROUND((VLOOKUP(AK77,AK6:AO76,5,FALSE)-AO77)/1000,3),"")))))))</f>
        <v/>
      </c>
      <c r="AQ77" s="19">
        <f>IF(AQ76="","",AQ76+1)</f>
        <v>771</v>
      </c>
      <c r="AR77" s="39"/>
      <c r="AS77" s="39"/>
      <c r="AT77" s="15" t="str">
        <f>IF(AND(AR77&lt;&gt;"",AS77&lt;&gt;""),ROUND(AR77,3)+ROUND(AT76,3)-ROUND(AS77,3),IF(AND(EXACT(UPPER(AQ77),"TBM"),AR77&lt;&gt;""),ROUND(AR77,3),IF(AR77="",AT76,IF(ISNA(VLOOKUP(AQ77,A6:E105,5,FALSE)),IF(ISNA(VLOOKUP(AQ77,G6:K105,5,FALSE)),IF(ISNA(VLOOKUP(AQ77,M6:Q105,5,FALSE)),IF(ISNA(VLOOKUP(AQ77,S6:W105,5,FALSE)),IF(ISNA(VLOOKUP(AQ77,Y6:AC105,5,FALSE)),IF(ISNA(VLOOKUP(AQ77,AE6:AI105,5,FALSE)),IF(ISNA(VLOOKUP(AQ77,AK6:AO105,5,FALSE)),IF(ISNA(VLOOKUP(AQ77,AQ6:AU76,5,FALSE)),"",ROUND(VLOOKUP(AQ77,AQ6:AU76,5,FALSE),0)/1000+ROUND(AR77,3)),ROUND(VLOOKUP(AQ77,AK6:AO105,5,FALSE),0)/1000+ROUND(AR77,3)),ROUND(VLOOKUP(AQ77,AE6:AI105,5,FALSE),0)/1000+ROUND(AR77,3)),ROUND(VLOOKUP(AQ77,Y6:AC105,5,FALSE),0)/1000+ROUND(AR77,3)),ROUND(VLOOKUP(AQ77,S6:W105,5,FALSE),0)/1000+ROUND(AR77,3)),ROUND(VLOOKUP(AQ77,M6:Q105,5,FALSE),0)/1000+ROUND(AR77,3)),ROUND(VLOOKUP(AQ77,G6:K105,5,FALSE),0)/1000+ROUND(AR77,3)),ROUND(VLOOKUP(AQ77,A6:E105,5,FALSE),0)/1000+ROUND(AR77,3)))))</f>
        <v/>
      </c>
      <c r="AU77" s="18" t="str">
        <f>IF(OR(NOT(EXACT(UPPER(AQ77),"TBM")),AR77=""),IF(AND(AR77&lt;&gt;"",AS77="",AT77&lt;&gt;""),"",IF(AND(AR77="",AS77&lt;&gt;"",AT77&lt;&gt;""),ROUND(ROUND(AT77,3)-ROUND(AS77,3),3)*1000,IF(AND(AR77&lt;&gt;"",AS77&lt;&gt;"",AT77&lt;&gt;""),ROUND(ROUND(AT76,3)-ROUND(AS77,3),3)*1000,""))),"")</f>
        <v/>
      </c>
      <c r="AV77" s="45" t="str">
        <f>IF(AND(NOT(ISNA(VLOOKUP(AQ77,A6:E105,5,FALSE))),AR77="",AS77&lt;&gt;""),ROUND((VLOOKUP(AQ77,A6:E105,5,FALSE)-AU77)/1000,3),IF(AND(NOT(ISNA(VLOOKUP(AQ77,G6:K105,5,FALSE))),AR77="",AS77&lt;&gt;""),ROUND((VLOOKUP(AQ77,G6:K105,5,FALSE)-AU77)/1000,3),IF(AND(NOT(ISNA(VLOOKUP(AQ77,M6:Q105,5,FALSE))),AR77="",AS77&lt;&gt;""),ROUND((VLOOKUP(AQ77,M6:Q105,5,FALSE)-AU77)/1000,3),IF(AND(NOT(ISNA(VLOOKUP(AQ77,S6:W105,5,FALSE))),AR77="",AS77&lt;&gt;""),ROUND((VLOOKUP(AQ77,S6:W105,5,FALSE)-AU77)/1000,3),IF(AND(NOT(ISNA(VLOOKUP(AQ77,Y6:AC105,5,FALSE))),AR77="",AS77&lt;&gt;""),ROUND((VLOOKUP(AQ77,Y6:AC105,5,FALSE)-AU77)/1000,3),IF(AND(NOT(ISNA(VLOOKUP(AQ77,AE6:AI105,5,FALSE))),AR77="",AS77&lt;&gt;""),ROUND((VLOOKUP(AQ77,AE6:AI105,5,FALSE)-AU77)/1000,3),IF(AND(NOT(ISNA(VLOOKUP(AQ77,AK6:AO105,5,FALSE))),AR77="",AS77&lt;&gt;""),ROUND((VLOOKUP(AQ77,AK6:AO105,5,FALSE)-AU77)/1000,3),IF(AND(NOT(ISNA(VLOOKUP(AQ77,AQ6:AU76,5,FALSE))),AR77="",AS77&lt;&gt;""),ROUND((VLOOKUP(AQ77,AQ6:AU76,5,FALSE)-AU77)/1000,3),""))))))))</f>
        <v/>
      </c>
      <c r="AW77" s="19">
        <f>IF(AW76="","",AW76+1)</f>
        <v>871</v>
      </c>
      <c r="AX77" s="39"/>
      <c r="AY77" s="39"/>
      <c r="AZ77" s="15" t="str">
        <f>IF(AND(AX77&lt;&gt;"",AY77&lt;&gt;""),ROUND(AX77,3)+ROUND(AZ76,3)-ROUND(AY77,3),IF(AND(EXACT(UPPER(AW77),"TBM"),AX77&lt;&gt;""),ROUND(AX77,3),IF(AX77="",AZ76,IF(ISNA(VLOOKUP(AW77,A6:E105,5,FALSE)),IF(ISNA(VLOOKUP(AW77,G6:K105,5,FALSE)),IF(ISNA(VLOOKUP(AW77,M6:Q105,5,FALSE)),IF(ISNA(VLOOKUP(AW77,S6:W105,5,FALSE)),IF(ISNA(VLOOKUP(AW77,Y6:AC105,5,FALSE)),IF(ISNA(VLOOKUP(AW77,AE6:AI105,5,FALSE)),IF(ISNA(VLOOKUP(AW77,AK6:AO105,5,FALSE)),IF(ISNA(VLOOKUP(AW77,AQ6:AU105,5,FALSE)),IF(ISNA(VLOOKUP(AW77,AW6:BA76,5,FALSE)),"",ROUND(VLOOKUP(AW77,AW6:BA76,5,FALSE),0)/1000+ROUND(AX77,3)),ROUND(VLOOKUP(AW77,AQ6:AU105,5,FALSE),0)/1000+ROUND(AX77,3)),ROUND(VLOOKUP(AW77,AK6:AO105,5,FALSE),0)/1000+ROUND(AX77,3)),ROUND(VLOOKUP(AW77,AE6:AI105,5,FALSE),0)/1000+ROUND(AX77,3)),ROUND(VLOOKUP(AW77,Y6:AC105,5,FALSE),0)/1000+ROUND(AX77,3)),ROUND(VLOOKUP(AW77,S6:W105,5,FALSE),0)/1000+ROUND(AX77,3)),ROUND(VLOOKUP(AW77,M6:Q105,5,FALSE),0)/1000+ROUND(AX77,3)),ROUND(VLOOKUP(AW77,G6:K105,5,FALSE),0)/1000+ROUND(AX77,3)),ROUND(VLOOKUP(AW77,A6:E105,5,FALSE),0)/1000+ROUND(AX77,3)))))</f>
        <v/>
      </c>
      <c r="BA77" s="18" t="str">
        <f>IF(OR(NOT(EXACT(UPPER(AW77),"TBM")),AX77=""),IF(AND(AX77&lt;&gt;"",AY77="",AZ77&lt;&gt;""),"",IF(AND(AX77="",AY77&lt;&gt;"",AZ77&lt;&gt;""),ROUND(ROUND(AZ77,3)-ROUND(AY77,3),3)*1000,IF(AND(AX77&lt;&gt;"",AY77&lt;&gt;"",AZ77&lt;&gt;""),ROUND(ROUND(AZ76,3)-ROUND(AY77,3),3)*1000,""))),"")</f>
        <v/>
      </c>
      <c r="BB77" s="45" t="str">
        <f>IF(AND(NOT(ISNA(VLOOKUP(AW77,A6:E105,5,FALSE))),AX77="",AY77&lt;&gt;""),ROUND((VLOOKUP(AW77,A6:E105,5,FALSE)-BA77)/1000,3),IF(AND(NOT(ISNA(VLOOKUP(AW77,G6:K105,5,FALSE))),AX77="",AY77&lt;&gt;""),ROUND((VLOOKUP(AW77,G6:K105,5,FALSE)-BA77)/1000,3),IF(AND(NOT(ISNA(VLOOKUP(AW77,M6:Q105,5,FALSE))),AX77="",AY77&lt;&gt;""),ROUND((VLOOKUP(AW77,M6:Q105,5,FALSE)-BA77)/1000,3),IF(AND(NOT(ISNA(VLOOKUP(AW77,S6:W105,5,FALSE))),AX77="",AY77&lt;&gt;""),ROUND((VLOOKUP(AW77,S6:W105,5,FALSE)-BA77)/1000,3),IF(AND(NOT(ISNA(VLOOKUP(AW77,Y6:AC105,5,FALSE))),AX77="",AY77&lt;&gt;""),ROUND((VLOOKUP(AW77,Y6:AC105,5,FALSE)-BA77)/1000,3),IF(AND(NOT(ISNA(VLOOKUP(AW77,AE6:AI105,5,FALSE))),AX77="",AY77&lt;&gt;""),ROUND((VLOOKUP(AW77,AE6:AI105,5,FALSE)-BA77)/1000,3),IF(AND(NOT(ISNA(VLOOKUP(AW77,AK6:AO105,5,FALSE))),AX77="",AY77&lt;&gt;""),ROUND((VLOOKUP(AW77,AK6:AO105,5,FALSE)-BA77)/1000,3),IF(AND(NOT(ISNA(VLOOKUP(AW77,AQ6:AU105,5,FALSE))),AX77="",AY77&lt;&gt;""),ROUND((VLOOKUP(AW77,AQ6:AU105,5,FALSE)-BA77)/1000,3),IF(AND(NOT(ISNA(VLOOKUP(AW77,AW6:BA76,5,FALSE))),AX77="",AY77&lt;&gt;""),ROUND((VLOOKUP(AW77,AW6:BA76,5,FALSE)-BA77)/1000,3),"")))))))))</f>
        <v/>
      </c>
      <c r="BC77" s="19">
        <f>IF(BC76="","",BC76+1)</f>
        <v>971</v>
      </c>
      <c r="BD77" s="39"/>
      <c r="BE77" s="39"/>
      <c r="BF77" s="15" t="str">
        <f>IF(AND(BD77&lt;&gt;"",BE77&lt;&gt;""),ROUND(BD77,3)+ROUND(BF76,3)-ROUND(BE77,3),IF(AND(EXACT(UPPER(BC77),"TBM"),BD77&lt;&gt;""),ROUND(BD77,3),IF(BD77="",BF76,IF(ISNA(VLOOKUP(BC77,A6:E105,5,FALSE)),IF(ISNA(VLOOKUP(BC77,G6:K105,5,FALSE)),IF(ISNA(VLOOKUP(BC77,M6:Q105,5,FALSE)),IF(ISNA(VLOOKUP(BC77,S6:W105,5,FALSE)),IF(ISNA(VLOOKUP(BC77,Y6:AC105,5,FALSE)),IF(ISNA(VLOOKUP(BC77,AE6:AI105,5,FALSE)),IF(ISNA(VLOOKUP(BC77,AK6:AO105,5,FALSE)),IF(ISNA(VLOOKUP(BC77,AQ6:AU105,5,FALSE)),IF(ISNA(VLOOKUP(BC77,AW6:BA105,5,FALSE)),IF(ISNA(VLOOKUP(BC77,BC6:BG76,5,FALSE)),"",ROUND(VLOOKUP(BC77,BC6:BG76,5,FALSE),0)/1000+ROUND(BD77,3)),ROUND(VLOOKUP(BC77,AW6:BA105,5,FALSE),0)/1000+ROUND(BD77,3)),ROUND(VLOOKUP(BC77,AQ6:AU105,5,FALSE),0)/1000+ROUND(BD77,3)),ROUND(VLOOKUP(BC77,AK6:AO105,5,FALSE),0)/1000+ROUND(BD77,3)),ROUND(VLOOKUP(BC77,AE6:AI105,5,FALSE),0)/1000+ROUND(BD77,3)),ROUND(VLOOKUP(BC77,Y6:AC105,5,FALSE),0)/1000+ROUND(BD77,3)),ROUND(VLOOKUP(BC77,S6:W105,5,FALSE),0)/1000+ROUND(BD77,3)),ROUND(VLOOKUP(BC77,M6:Q105,5,FALSE),0)/1000+ROUND(BD77,3)),ROUND(VLOOKUP(BC77,G6:K105,5,FALSE),0)/1000+ROUND(BD77,3)),ROUND(VLOOKUP(BC77,A6:E105,5,FALSE),0)/1000+ROUND(BD77,3)))))</f>
        <v/>
      </c>
      <c r="BG77" s="18" t="str">
        <f>IF(OR(NOT(EXACT(UPPER(BC77),"TBM")),BD77=""),IF(AND(BD77&lt;&gt;"",BE77="",BF77&lt;&gt;""),"",IF(AND(BD77="",BE77&lt;&gt;"",BF77&lt;&gt;""),ROUND(ROUND(BF77,3)-ROUND(BE77,3),3)*1000,IF(AND(BD77&lt;&gt;"",BE77&lt;&gt;"",BF77&lt;&gt;""),ROUND(ROUND(BF76,3)-ROUND(BE77,3),3)*1000,""))),"")</f>
        <v/>
      </c>
      <c r="BH77" s="45" t="str">
        <f>IF(AND(NOT(ISNA(VLOOKUP(BC77,A6:E105,5,FALSE))),BD77="",BE77&lt;&gt;""),ROUND((VLOOKUP(BC77,A6:E105,5,FALSE)-BG77)/1000,3),IF(AND(NOT(ISNA(VLOOKUP(BC77,G6:K105,5,FALSE))),BD77="",BE77&lt;&gt;""),ROUND((VLOOKUP(BC77,G6:K105,5,FALSE)-BG77)/1000,3),IF(AND(NOT(ISNA(VLOOKUP(BC77,M6:Q105,5,FALSE))),BD77="",BE77&lt;&gt;""),ROUND((VLOOKUP(BC77,M6:Q105,5,FALSE)-BG77)/1000,3),IF(AND(NOT(ISNA(VLOOKUP(BC77,S6:W105,5,FALSE))),BD77="",BE77&lt;&gt;""),ROUND((VLOOKUP(BC77,S6:W105,5,FALSE)-BG77)/1000,3),IF(AND(NOT(ISNA(VLOOKUP(BC77,Y6:AC105,5,FALSE))),BD77="",BE77&lt;&gt;""),ROUND((VLOOKUP(BC77,Y6:AC105,5,FALSE)-BG77)/1000,3),IF(AND(NOT(ISNA(VLOOKUP(BC77,AE6:AI105,5,FALSE))),BD77="",BE77&lt;&gt;""),ROUND((VLOOKUP(BC77,AE6:AI105,5,FALSE)-BG77)/1000,3),IF(AND(NOT(ISNA(VLOOKUP(BC77,AK6:AO105,5,FALSE))),BD77="",BE77&lt;&gt;""),ROUND((VLOOKUP(BC77,AK6:AO105,5,FALSE)-BG77)/1000,3),IF(AND(NOT(ISNA(VLOOKUP(BC77,AQ6:AU105,5,FALSE))),BD77="",BE77&lt;&gt;""),ROUND((VLOOKUP(BC77,AQ6:AU105,5,FALSE)-BG77)/1000,3),IF(AND(NOT(ISNA(VLOOKUP(BC77,AW6:BA105,5,FALSE))),BD77="",BE77&lt;&gt;""),ROUND((VLOOKUP(BC77,AW6:BA105,5,FALSE)-BG77)/1000,3),IF(AND(NOT(ISNA(VLOOKUP(BC77,BC6:BG76,5,FALSE))),BD77="",BE77&lt;&gt;""),ROUND((VLOOKUP(BC77,BC6:BG76,5,FALSE)-BG77)/1000,3),""))))))))))</f>
        <v/>
      </c>
    </row>
    <row r="78" spans="1:60" x14ac:dyDescent="0.25">
      <c r="A78" s="19">
        <f t="shared" si="9"/>
        <v>72</v>
      </c>
      <c r="B78" s="39"/>
      <c r="C78" s="39"/>
      <c r="D78" s="15" t="str">
        <f>IF(AND(B78&lt;&gt;"",C78&lt;&gt;""),ROUND(B78,3)+ROUND(D77,3)-ROUND(C78,3),IF(AND(EXACT(UPPER(A78),"TBM"),B78&lt;&gt;""),ROUND(B78,3),IF(B78="",D77,IF(ISNA(VLOOKUP(A78,A6:E77,5,FALSE)),"",ROUND(VLOOKUP(A78,A6:E77,5,FALSE),0)/1000+ROUND(B78,3)))))</f>
        <v/>
      </c>
      <c r="E78" s="21" t="str">
        <f t="shared" si="6"/>
        <v/>
      </c>
      <c r="F78" s="45" t="str">
        <f>IF(AND(NOT(ISNA(VLOOKUP(A78,A6:E77,5,FALSE))),B78="",C78&lt;&gt;""),ROUND((VLOOKUP(A78,A6:E77,5,FALSE)-E78)/1000,3),"")</f>
        <v/>
      </c>
      <c r="G78" s="19">
        <f t="shared" si="7"/>
        <v>172</v>
      </c>
      <c r="H78" s="39"/>
      <c r="I78" s="39"/>
      <c r="J78" s="15" t="str">
        <f>IF(AND(H78&lt;&gt;"",I78&lt;&gt;""),ROUND(H78,3)+ROUND(J77,3)-ROUND(I78,3),IF(AND(EXACT(UPPER(G78),"TBM"),H78&lt;&gt;""),ROUND(H78,3),IF(H78="",J77,IF(ISNA(VLOOKUP(G78,A6:E105,5,FALSE)),IF(ISNA(VLOOKUP(G78,G6:K77,5,FALSE)),"",ROUND(VLOOKUP(G78,G6:K77,5,FALSE),0)/1000+ROUND(H78,3)),ROUND(VLOOKUP(G78,A6:E105,5,FALSE),0)/1000+ROUND(H78,3)))))</f>
        <v/>
      </c>
      <c r="K78" s="18" t="str">
        <f t="shared" si="8"/>
        <v/>
      </c>
      <c r="L78" s="45" t="str">
        <f>IF(AND(NOT(ISNA(VLOOKUP(G78,A6:E105,5,FALSE))),H78="",I78&lt;&gt;""),ROUND((VLOOKUP(G78,A6:E105,5,FALSE)-K78)/1000,3),IF(AND(NOT(ISNA(VLOOKUP(G78,G6:K77,5,FALSE))),H78="",I78&lt;&gt;""),ROUND((VLOOKUP(G78,G6:K77,5,FALSE)-K78)/1000,3),""))</f>
        <v/>
      </c>
      <c r="M78" s="19">
        <f>IF(M77="","",M77+1)</f>
        <v>272</v>
      </c>
      <c r="N78" s="39"/>
      <c r="O78" s="39"/>
      <c r="P78" s="15" t="str">
        <f>IF(AND(N78&lt;&gt;"",O78&lt;&gt;""),ROUND(N78,3)+ROUND(P77,3)-ROUND(O78,3),IF(AND(EXACT(UPPER(M78),"TBM"),N78&lt;&gt;""),ROUND(N78,3),IF(N78="",P77,IF(ISNA(VLOOKUP(M78,A6:E105,5,FALSE)),IF(ISNA(VLOOKUP(M78,G6:K105,5,FALSE)),IF(ISNA(VLOOKUP(M78,M6:Q77,5,FALSE)),"",ROUND(VLOOKUP(M78,M6:Q77,5,FALSE),0)/1000+ROUND(N78,3)),ROUND(VLOOKUP(M78,G6:K105,5,FALSE),0)/1000+ROUND(N78,3)),ROUND(VLOOKUP(M78,A6:E105,5,FALSE),0)/1000+ROUND(N78,3)))))</f>
        <v/>
      </c>
      <c r="Q78" s="18" t="str">
        <f>IF(OR(NOT(EXACT(UPPER(M78),"TBM")),N78=""),IF(AND(N78&lt;&gt;"",O78="",P78&lt;&gt;""),"",IF(AND(N78="",O78&lt;&gt;"",P78&lt;&gt;""),ROUND(ROUND(P78,3)-ROUND(O78,3),3)*1000,IF(AND(N78&lt;&gt;"",O78&lt;&gt;"",P78&lt;&gt;""),ROUND(ROUND(P77,3)-ROUND(O78,3),3)*1000,""))),"")</f>
        <v/>
      </c>
      <c r="R78" s="45" t="str">
        <f>IF(AND(NOT(ISNA(VLOOKUP(M78,A6:E105,5,FALSE))),N78="",O78&lt;&gt;""),ROUND((VLOOKUP(M78,A6:E105,5,FALSE)-Q78)/1000,3),IF(AND(NOT(ISNA(VLOOKUP(M78,G6:K105,5,FALSE))),N78="",O78&lt;&gt;""),ROUND((VLOOKUP(M78,G6:K105,5,FALSE)-Q78)/1000,3),IF(AND(NOT(ISNA(VLOOKUP(M78,M6:Q77,5,FALSE))),N78="",O78&lt;&gt;""),ROUND((VLOOKUP(M78,M6:Q77,5,FALSE)-Q78)/1000,3),"")))</f>
        <v/>
      </c>
      <c r="S78" s="19">
        <f>IF(S77="","",S77+1)</f>
        <v>372</v>
      </c>
      <c r="T78" s="39"/>
      <c r="U78" s="39"/>
      <c r="V78" s="15" t="str">
        <f>IF(AND(T78&lt;&gt;"",U78&lt;&gt;""),ROUND(T78,3)+ROUND(V77,3)-ROUND(U78,3),IF(AND(EXACT(UPPER(S78),"TBM"),T78&lt;&gt;""),ROUND(T78,3),IF(T78="",V77,IF(ISNA(VLOOKUP(S78,A6:E105,5,FALSE)),IF(ISNA(VLOOKUP(S78,G6:K105,5,FALSE)),IF(ISNA(VLOOKUP(S78,M6:Q105,5,FALSE)),IF(ISNA(VLOOKUP(S78,S6:W77,5,FALSE)),"",ROUND(VLOOKUP(S78,S6:W77,5,FALSE),0)/1000+ROUND(T78,3)),ROUND(VLOOKUP(S78,M6:Q105,5,FALSE),0)/1000+ROUND(T78,3)),ROUND(VLOOKUP(S78,G6:K105,5,FALSE),0)/1000+ROUND(T78,3)),ROUND(VLOOKUP(S78,A6:E105,5,FALSE),0)/1000+ROUND(T78,3)))))</f>
        <v/>
      </c>
      <c r="W78" s="18" t="str">
        <f>IF(OR(NOT(EXACT(UPPER(S78),"TBM")),T78=""),IF(AND(T78&lt;&gt;"",U78="",V78&lt;&gt;""),"",IF(AND(T78="",U78&lt;&gt;"",V78&lt;&gt;""),ROUND(ROUND(V78,3)-ROUND(U78,3),3)*1000,IF(AND(T78&lt;&gt;"",U78&lt;&gt;"",V78&lt;&gt;""),ROUND(ROUND(V77,3)-ROUND(U78,3),3)*1000,""))),"")</f>
        <v/>
      </c>
      <c r="X78" s="45" t="str">
        <f>IF(AND(NOT(ISNA(VLOOKUP(S78,A6:E105,5,FALSE))),T78="",U78&lt;&gt;""),ROUND((VLOOKUP(S78,A6:E105,5,FALSE)-W78)/1000,3),IF(AND(NOT(ISNA(VLOOKUP(S78,G6:K105,5,FALSE))),T78="",U78&lt;&gt;""),ROUND((VLOOKUP(S78,G6:K105,5,FALSE)-W78)/1000,3),IF(AND(NOT(ISNA(VLOOKUP(S78,M6:Q105,5,FALSE))),T78="",U78&lt;&gt;""),ROUND((VLOOKUP(S78,M6:Q105,5,FALSE)-W78)/1000,3),IF(AND(NOT(ISNA(VLOOKUP(S78,S6:W77,5,FALSE))),T78="",U78&lt;&gt;""),ROUND((VLOOKUP(S78,S6:W77,5,FALSE)-W78)/1000,3),""))))</f>
        <v/>
      </c>
      <c r="Y78" s="19">
        <f>IF(Y77="","",Y77+1)</f>
        <v>472</v>
      </c>
      <c r="Z78" s="39"/>
      <c r="AA78" s="39"/>
      <c r="AB78" s="15" t="str">
        <f>IF(AND(Z78&lt;&gt;"",AA78&lt;&gt;""),ROUND(Z78,3)+ROUND(AB77,3)-ROUND(AA78,3),IF(AND(EXACT(UPPER(Y78),"TBM"),Z78&lt;&gt;""),ROUND(Z78,3),IF(Z78="",AB77,IF(ISNA(VLOOKUP(Y78,A6:E105,5,FALSE)),IF(ISNA(VLOOKUP(Y78,G6:K105,5,FALSE)),IF(ISNA(VLOOKUP(Y78,M6:Q105,5,FALSE)),IF(ISNA(VLOOKUP(Y78,S6:W105,5,FALSE)),IF(ISNA(VLOOKUP(Y78,Y6:AC77,5,FALSE)),"",ROUND(VLOOKUP(Y78,Y6:AC77,5,FALSE),0)/1000+ROUND(Z78,3)),ROUND(VLOOKUP(Y78,S6:W105,5,FALSE),0)/1000+ROUND(Z78,3)),ROUND(VLOOKUP(Y78,M6:Q105,5,FALSE),0)/1000+ROUND(Z78,3)),ROUND(VLOOKUP(Y78,G6:K105,5,FALSE),0)/1000+ROUND(Z78,3)),ROUND(VLOOKUP(Y78,A6:E105,5,FALSE),0)/1000+ROUND(Z78,3)))))</f>
        <v/>
      </c>
      <c r="AC78" s="18" t="str">
        <f>IF(OR(NOT(EXACT(UPPER(Y78),"TBM")),Z78=""),IF(AND(Z78&lt;&gt;"",AA78="",AB78&lt;&gt;""),"",IF(AND(Z78="",AA78&lt;&gt;"",AB78&lt;&gt;""),ROUND(ROUND(AB78,3)-ROUND(AA78,3),3)*1000,IF(AND(Z78&lt;&gt;"",AA78&lt;&gt;"",AB78&lt;&gt;""),ROUND(ROUND(AB77,3)-ROUND(AA78,3),3)*1000,""))),"")</f>
        <v/>
      </c>
      <c r="AD78" s="45" t="str">
        <f>IF(AND(NOT(ISNA(VLOOKUP(Y78,A6:E105,5,FALSE))),Z78="",AA78&lt;&gt;""),ROUND((VLOOKUP(Y78,A6:E105,5,FALSE)-AC78)/1000,3),IF(AND(NOT(ISNA(VLOOKUP(Y78,G6:K105,5,FALSE))),Z78="",AA78&lt;&gt;""),ROUND((VLOOKUP(Y78,G6:K105,5,FALSE)-AC78)/1000,3),IF(AND(NOT(ISNA(VLOOKUP(Y78,M6:Q105,5,FALSE))),Z78="",AA78&lt;&gt;""),ROUND((VLOOKUP(Y78,M6:Q105,5,FALSE)-AC78)/1000,3),IF(AND(NOT(ISNA(VLOOKUP(Y78,S6:W105,5,FALSE))),Z78="",AA78&lt;&gt;""),ROUND((VLOOKUP(Y78,S6:W105,5,FALSE)-AC78)/1000,3),IF(AND(NOT(ISNA(VLOOKUP(Y78,Y6:AC77,5,FALSE))),Z78="",AA78&lt;&gt;""),ROUND((VLOOKUP(Y78,Y6:AC77,5,FALSE)-AC78)/1000,3),"")))))</f>
        <v/>
      </c>
      <c r="AE78" s="19">
        <f>IF(AE77="","",AE77+1)</f>
        <v>572</v>
      </c>
      <c r="AF78" s="39"/>
      <c r="AG78" s="39"/>
      <c r="AH78" s="15" t="str">
        <f>IF(AND(AF78&lt;&gt;"",AG78&lt;&gt;""),ROUND(AF78,3)+ROUND(AH77,3)-ROUND(AG78,3),IF(AND(EXACT(UPPER(AE78),"TBM"),AF78&lt;&gt;""),ROUND(AF78,3),IF(AF78="",AH77,IF(ISNA(VLOOKUP(AE78,A6:E105,5,FALSE)),IF(ISNA(VLOOKUP(AE78,G6:K105,5,FALSE)),IF(ISNA(VLOOKUP(AE78,M6:Q105,5,FALSE)),IF(ISNA(VLOOKUP(AE78,S6:W105,5,FALSE)),IF(ISNA(VLOOKUP(AE78,Y6:AC105,5,FALSE)),IF(ISNA(VLOOKUP(AE78,AE6:AI77,5,FALSE)),"",ROUND(VLOOKUP(AE78,AE6:AI77,5,FALSE),0)/1000+ROUND(AF78,3)),ROUND(VLOOKUP(AE78,Y6:AC105,5,FALSE),0)/1000+ROUND(AF78,3)),ROUND(VLOOKUP(AE78,S6:W105,5,FALSE),0)/1000+ROUND(AF78,3)),ROUND(VLOOKUP(AE78,M6:Q105,5,FALSE),0)/1000+ROUND(AF78,3)),ROUND(VLOOKUP(AE78,G6:K105,5,FALSE),0)/1000+ROUND(AF78,3)),ROUND(VLOOKUP(AE78,A6:E105,5,FALSE),0)/1000+ROUND(AF78,3)))))</f>
        <v/>
      </c>
      <c r="AI78" s="18" t="str">
        <f>IF(OR(NOT(EXACT(UPPER(AE78),"TBM")),AF78=""),IF(AND(AF78&lt;&gt;"",AG78="",AH78&lt;&gt;""),"",IF(AND(AF78="",AG78&lt;&gt;"",AH78&lt;&gt;""),ROUND(ROUND(AH78,3)-ROUND(AG78,3),3)*1000,IF(AND(AF78&lt;&gt;"",AG78&lt;&gt;"",AH78&lt;&gt;""),ROUND(ROUND(AH77,3)-ROUND(AG78,3),3)*1000,""))),"")</f>
        <v/>
      </c>
      <c r="AJ78" s="45" t="str">
        <f>IF(AND(NOT(ISNA(VLOOKUP(AE78,A6:E105,5,FALSE))),AF78="",AG78&lt;&gt;""),ROUND((VLOOKUP(AE78,A6:E105,5,FALSE)-AI78)/1000,3),IF(AND(NOT(ISNA(VLOOKUP(AE78,G6:K105,5,FALSE))),AF78="",AG78&lt;&gt;""),ROUND((VLOOKUP(AE78,G6:K105,5,FALSE)-AI78)/1000,3),IF(AND(NOT(ISNA(VLOOKUP(AE78,M6:Q105,5,FALSE))),AF78="",AG78&lt;&gt;""),ROUND((VLOOKUP(AE78,M6:Q105,5,FALSE)-AI78)/1000,3),IF(AND(NOT(ISNA(VLOOKUP(AE78,S6:W105,5,FALSE))),AF78="",AG78&lt;&gt;""),ROUND((VLOOKUP(AE78,S6:W105,5,FALSE)-AI78)/1000,3),IF(AND(NOT(ISNA(VLOOKUP(AE78,Y6:AC105,5,FALSE))),AF78="",AG78&lt;&gt;""),ROUND((VLOOKUP(AE78,Y6:AC105,5,FALSE)-AI78)/1000,3),IF(AND(NOT(ISNA(VLOOKUP(AE78,AE6:AI77,5,FALSE))),AF78="",AG78&lt;&gt;""),ROUND((VLOOKUP(AE78,AE6:AI77,5,FALSE)-AI78)/1000,3),""))))))</f>
        <v/>
      </c>
      <c r="AK78" s="19">
        <f>IF(AK77="","",AK77+1)</f>
        <v>672</v>
      </c>
      <c r="AL78" s="39"/>
      <c r="AM78" s="39"/>
      <c r="AN78" s="15" t="str">
        <f>IF(AND(AL78&lt;&gt;"",AM78&lt;&gt;""),ROUND(AL78,3)+ROUND(AN77,3)-ROUND(AM78,3),IF(AND(EXACT(UPPER(AK78),"TBM"),AL78&lt;&gt;""),ROUND(AL78,3),IF(AL78="",AN77,IF(ISNA(VLOOKUP(AK78,A6:E105,5,FALSE)),IF(ISNA(VLOOKUP(AK78,G6:K105,5,FALSE)),IF(ISNA(VLOOKUP(AK78,M6:Q105,5,FALSE)),IF(ISNA(VLOOKUP(AK78,S6:W105,5,FALSE)),IF(ISNA(VLOOKUP(AK78,Y6:AC105,5,FALSE)),IF(ISNA(VLOOKUP(AK78,AE6:AI105,5,FALSE)),IF(ISNA(VLOOKUP(AK78,AK6:AO77,5,FALSE)),"",ROUND(VLOOKUP(AK78,AK6:AO77,5,FALSE),0)/1000+ROUND(AL78,3)),ROUND(VLOOKUP(AK78,AE6:AI105,5,FALSE),0)/1000+ROUND(AL78,3)),ROUND(VLOOKUP(AK78,Y6:AC105,5,FALSE),0)/1000+ROUND(AL78,3)),ROUND(VLOOKUP(AK78,S6:W105,5,FALSE),0)/1000+ROUND(AL78,3)),ROUND(VLOOKUP(AK78,M6:Q105,5,FALSE),0)/1000+ROUND(AL78,3)),ROUND(VLOOKUP(AK78,G6:K105,5,FALSE),0)/1000+ROUND(AL78,3)),ROUND(VLOOKUP(AK78,A6:E105,5,FALSE),0)/1000+ROUND(AL78,3)))))</f>
        <v/>
      </c>
      <c r="AO78" s="18" t="str">
        <f>IF(OR(NOT(EXACT(UPPER(AK78),"TBM")),AL78=""),IF(AND(AL78&lt;&gt;"",AM78="",AN78&lt;&gt;""),"",IF(AND(AL78="",AM78&lt;&gt;"",AN78&lt;&gt;""),ROUND(ROUND(AN78,3)-ROUND(AM78,3),3)*1000,IF(AND(AL78&lt;&gt;"",AM78&lt;&gt;"",AN78&lt;&gt;""),ROUND(ROUND(AN77,3)-ROUND(AM78,3),3)*1000,""))),"")</f>
        <v/>
      </c>
      <c r="AP78" s="45" t="str">
        <f>IF(AND(NOT(ISNA(VLOOKUP(AK78,A6:E105,5,FALSE))),AL78="",AM78&lt;&gt;""),ROUND((VLOOKUP(AK78,A6:E105,5,FALSE)-AO78)/1000,3),IF(AND(NOT(ISNA(VLOOKUP(AK78,G6:K105,5,FALSE))),AL78="",AM78&lt;&gt;""),ROUND((VLOOKUP(AK78,G6:K105,5,FALSE)-AO78)/1000,3),IF(AND(NOT(ISNA(VLOOKUP(AK78,M6:Q105,5,FALSE))),AL78="",AM78&lt;&gt;""),ROUND((VLOOKUP(AK78,M6:Q105,5,FALSE)-AO78)/1000,3),IF(AND(NOT(ISNA(VLOOKUP(AK78,S6:W105,5,FALSE))),AL78="",AM78&lt;&gt;""),ROUND((VLOOKUP(AK78,S6:W105,5,FALSE)-AO78)/1000,3),IF(AND(NOT(ISNA(VLOOKUP(AK78,Y6:AC105,5,FALSE))),AL78="",AM78&lt;&gt;""),ROUND((VLOOKUP(AK78,Y6:AC105,5,FALSE)-AO78)/1000,3),IF(AND(NOT(ISNA(VLOOKUP(AK78,AE6:AI105,5,FALSE))),AL78="",AM78&lt;&gt;""),ROUND((VLOOKUP(AK78,AE6:AI105,5,FALSE)-AO78)/1000,3),IF(AND(NOT(ISNA(VLOOKUP(AK78,AK6:AO77,5,FALSE))),AL78="",AM78&lt;&gt;""),ROUND((VLOOKUP(AK78,AK6:AO77,5,FALSE)-AO78)/1000,3),"")))))))</f>
        <v/>
      </c>
      <c r="AQ78" s="19">
        <f>IF(AQ77="","",AQ77+1)</f>
        <v>772</v>
      </c>
      <c r="AR78" s="39"/>
      <c r="AS78" s="39"/>
      <c r="AT78" s="15" t="str">
        <f>IF(AND(AR78&lt;&gt;"",AS78&lt;&gt;""),ROUND(AR78,3)+ROUND(AT77,3)-ROUND(AS78,3),IF(AND(EXACT(UPPER(AQ78),"TBM"),AR78&lt;&gt;""),ROUND(AR78,3),IF(AR78="",AT77,IF(ISNA(VLOOKUP(AQ78,A6:E105,5,FALSE)),IF(ISNA(VLOOKUP(AQ78,G6:K105,5,FALSE)),IF(ISNA(VLOOKUP(AQ78,M6:Q105,5,FALSE)),IF(ISNA(VLOOKUP(AQ78,S6:W105,5,FALSE)),IF(ISNA(VLOOKUP(AQ78,Y6:AC105,5,FALSE)),IF(ISNA(VLOOKUP(AQ78,AE6:AI105,5,FALSE)),IF(ISNA(VLOOKUP(AQ78,AK6:AO105,5,FALSE)),IF(ISNA(VLOOKUP(AQ78,AQ6:AU77,5,FALSE)),"",ROUND(VLOOKUP(AQ78,AQ6:AU77,5,FALSE),0)/1000+ROUND(AR78,3)),ROUND(VLOOKUP(AQ78,AK6:AO105,5,FALSE),0)/1000+ROUND(AR78,3)),ROUND(VLOOKUP(AQ78,AE6:AI105,5,FALSE),0)/1000+ROUND(AR78,3)),ROUND(VLOOKUP(AQ78,Y6:AC105,5,FALSE),0)/1000+ROUND(AR78,3)),ROUND(VLOOKUP(AQ78,S6:W105,5,FALSE),0)/1000+ROUND(AR78,3)),ROUND(VLOOKUP(AQ78,M6:Q105,5,FALSE),0)/1000+ROUND(AR78,3)),ROUND(VLOOKUP(AQ78,G6:K105,5,FALSE),0)/1000+ROUND(AR78,3)),ROUND(VLOOKUP(AQ78,A6:E105,5,FALSE),0)/1000+ROUND(AR78,3)))))</f>
        <v/>
      </c>
      <c r="AU78" s="18" t="str">
        <f>IF(OR(NOT(EXACT(UPPER(AQ78),"TBM")),AR78=""),IF(AND(AR78&lt;&gt;"",AS78="",AT78&lt;&gt;""),"",IF(AND(AR78="",AS78&lt;&gt;"",AT78&lt;&gt;""),ROUND(ROUND(AT78,3)-ROUND(AS78,3),3)*1000,IF(AND(AR78&lt;&gt;"",AS78&lt;&gt;"",AT78&lt;&gt;""),ROUND(ROUND(AT77,3)-ROUND(AS78,3),3)*1000,""))),"")</f>
        <v/>
      </c>
      <c r="AV78" s="45" t="str">
        <f>IF(AND(NOT(ISNA(VLOOKUP(AQ78,A6:E105,5,FALSE))),AR78="",AS78&lt;&gt;""),ROUND((VLOOKUP(AQ78,A6:E105,5,FALSE)-AU78)/1000,3),IF(AND(NOT(ISNA(VLOOKUP(AQ78,G6:K105,5,FALSE))),AR78="",AS78&lt;&gt;""),ROUND((VLOOKUP(AQ78,G6:K105,5,FALSE)-AU78)/1000,3),IF(AND(NOT(ISNA(VLOOKUP(AQ78,M6:Q105,5,FALSE))),AR78="",AS78&lt;&gt;""),ROUND((VLOOKUP(AQ78,M6:Q105,5,FALSE)-AU78)/1000,3),IF(AND(NOT(ISNA(VLOOKUP(AQ78,S6:W105,5,FALSE))),AR78="",AS78&lt;&gt;""),ROUND((VLOOKUP(AQ78,S6:W105,5,FALSE)-AU78)/1000,3),IF(AND(NOT(ISNA(VLOOKUP(AQ78,Y6:AC105,5,FALSE))),AR78="",AS78&lt;&gt;""),ROUND((VLOOKUP(AQ78,Y6:AC105,5,FALSE)-AU78)/1000,3),IF(AND(NOT(ISNA(VLOOKUP(AQ78,AE6:AI105,5,FALSE))),AR78="",AS78&lt;&gt;""),ROUND((VLOOKUP(AQ78,AE6:AI105,5,FALSE)-AU78)/1000,3),IF(AND(NOT(ISNA(VLOOKUP(AQ78,AK6:AO105,5,FALSE))),AR78="",AS78&lt;&gt;""),ROUND((VLOOKUP(AQ78,AK6:AO105,5,FALSE)-AU78)/1000,3),IF(AND(NOT(ISNA(VLOOKUP(AQ78,AQ6:AU77,5,FALSE))),AR78="",AS78&lt;&gt;""),ROUND((VLOOKUP(AQ78,AQ6:AU77,5,FALSE)-AU78)/1000,3),""))))))))</f>
        <v/>
      </c>
      <c r="AW78" s="19">
        <f>IF(AW77="","",AW77+1)</f>
        <v>872</v>
      </c>
      <c r="AX78" s="39"/>
      <c r="AY78" s="39"/>
      <c r="AZ78" s="15" t="str">
        <f>IF(AND(AX78&lt;&gt;"",AY78&lt;&gt;""),ROUND(AX78,3)+ROUND(AZ77,3)-ROUND(AY78,3),IF(AND(EXACT(UPPER(AW78),"TBM"),AX78&lt;&gt;""),ROUND(AX78,3),IF(AX78="",AZ77,IF(ISNA(VLOOKUP(AW78,A6:E105,5,FALSE)),IF(ISNA(VLOOKUP(AW78,G6:K105,5,FALSE)),IF(ISNA(VLOOKUP(AW78,M6:Q105,5,FALSE)),IF(ISNA(VLOOKUP(AW78,S6:W105,5,FALSE)),IF(ISNA(VLOOKUP(AW78,Y6:AC105,5,FALSE)),IF(ISNA(VLOOKUP(AW78,AE6:AI105,5,FALSE)),IF(ISNA(VLOOKUP(AW78,AK6:AO105,5,FALSE)),IF(ISNA(VLOOKUP(AW78,AQ6:AU105,5,FALSE)),IF(ISNA(VLOOKUP(AW78,AW6:BA77,5,FALSE)),"",ROUND(VLOOKUP(AW78,AW6:BA77,5,FALSE),0)/1000+ROUND(AX78,3)),ROUND(VLOOKUP(AW78,AQ6:AU105,5,FALSE),0)/1000+ROUND(AX78,3)),ROUND(VLOOKUP(AW78,AK6:AO105,5,FALSE),0)/1000+ROUND(AX78,3)),ROUND(VLOOKUP(AW78,AE6:AI105,5,FALSE),0)/1000+ROUND(AX78,3)),ROUND(VLOOKUP(AW78,Y6:AC105,5,FALSE),0)/1000+ROUND(AX78,3)),ROUND(VLOOKUP(AW78,S6:W105,5,FALSE),0)/1000+ROUND(AX78,3)),ROUND(VLOOKUP(AW78,M6:Q105,5,FALSE),0)/1000+ROUND(AX78,3)),ROUND(VLOOKUP(AW78,G6:K105,5,FALSE),0)/1000+ROUND(AX78,3)),ROUND(VLOOKUP(AW78,A6:E105,5,FALSE),0)/1000+ROUND(AX78,3)))))</f>
        <v/>
      </c>
      <c r="BA78" s="18" t="str">
        <f>IF(OR(NOT(EXACT(UPPER(AW78),"TBM")),AX78=""),IF(AND(AX78&lt;&gt;"",AY78="",AZ78&lt;&gt;""),"",IF(AND(AX78="",AY78&lt;&gt;"",AZ78&lt;&gt;""),ROUND(ROUND(AZ78,3)-ROUND(AY78,3),3)*1000,IF(AND(AX78&lt;&gt;"",AY78&lt;&gt;"",AZ78&lt;&gt;""),ROUND(ROUND(AZ77,3)-ROUND(AY78,3),3)*1000,""))),"")</f>
        <v/>
      </c>
      <c r="BB78" s="45" t="str">
        <f>IF(AND(NOT(ISNA(VLOOKUP(AW78,A6:E105,5,FALSE))),AX78="",AY78&lt;&gt;""),ROUND((VLOOKUP(AW78,A6:E105,5,FALSE)-BA78)/1000,3),IF(AND(NOT(ISNA(VLOOKUP(AW78,G6:K105,5,FALSE))),AX78="",AY78&lt;&gt;""),ROUND((VLOOKUP(AW78,G6:K105,5,FALSE)-BA78)/1000,3),IF(AND(NOT(ISNA(VLOOKUP(AW78,M6:Q105,5,FALSE))),AX78="",AY78&lt;&gt;""),ROUND((VLOOKUP(AW78,M6:Q105,5,FALSE)-BA78)/1000,3),IF(AND(NOT(ISNA(VLOOKUP(AW78,S6:W105,5,FALSE))),AX78="",AY78&lt;&gt;""),ROUND((VLOOKUP(AW78,S6:W105,5,FALSE)-BA78)/1000,3),IF(AND(NOT(ISNA(VLOOKUP(AW78,Y6:AC105,5,FALSE))),AX78="",AY78&lt;&gt;""),ROUND((VLOOKUP(AW78,Y6:AC105,5,FALSE)-BA78)/1000,3),IF(AND(NOT(ISNA(VLOOKUP(AW78,AE6:AI105,5,FALSE))),AX78="",AY78&lt;&gt;""),ROUND((VLOOKUP(AW78,AE6:AI105,5,FALSE)-BA78)/1000,3),IF(AND(NOT(ISNA(VLOOKUP(AW78,AK6:AO105,5,FALSE))),AX78="",AY78&lt;&gt;""),ROUND((VLOOKUP(AW78,AK6:AO105,5,FALSE)-BA78)/1000,3),IF(AND(NOT(ISNA(VLOOKUP(AW78,AQ6:AU105,5,FALSE))),AX78="",AY78&lt;&gt;""),ROUND((VLOOKUP(AW78,AQ6:AU105,5,FALSE)-BA78)/1000,3),IF(AND(NOT(ISNA(VLOOKUP(AW78,AW6:BA77,5,FALSE))),AX78="",AY78&lt;&gt;""),ROUND((VLOOKUP(AW78,AW6:BA77,5,FALSE)-BA78)/1000,3),"")))))))))</f>
        <v/>
      </c>
      <c r="BC78" s="19">
        <f>IF(BC77="","",BC77+1)</f>
        <v>972</v>
      </c>
      <c r="BD78" s="39"/>
      <c r="BE78" s="39"/>
      <c r="BF78" s="15" t="str">
        <f>IF(AND(BD78&lt;&gt;"",BE78&lt;&gt;""),ROUND(BD78,3)+ROUND(BF77,3)-ROUND(BE78,3),IF(AND(EXACT(UPPER(BC78),"TBM"),BD78&lt;&gt;""),ROUND(BD78,3),IF(BD78="",BF77,IF(ISNA(VLOOKUP(BC78,A6:E105,5,FALSE)),IF(ISNA(VLOOKUP(BC78,G6:K105,5,FALSE)),IF(ISNA(VLOOKUP(BC78,M6:Q105,5,FALSE)),IF(ISNA(VLOOKUP(BC78,S6:W105,5,FALSE)),IF(ISNA(VLOOKUP(BC78,Y6:AC105,5,FALSE)),IF(ISNA(VLOOKUP(BC78,AE6:AI105,5,FALSE)),IF(ISNA(VLOOKUP(BC78,AK6:AO105,5,FALSE)),IF(ISNA(VLOOKUP(BC78,AQ6:AU105,5,FALSE)),IF(ISNA(VLOOKUP(BC78,AW6:BA105,5,FALSE)),IF(ISNA(VLOOKUP(BC78,BC6:BG77,5,FALSE)),"",ROUND(VLOOKUP(BC78,BC6:BG77,5,FALSE),0)/1000+ROUND(BD78,3)),ROUND(VLOOKUP(BC78,AW6:BA105,5,FALSE),0)/1000+ROUND(BD78,3)),ROUND(VLOOKUP(BC78,AQ6:AU105,5,FALSE),0)/1000+ROUND(BD78,3)),ROUND(VLOOKUP(BC78,AK6:AO105,5,FALSE),0)/1000+ROUND(BD78,3)),ROUND(VLOOKUP(BC78,AE6:AI105,5,FALSE),0)/1000+ROUND(BD78,3)),ROUND(VLOOKUP(BC78,Y6:AC105,5,FALSE),0)/1000+ROUND(BD78,3)),ROUND(VLOOKUP(BC78,S6:W105,5,FALSE),0)/1000+ROUND(BD78,3)),ROUND(VLOOKUP(BC78,M6:Q105,5,FALSE),0)/1000+ROUND(BD78,3)),ROUND(VLOOKUP(BC78,G6:K105,5,FALSE),0)/1000+ROUND(BD78,3)),ROUND(VLOOKUP(BC78,A6:E105,5,FALSE),0)/1000+ROUND(BD78,3)))))</f>
        <v/>
      </c>
      <c r="BG78" s="18" t="str">
        <f>IF(OR(NOT(EXACT(UPPER(BC78),"TBM")),BD78=""),IF(AND(BD78&lt;&gt;"",BE78="",BF78&lt;&gt;""),"",IF(AND(BD78="",BE78&lt;&gt;"",BF78&lt;&gt;""),ROUND(ROUND(BF78,3)-ROUND(BE78,3),3)*1000,IF(AND(BD78&lt;&gt;"",BE78&lt;&gt;"",BF78&lt;&gt;""),ROUND(ROUND(BF77,3)-ROUND(BE78,3),3)*1000,""))),"")</f>
        <v/>
      </c>
      <c r="BH78" s="45" t="str">
        <f>IF(AND(NOT(ISNA(VLOOKUP(BC78,A6:E105,5,FALSE))),BD78="",BE78&lt;&gt;""),ROUND((VLOOKUP(BC78,A6:E105,5,FALSE)-BG78)/1000,3),IF(AND(NOT(ISNA(VLOOKUP(BC78,G6:K105,5,FALSE))),BD78="",BE78&lt;&gt;""),ROUND((VLOOKUP(BC78,G6:K105,5,FALSE)-BG78)/1000,3),IF(AND(NOT(ISNA(VLOOKUP(BC78,M6:Q105,5,FALSE))),BD78="",BE78&lt;&gt;""),ROUND((VLOOKUP(BC78,M6:Q105,5,FALSE)-BG78)/1000,3),IF(AND(NOT(ISNA(VLOOKUP(BC78,S6:W105,5,FALSE))),BD78="",BE78&lt;&gt;""),ROUND((VLOOKUP(BC78,S6:W105,5,FALSE)-BG78)/1000,3),IF(AND(NOT(ISNA(VLOOKUP(BC78,Y6:AC105,5,FALSE))),BD78="",BE78&lt;&gt;""),ROUND((VLOOKUP(BC78,Y6:AC105,5,FALSE)-BG78)/1000,3),IF(AND(NOT(ISNA(VLOOKUP(BC78,AE6:AI105,5,FALSE))),BD78="",BE78&lt;&gt;""),ROUND((VLOOKUP(BC78,AE6:AI105,5,FALSE)-BG78)/1000,3),IF(AND(NOT(ISNA(VLOOKUP(BC78,AK6:AO105,5,FALSE))),BD78="",BE78&lt;&gt;""),ROUND((VLOOKUP(BC78,AK6:AO105,5,FALSE)-BG78)/1000,3),IF(AND(NOT(ISNA(VLOOKUP(BC78,AQ6:AU105,5,FALSE))),BD78="",BE78&lt;&gt;""),ROUND((VLOOKUP(BC78,AQ6:AU105,5,FALSE)-BG78)/1000,3),IF(AND(NOT(ISNA(VLOOKUP(BC78,AW6:BA105,5,FALSE))),BD78="",BE78&lt;&gt;""),ROUND((VLOOKUP(BC78,AW6:BA105,5,FALSE)-BG78)/1000,3),IF(AND(NOT(ISNA(VLOOKUP(BC78,BC6:BG77,5,FALSE))),BD78="",BE78&lt;&gt;""),ROUND((VLOOKUP(BC78,BC6:BG77,5,FALSE)-BG78)/1000,3),""))))))))))</f>
        <v/>
      </c>
    </row>
    <row r="79" spans="1:60" x14ac:dyDescent="0.25">
      <c r="A79" s="19">
        <f t="shared" si="9"/>
        <v>73</v>
      </c>
      <c r="B79" s="39"/>
      <c r="C79" s="39"/>
      <c r="D79" s="15" t="str">
        <f>IF(AND(B79&lt;&gt;"",C79&lt;&gt;""),ROUND(B79,3)+ROUND(D78,3)-ROUND(C79,3),IF(AND(EXACT(UPPER(A79),"TBM"),B79&lt;&gt;""),ROUND(B79,3),IF(B79="",D78,IF(ISNA(VLOOKUP(A79,A6:E78,5,FALSE)),"",ROUND(VLOOKUP(A79,A6:E78,5,FALSE),0)/1000+ROUND(B79,3)))))</f>
        <v/>
      </c>
      <c r="E79" s="21" t="str">
        <f t="shared" si="6"/>
        <v/>
      </c>
      <c r="F79" s="45" t="str">
        <f>IF(AND(NOT(ISNA(VLOOKUP(A79,A6:E78,5,FALSE))),B79="",C79&lt;&gt;""),ROUND((VLOOKUP(A79,A6:E78,5,FALSE)-E79)/1000,3),"")</f>
        <v/>
      </c>
      <c r="G79" s="19">
        <f t="shared" si="7"/>
        <v>173</v>
      </c>
      <c r="H79" s="39"/>
      <c r="I79" s="39"/>
      <c r="J79" s="15" t="str">
        <f>IF(AND(H79&lt;&gt;"",I79&lt;&gt;""),ROUND(H79,3)+ROUND(J78,3)-ROUND(I79,3),IF(AND(EXACT(UPPER(G79),"TBM"),H79&lt;&gt;""),ROUND(H79,3),IF(H79="",J78,IF(ISNA(VLOOKUP(G79,A6:E105,5,FALSE)),IF(ISNA(VLOOKUP(G79,G6:K78,5,FALSE)),"",ROUND(VLOOKUP(G79,G6:K78,5,FALSE),0)/1000+ROUND(H79,3)),ROUND(VLOOKUP(G79,A6:E105,5,FALSE),0)/1000+ROUND(H79,3)))))</f>
        <v/>
      </c>
      <c r="K79" s="18" t="str">
        <f t="shared" si="8"/>
        <v/>
      </c>
      <c r="L79" s="45" t="str">
        <f>IF(AND(NOT(ISNA(VLOOKUP(G79,A6:E105,5,FALSE))),H79="",I79&lt;&gt;""),ROUND((VLOOKUP(G79,A6:E105,5,FALSE)-K79)/1000,3),IF(AND(NOT(ISNA(VLOOKUP(G79,G6:K78,5,FALSE))),H79="",I79&lt;&gt;""),ROUND((VLOOKUP(G79,G6:K78,5,FALSE)-K79)/1000,3),""))</f>
        <v/>
      </c>
      <c r="M79" s="19">
        <f>IF(M78="","",M78+1)</f>
        <v>273</v>
      </c>
      <c r="N79" s="39"/>
      <c r="O79" s="39"/>
      <c r="P79" s="15" t="str">
        <f>IF(AND(N79&lt;&gt;"",O79&lt;&gt;""),ROUND(N79,3)+ROUND(P78,3)-ROUND(O79,3),IF(AND(EXACT(UPPER(M79),"TBM"),N79&lt;&gt;""),ROUND(N79,3),IF(N79="",P78,IF(ISNA(VLOOKUP(M79,A6:E105,5,FALSE)),IF(ISNA(VLOOKUP(M79,G6:K105,5,FALSE)),IF(ISNA(VLOOKUP(M79,M6:Q78,5,FALSE)),"",ROUND(VLOOKUP(M79,M6:Q78,5,FALSE),0)/1000+ROUND(N79,3)),ROUND(VLOOKUP(M79,G6:K105,5,FALSE),0)/1000+ROUND(N79,3)),ROUND(VLOOKUP(M79,A6:E105,5,FALSE),0)/1000+ROUND(N79,3)))))</f>
        <v/>
      </c>
      <c r="Q79" s="18" t="str">
        <f>IF(OR(NOT(EXACT(UPPER(M79),"TBM")),N79=""),IF(AND(N79&lt;&gt;"",O79="",P79&lt;&gt;""),"",IF(AND(N79="",O79&lt;&gt;"",P79&lt;&gt;""),ROUND(ROUND(P79,3)-ROUND(O79,3),3)*1000,IF(AND(N79&lt;&gt;"",O79&lt;&gt;"",P79&lt;&gt;""),ROUND(ROUND(P78,3)-ROUND(O79,3),3)*1000,""))),"")</f>
        <v/>
      </c>
      <c r="R79" s="45" t="str">
        <f>IF(AND(NOT(ISNA(VLOOKUP(M79,A6:E105,5,FALSE))),N79="",O79&lt;&gt;""),ROUND((VLOOKUP(M79,A6:E105,5,FALSE)-Q79)/1000,3),IF(AND(NOT(ISNA(VLOOKUP(M79,G6:K105,5,FALSE))),N79="",O79&lt;&gt;""),ROUND((VLOOKUP(M79,G6:K105,5,FALSE)-Q79)/1000,3),IF(AND(NOT(ISNA(VLOOKUP(M79,M6:Q78,5,FALSE))),N79="",O79&lt;&gt;""),ROUND((VLOOKUP(M79,M6:Q78,5,FALSE)-Q79)/1000,3),"")))</f>
        <v/>
      </c>
      <c r="S79" s="19">
        <f>IF(S78="","",S78+1)</f>
        <v>373</v>
      </c>
      <c r="T79" s="39"/>
      <c r="U79" s="39"/>
      <c r="V79" s="15" t="str">
        <f>IF(AND(T79&lt;&gt;"",U79&lt;&gt;""),ROUND(T79,3)+ROUND(V78,3)-ROUND(U79,3),IF(AND(EXACT(UPPER(S79),"TBM"),T79&lt;&gt;""),ROUND(T79,3),IF(T79="",V78,IF(ISNA(VLOOKUP(S79,A6:E105,5,FALSE)),IF(ISNA(VLOOKUP(S79,G6:K105,5,FALSE)),IF(ISNA(VLOOKUP(S79,M6:Q105,5,FALSE)),IF(ISNA(VLOOKUP(S79,S6:W78,5,FALSE)),"",ROUND(VLOOKUP(S79,S6:W78,5,FALSE),0)/1000+ROUND(T79,3)),ROUND(VLOOKUP(S79,M6:Q105,5,FALSE),0)/1000+ROUND(T79,3)),ROUND(VLOOKUP(S79,G6:K105,5,FALSE),0)/1000+ROUND(T79,3)),ROUND(VLOOKUP(S79,A6:E105,5,FALSE),0)/1000+ROUND(T79,3)))))</f>
        <v/>
      </c>
      <c r="W79" s="18" t="str">
        <f>IF(OR(NOT(EXACT(UPPER(S79),"TBM")),T79=""),IF(AND(T79&lt;&gt;"",U79="",V79&lt;&gt;""),"",IF(AND(T79="",U79&lt;&gt;"",V79&lt;&gt;""),ROUND(ROUND(V79,3)-ROUND(U79,3),3)*1000,IF(AND(T79&lt;&gt;"",U79&lt;&gt;"",V79&lt;&gt;""),ROUND(ROUND(V78,3)-ROUND(U79,3),3)*1000,""))),"")</f>
        <v/>
      </c>
      <c r="X79" s="45" t="str">
        <f>IF(AND(NOT(ISNA(VLOOKUP(S79,A6:E105,5,FALSE))),T79="",U79&lt;&gt;""),ROUND((VLOOKUP(S79,A6:E105,5,FALSE)-W79)/1000,3),IF(AND(NOT(ISNA(VLOOKUP(S79,G6:K105,5,FALSE))),T79="",U79&lt;&gt;""),ROUND((VLOOKUP(S79,G6:K105,5,FALSE)-W79)/1000,3),IF(AND(NOT(ISNA(VLOOKUP(S79,M6:Q105,5,FALSE))),T79="",U79&lt;&gt;""),ROUND((VLOOKUP(S79,M6:Q105,5,FALSE)-W79)/1000,3),IF(AND(NOT(ISNA(VLOOKUP(S79,S6:W78,5,FALSE))),T79="",U79&lt;&gt;""),ROUND((VLOOKUP(S79,S6:W78,5,FALSE)-W79)/1000,3),""))))</f>
        <v/>
      </c>
      <c r="Y79" s="19">
        <f>IF(Y78="","",Y78+1)</f>
        <v>473</v>
      </c>
      <c r="Z79" s="39"/>
      <c r="AA79" s="39"/>
      <c r="AB79" s="15" t="str">
        <f>IF(AND(Z79&lt;&gt;"",AA79&lt;&gt;""),ROUND(Z79,3)+ROUND(AB78,3)-ROUND(AA79,3),IF(AND(EXACT(UPPER(Y79),"TBM"),Z79&lt;&gt;""),ROUND(Z79,3),IF(Z79="",AB78,IF(ISNA(VLOOKUP(Y79,A6:E105,5,FALSE)),IF(ISNA(VLOOKUP(Y79,G6:K105,5,FALSE)),IF(ISNA(VLOOKUP(Y79,M6:Q105,5,FALSE)),IF(ISNA(VLOOKUP(Y79,S6:W105,5,FALSE)),IF(ISNA(VLOOKUP(Y79,Y6:AC78,5,FALSE)),"",ROUND(VLOOKUP(Y79,Y6:AC78,5,FALSE),0)/1000+ROUND(Z79,3)),ROUND(VLOOKUP(Y79,S6:W105,5,FALSE),0)/1000+ROUND(Z79,3)),ROUND(VLOOKUP(Y79,M6:Q105,5,FALSE),0)/1000+ROUND(Z79,3)),ROUND(VLOOKUP(Y79,G6:K105,5,FALSE),0)/1000+ROUND(Z79,3)),ROUND(VLOOKUP(Y79,A6:E105,5,FALSE),0)/1000+ROUND(Z79,3)))))</f>
        <v/>
      </c>
      <c r="AC79" s="18" t="str">
        <f>IF(OR(NOT(EXACT(UPPER(Y79),"TBM")),Z79=""),IF(AND(Z79&lt;&gt;"",AA79="",AB79&lt;&gt;""),"",IF(AND(Z79="",AA79&lt;&gt;"",AB79&lt;&gt;""),ROUND(ROUND(AB79,3)-ROUND(AA79,3),3)*1000,IF(AND(Z79&lt;&gt;"",AA79&lt;&gt;"",AB79&lt;&gt;""),ROUND(ROUND(AB78,3)-ROUND(AA79,3),3)*1000,""))),"")</f>
        <v/>
      </c>
      <c r="AD79" s="45" t="str">
        <f>IF(AND(NOT(ISNA(VLOOKUP(Y79,A6:E105,5,FALSE))),Z79="",AA79&lt;&gt;""),ROUND((VLOOKUP(Y79,A6:E105,5,FALSE)-AC79)/1000,3),IF(AND(NOT(ISNA(VLOOKUP(Y79,G6:K105,5,FALSE))),Z79="",AA79&lt;&gt;""),ROUND((VLOOKUP(Y79,G6:K105,5,FALSE)-AC79)/1000,3),IF(AND(NOT(ISNA(VLOOKUP(Y79,M6:Q105,5,FALSE))),Z79="",AA79&lt;&gt;""),ROUND((VLOOKUP(Y79,M6:Q105,5,FALSE)-AC79)/1000,3),IF(AND(NOT(ISNA(VLOOKUP(Y79,S6:W105,5,FALSE))),Z79="",AA79&lt;&gt;""),ROUND((VLOOKUP(Y79,S6:W105,5,FALSE)-AC79)/1000,3),IF(AND(NOT(ISNA(VLOOKUP(Y79,Y6:AC78,5,FALSE))),Z79="",AA79&lt;&gt;""),ROUND((VLOOKUP(Y79,Y6:AC78,5,FALSE)-AC79)/1000,3),"")))))</f>
        <v/>
      </c>
      <c r="AE79" s="19">
        <f>IF(AE78="","",AE78+1)</f>
        <v>573</v>
      </c>
      <c r="AF79" s="39"/>
      <c r="AG79" s="39"/>
      <c r="AH79" s="15" t="str">
        <f>IF(AND(AF79&lt;&gt;"",AG79&lt;&gt;""),ROUND(AF79,3)+ROUND(AH78,3)-ROUND(AG79,3),IF(AND(EXACT(UPPER(AE79),"TBM"),AF79&lt;&gt;""),ROUND(AF79,3),IF(AF79="",AH78,IF(ISNA(VLOOKUP(AE79,A6:E105,5,FALSE)),IF(ISNA(VLOOKUP(AE79,G6:K105,5,FALSE)),IF(ISNA(VLOOKUP(AE79,M6:Q105,5,FALSE)),IF(ISNA(VLOOKUP(AE79,S6:W105,5,FALSE)),IF(ISNA(VLOOKUP(AE79,Y6:AC105,5,FALSE)),IF(ISNA(VLOOKUP(AE79,AE6:AI78,5,FALSE)),"",ROUND(VLOOKUP(AE79,AE6:AI78,5,FALSE),0)/1000+ROUND(AF79,3)),ROUND(VLOOKUP(AE79,Y6:AC105,5,FALSE),0)/1000+ROUND(AF79,3)),ROUND(VLOOKUP(AE79,S6:W105,5,FALSE),0)/1000+ROUND(AF79,3)),ROUND(VLOOKUP(AE79,M6:Q105,5,FALSE),0)/1000+ROUND(AF79,3)),ROUND(VLOOKUP(AE79,G6:K105,5,FALSE),0)/1000+ROUND(AF79,3)),ROUND(VLOOKUP(AE79,A6:E105,5,FALSE),0)/1000+ROUND(AF79,3)))))</f>
        <v/>
      </c>
      <c r="AI79" s="18" t="str">
        <f>IF(OR(NOT(EXACT(UPPER(AE79),"TBM")),AF79=""),IF(AND(AF79&lt;&gt;"",AG79="",AH79&lt;&gt;""),"",IF(AND(AF79="",AG79&lt;&gt;"",AH79&lt;&gt;""),ROUND(ROUND(AH79,3)-ROUND(AG79,3),3)*1000,IF(AND(AF79&lt;&gt;"",AG79&lt;&gt;"",AH79&lt;&gt;""),ROUND(ROUND(AH78,3)-ROUND(AG79,3),3)*1000,""))),"")</f>
        <v/>
      </c>
      <c r="AJ79" s="45" t="str">
        <f>IF(AND(NOT(ISNA(VLOOKUP(AE79,A6:E105,5,FALSE))),AF79="",AG79&lt;&gt;""),ROUND((VLOOKUP(AE79,A6:E105,5,FALSE)-AI79)/1000,3),IF(AND(NOT(ISNA(VLOOKUP(AE79,G6:K105,5,FALSE))),AF79="",AG79&lt;&gt;""),ROUND((VLOOKUP(AE79,G6:K105,5,FALSE)-AI79)/1000,3),IF(AND(NOT(ISNA(VLOOKUP(AE79,M6:Q105,5,FALSE))),AF79="",AG79&lt;&gt;""),ROUND((VLOOKUP(AE79,M6:Q105,5,FALSE)-AI79)/1000,3),IF(AND(NOT(ISNA(VLOOKUP(AE79,S6:W105,5,FALSE))),AF79="",AG79&lt;&gt;""),ROUND((VLOOKUP(AE79,S6:W105,5,FALSE)-AI79)/1000,3),IF(AND(NOT(ISNA(VLOOKUP(AE79,Y6:AC105,5,FALSE))),AF79="",AG79&lt;&gt;""),ROUND((VLOOKUP(AE79,Y6:AC105,5,FALSE)-AI79)/1000,3),IF(AND(NOT(ISNA(VLOOKUP(AE79,AE6:AI78,5,FALSE))),AF79="",AG79&lt;&gt;""),ROUND((VLOOKUP(AE79,AE6:AI78,5,FALSE)-AI79)/1000,3),""))))))</f>
        <v/>
      </c>
      <c r="AK79" s="19">
        <f>IF(AK78="","",AK78+1)</f>
        <v>673</v>
      </c>
      <c r="AL79" s="39"/>
      <c r="AM79" s="39"/>
      <c r="AN79" s="15" t="str">
        <f>IF(AND(AL79&lt;&gt;"",AM79&lt;&gt;""),ROUND(AL79,3)+ROUND(AN78,3)-ROUND(AM79,3),IF(AND(EXACT(UPPER(AK79),"TBM"),AL79&lt;&gt;""),ROUND(AL79,3),IF(AL79="",AN78,IF(ISNA(VLOOKUP(AK79,A6:E105,5,FALSE)),IF(ISNA(VLOOKUP(AK79,G6:K105,5,FALSE)),IF(ISNA(VLOOKUP(AK79,M6:Q105,5,FALSE)),IF(ISNA(VLOOKUP(AK79,S6:W105,5,FALSE)),IF(ISNA(VLOOKUP(AK79,Y6:AC105,5,FALSE)),IF(ISNA(VLOOKUP(AK79,AE6:AI105,5,FALSE)),IF(ISNA(VLOOKUP(AK79,AK6:AO78,5,FALSE)),"",ROUND(VLOOKUP(AK79,AK6:AO78,5,FALSE),0)/1000+ROUND(AL79,3)),ROUND(VLOOKUP(AK79,AE6:AI105,5,FALSE),0)/1000+ROUND(AL79,3)),ROUND(VLOOKUP(AK79,Y6:AC105,5,FALSE),0)/1000+ROUND(AL79,3)),ROUND(VLOOKUP(AK79,S6:W105,5,FALSE),0)/1000+ROUND(AL79,3)),ROUND(VLOOKUP(AK79,M6:Q105,5,FALSE),0)/1000+ROUND(AL79,3)),ROUND(VLOOKUP(AK79,G6:K105,5,FALSE),0)/1000+ROUND(AL79,3)),ROUND(VLOOKUP(AK79,A6:E105,5,FALSE),0)/1000+ROUND(AL79,3)))))</f>
        <v/>
      </c>
      <c r="AO79" s="18" t="str">
        <f>IF(OR(NOT(EXACT(UPPER(AK79),"TBM")),AL79=""),IF(AND(AL79&lt;&gt;"",AM79="",AN79&lt;&gt;""),"",IF(AND(AL79="",AM79&lt;&gt;"",AN79&lt;&gt;""),ROUND(ROUND(AN79,3)-ROUND(AM79,3),3)*1000,IF(AND(AL79&lt;&gt;"",AM79&lt;&gt;"",AN79&lt;&gt;""),ROUND(ROUND(AN78,3)-ROUND(AM79,3),3)*1000,""))),"")</f>
        <v/>
      </c>
      <c r="AP79" s="45" t="str">
        <f>IF(AND(NOT(ISNA(VLOOKUP(AK79,A6:E105,5,FALSE))),AL79="",AM79&lt;&gt;""),ROUND((VLOOKUP(AK79,A6:E105,5,FALSE)-AO79)/1000,3),IF(AND(NOT(ISNA(VLOOKUP(AK79,G6:K105,5,FALSE))),AL79="",AM79&lt;&gt;""),ROUND((VLOOKUP(AK79,G6:K105,5,FALSE)-AO79)/1000,3),IF(AND(NOT(ISNA(VLOOKUP(AK79,M6:Q105,5,FALSE))),AL79="",AM79&lt;&gt;""),ROUND((VLOOKUP(AK79,M6:Q105,5,FALSE)-AO79)/1000,3),IF(AND(NOT(ISNA(VLOOKUP(AK79,S6:W105,5,FALSE))),AL79="",AM79&lt;&gt;""),ROUND((VLOOKUP(AK79,S6:W105,5,FALSE)-AO79)/1000,3),IF(AND(NOT(ISNA(VLOOKUP(AK79,Y6:AC105,5,FALSE))),AL79="",AM79&lt;&gt;""),ROUND((VLOOKUP(AK79,Y6:AC105,5,FALSE)-AO79)/1000,3),IF(AND(NOT(ISNA(VLOOKUP(AK79,AE6:AI105,5,FALSE))),AL79="",AM79&lt;&gt;""),ROUND((VLOOKUP(AK79,AE6:AI105,5,FALSE)-AO79)/1000,3),IF(AND(NOT(ISNA(VLOOKUP(AK79,AK6:AO78,5,FALSE))),AL79="",AM79&lt;&gt;""),ROUND((VLOOKUP(AK79,AK6:AO78,5,FALSE)-AO79)/1000,3),"")))))))</f>
        <v/>
      </c>
      <c r="AQ79" s="19">
        <f>IF(AQ78="","",AQ78+1)</f>
        <v>773</v>
      </c>
      <c r="AR79" s="39"/>
      <c r="AS79" s="39"/>
      <c r="AT79" s="15" t="str">
        <f>IF(AND(AR79&lt;&gt;"",AS79&lt;&gt;""),ROUND(AR79,3)+ROUND(AT78,3)-ROUND(AS79,3),IF(AND(EXACT(UPPER(AQ79),"TBM"),AR79&lt;&gt;""),ROUND(AR79,3),IF(AR79="",AT78,IF(ISNA(VLOOKUP(AQ79,A6:E105,5,FALSE)),IF(ISNA(VLOOKUP(AQ79,G6:K105,5,FALSE)),IF(ISNA(VLOOKUP(AQ79,M6:Q105,5,FALSE)),IF(ISNA(VLOOKUP(AQ79,S6:W105,5,FALSE)),IF(ISNA(VLOOKUP(AQ79,Y6:AC105,5,FALSE)),IF(ISNA(VLOOKUP(AQ79,AE6:AI105,5,FALSE)),IF(ISNA(VLOOKUP(AQ79,AK6:AO105,5,FALSE)),IF(ISNA(VLOOKUP(AQ79,AQ6:AU78,5,FALSE)),"",ROUND(VLOOKUP(AQ79,AQ6:AU78,5,FALSE),0)/1000+ROUND(AR79,3)),ROUND(VLOOKUP(AQ79,AK6:AO105,5,FALSE),0)/1000+ROUND(AR79,3)),ROUND(VLOOKUP(AQ79,AE6:AI105,5,FALSE),0)/1000+ROUND(AR79,3)),ROUND(VLOOKUP(AQ79,Y6:AC105,5,FALSE),0)/1000+ROUND(AR79,3)),ROUND(VLOOKUP(AQ79,S6:W105,5,FALSE),0)/1000+ROUND(AR79,3)),ROUND(VLOOKUP(AQ79,M6:Q105,5,FALSE),0)/1000+ROUND(AR79,3)),ROUND(VLOOKUP(AQ79,G6:K105,5,FALSE),0)/1000+ROUND(AR79,3)),ROUND(VLOOKUP(AQ79,A6:E105,5,FALSE),0)/1000+ROUND(AR79,3)))))</f>
        <v/>
      </c>
      <c r="AU79" s="18" t="str">
        <f>IF(OR(NOT(EXACT(UPPER(AQ79),"TBM")),AR79=""),IF(AND(AR79&lt;&gt;"",AS79="",AT79&lt;&gt;""),"",IF(AND(AR79="",AS79&lt;&gt;"",AT79&lt;&gt;""),ROUND(ROUND(AT79,3)-ROUND(AS79,3),3)*1000,IF(AND(AR79&lt;&gt;"",AS79&lt;&gt;"",AT79&lt;&gt;""),ROUND(ROUND(AT78,3)-ROUND(AS79,3),3)*1000,""))),"")</f>
        <v/>
      </c>
      <c r="AV79" s="45" t="str">
        <f>IF(AND(NOT(ISNA(VLOOKUP(AQ79,A6:E105,5,FALSE))),AR79="",AS79&lt;&gt;""),ROUND((VLOOKUP(AQ79,A6:E105,5,FALSE)-AU79)/1000,3),IF(AND(NOT(ISNA(VLOOKUP(AQ79,G6:K105,5,FALSE))),AR79="",AS79&lt;&gt;""),ROUND((VLOOKUP(AQ79,G6:K105,5,FALSE)-AU79)/1000,3),IF(AND(NOT(ISNA(VLOOKUP(AQ79,M6:Q105,5,FALSE))),AR79="",AS79&lt;&gt;""),ROUND((VLOOKUP(AQ79,M6:Q105,5,FALSE)-AU79)/1000,3),IF(AND(NOT(ISNA(VLOOKUP(AQ79,S6:W105,5,FALSE))),AR79="",AS79&lt;&gt;""),ROUND((VLOOKUP(AQ79,S6:W105,5,FALSE)-AU79)/1000,3),IF(AND(NOT(ISNA(VLOOKUP(AQ79,Y6:AC105,5,FALSE))),AR79="",AS79&lt;&gt;""),ROUND((VLOOKUP(AQ79,Y6:AC105,5,FALSE)-AU79)/1000,3),IF(AND(NOT(ISNA(VLOOKUP(AQ79,AE6:AI105,5,FALSE))),AR79="",AS79&lt;&gt;""),ROUND((VLOOKUP(AQ79,AE6:AI105,5,FALSE)-AU79)/1000,3),IF(AND(NOT(ISNA(VLOOKUP(AQ79,AK6:AO105,5,FALSE))),AR79="",AS79&lt;&gt;""),ROUND((VLOOKUP(AQ79,AK6:AO105,5,FALSE)-AU79)/1000,3),IF(AND(NOT(ISNA(VLOOKUP(AQ79,AQ6:AU78,5,FALSE))),AR79="",AS79&lt;&gt;""),ROUND((VLOOKUP(AQ79,AQ6:AU78,5,FALSE)-AU79)/1000,3),""))))))))</f>
        <v/>
      </c>
      <c r="AW79" s="19">
        <f>IF(AW78="","",AW78+1)</f>
        <v>873</v>
      </c>
      <c r="AX79" s="39"/>
      <c r="AY79" s="39"/>
      <c r="AZ79" s="15" t="str">
        <f>IF(AND(AX79&lt;&gt;"",AY79&lt;&gt;""),ROUND(AX79,3)+ROUND(AZ78,3)-ROUND(AY79,3),IF(AND(EXACT(UPPER(AW79),"TBM"),AX79&lt;&gt;""),ROUND(AX79,3),IF(AX79="",AZ78,IF(ISNA(VLOOKUP(AW79,A6:E105,5,FALSE)),IF(ISNA(VLOOKUP(AW79,G6:K105,5,FALSE)),IF(ISNA(VLOOKUP(AW79,M6:Q105,5,FALSE)),IF(ISNA(VLOOKUP(AW79,S6:W105,5,FALSE)),IF(ISNA(VLOOKUP(AW79,Y6:AC105,5,FALSE)),IF(ISNA(VLOOKUP(AW79,AE6:AI105,5,FALSE)),IF(ISNA(VLOOKUP(AW79,AK6:AO105,5,FALSE)),IF(ISNA(VLOOKUP(AW79,AQ6:AU105,5,FALSE)),IF(ISNA(VLOOKUP(AW79,AW6:BA78,5,FALSE)),"",ROUND(VLOOKUP(AW79,AW6:BA78,5,FALSE),0)/1000+ROUND(AX79,3)),ROUND(VLOOKUP(AW79,AQ6:AU105,5,FALSE),0)/1000+ROUND(AX79,3)),ROUND(VLOOKUP(AW79,AK6:AO105,5,FALSE),0)/1000+ROUND(AX79,3)),ROUND(VLOOKUP(AW79,AE6:AI105,5,FALSE),0)/1000+ROUND(AX79,3)),ROUND(VLOOKUP(AW79,Y6:AC105,5,FALSE),0)/1000+ROUND(AX79,3)),ROUND(VLOOKUP(AW79,S6:W105,5,FALSE),0)/1000+ROUND(AX79,3)),ROUND(VLOOKUP(AW79,M6:Q105,5,FALSE),0)/1000+ROUND(AX79,3)),ROUND(VLOOKUP(AW79,G6:K105,5,FALSE),0)/1000+ROUND(AX79,3)),ROUND(VLOOKUP(AW79,A6:E105,5,FALSE),0)/1000+ROUND(AX79,3)))))</f>
        <v/>
      </c>
      <c r="BA79" s="18" t="str">
        <f>IF(OR(NOT(EXACT(UPPER(AW79),"TBM")),AX79=""),IF(AND(AX79&lt;&gt;"",AY79="",AZ79&lt;&gt;""),"",IF(AND(AX79="",AY79&lt;&gt;"",AZ79&lt;&gt;""),ROUND(ROUND(AZ79,3)-ROUND(AY79,3),3)*1000,IF(AND(AX79&lt;&gt;"",AY79&lt;&gt;"",AZ79&lt;&gt;""),ROUND(ROUND(AZ78,3)-ROUND(AY79,3),3)*1000,""))),"")</f>
        <v/>
      </c>
      <c r="BB79" s="45" t="str">
        <f>IF(AND(NOT(ISNA(VLOOKUP(AW79,A6:E105,5,FALSE))),AX79="",AY79&lt;&gt;""),ROUND((VLOOKUP(AW79,A6:E105,5,FALSE)-BA79)/1000,3),IF(AND(NOT(ISNA(VLOOKUP(AW79,G6:K105,5,FALSE))),AX79="",AY79&lt;&gt;""),ROUND((VLOOKUP(AW79,G6:K105,5,FALSE)-BA79)/1000,3),IF(AND(NOT(ISNA(VLOOKUP(AW79,M6:Q105,5,FALSE))),AX79="",AY79&lt;&gt;""),ROUND((VLOOKUP(AW79,M6:Q105,5,FALSE)-BA79)/1000,3),IF(AND(NOT(ISNA(VLOOKUP(AW79,S6:W105,5,FALSE))),AX79="",AY79&lt;&gt;""),ROUND((VLOOKUP(AW79,S6:W105,5,FALSE)-BA79)/1000,3),IF(AND(NOT(ISNA(VLOOKUP(AW79,Y6:AC105,5,FALSE))),AX79="",AY79&lt;&gt;""),ROUND((VLOOKUP(AW79,Y6:AC105,5,FALSE)-BA79)/1000,3),IF(AND(NOT(ISNA(VLOOKUP(AW79,AE6:AI105,5,FALSE))),AX79="",AY79&lt;&gt;""),ROUND((VLOOKUP(AW79,AE6:AI105,5,FALSE)-BA79)/1000,3),IF(AND(NOT(ISNA(VLOOKUP(AW79,AK6:AO105,5,FALSE))),AX79="",AY79&lt;&gt;""),ROUND((VLOOKUP(AW79,AK6:AO105,5,FALSE)-BA79)/1000,3),IF(AND(NOT(ISNA(VLOOKUP(AW79,AQ6:AU105,5,FALSE))),AX79="",AY79&lt;&gt;""),ROUND((VLOOKUP(AW79,AQ6:AU105,5,FALSE)-BA79)/1000,3),IF(AND(NOT(ISNA(VLOOKUP(AW79,AW6:BA78,5,FALSE))),AX79="",AY79&lt;&gt;""),ROUND((VLOOKUP(AW79,AW6:BA78,5,FALSE)-BA79)/1000,3),"")))))))))</f>
        <v/>
      </c>
      <c r="BC79" s="19">
        <f>IF(BC78="","",BC78+1)</f>
        <v>973</v>
      </c>
      <c r="BD79" s="39"/>
      <c r="BE79" s="39"/>
      <c r="BF79" s="15" t="str">
        <f>IF(AND(BD79&lt;&gt;"",BE79&lt;&gt;""),ROUND(BD79,3)+ROUND(BF78,3)-ROUND(BE79,3),IF(AND(EXACT(UPPER(BC79),"TBM"),BD79&lt;&gt;""),ROUND(BD79,3),IF(BD79="",BF78,IF(ISNA(VLOOKUP(BC79,A6:E105,5,FALSE)),IF(ISNA(VLOOKUP(BC79,G6:K105,5,FALSE)),IF(ISNA(VLOOKUP(BC79,M6:Q105,5,FALSE)),IF(ISNA(VLOOKUP(BC79,S6:W105,5,FALSE)),IF(ISNA(VLOOKUP(BC79,Y6:AC105,5,FALSE)),IF(ISNA(VLOOKUP(BC79,AE6:AI105,5,FALSE)),IF(ISNA(VLOOKUP(BC79,AK6:AO105,5,FALSE)),IF(ISNA(VLOOKUP(BC79,AQ6:AU105,5,FALSE)),IF(ISNA(VLOOKUP(BC79,AW6:BA105,5,FALSE)),IF(ISNA(VLOOKUP(BC79,BC6:BG78,5,FALSE)),"",ROUND(VLOOKUP(BC79,BC6:BG78,5,FALSE),0)/1000+ROUND(BD79,3)),ROUND(VLOOKUP(BC79,AW6:BA105,5,FALSE),0)/1000+ROUND(BD79,3)),ROUND(VLOOKUP(BC79,AQ6:AU105,5,FALSE),0)/1000+ROUND(BD79,3)),ROUND(VLOOKUP(BC79,AK6:AO105,5,FALSE),0)/1000+ROUND(BD79,3)),ROUND(VLOOKUP(BC79,AE6:AI105,5,FALSE),0)/1000+ROUND(BD79,3)),ROUND(VLOOKUP(BC79,Y6:AC105,5,FALSE),0)/1000+ROUND(BD79,3)),ROUND(VLOOKUP(BC79,S6:W105,5,FALSE),0)/1000+ROUND(BD79,3)),ROUND(VLOOKUP(BC79,M6:Q105,5,FALSE),0)/1000+ROUND(BD79,3)),ROUND(VLOOKUP(BC79,G6:K105,5,FALSE),0)/1000+ROUND(BD79,3)),ROUND(VLOOKUP(BC79,A6:E105,5,FALSE),0)/1000+ROUND(BD79,3)))))</f>
        <v/>
      </c>
      <c r="BG79" s="18" t="str">
        <f>IF(OR(NOT(EXACT(UPPER(BC79),"TBM")),BD79=""),IF(AND(BD79&lt;&gt;"",BE79="",BF79&lt;&gt;""),"",IF(AND(BD79="",BE79&lt;&gt;"",BF79&lt;&gt;""),ROUND(ROUND(BF79,3)-ROUND(BE79,3),3)*1000,IF(AND(BD79&lt;&gt;"",BE79&lt;&gt;"",BF79&lt;&gt;""),ROUND(ROUND(BF78,3)-ROUND(BE79,3),3)*1000,""))),"")</f>
        <v/>
      </c>
      <c r="BH79" s="45" t="str">
        <f>IF(AND(NOT(ISNA(VLOOKUP(BC79,A6:E105,5,FALSE))),BD79="",BE79&lt;&gt;""),ROUND((VLOOKUP(BC79,A6:E105,5,FALSE)-BG79)/1000,3),IF(AND(NOT(ISNA(VLOOKUP(BC79,G6:K105,5,FALSE))),BD79="",BE79&lt;&gt;""),ROUND((VLOOKUP(BC79,G6:K105,5,FALSE)-BG79)/1000,3),IF(AND(NOT(ISNA(VLOOKUP(BC79,M6:Q105,5,FALSE))),BD79="",BE79&lt;&gt;""),ROUND((VLOOKUP(BC79,M6:Q105,5,FALSE)-BG79)/1000,3),IF(AND(NOT(ISNA(VLOOKUP(BC79,S6:W105,5,FALSE))),BD79="",BE79&lt;&gt;""),ROUND((VLOOKUP(BC79,S6:W105,5,FALSE)-BG79)/1000,3),IF(AND(NOT(ISNA(VLOOKUP(BC79,Y6:AC105,5,FALSE))),BD79="",BE79&lt;&gt;""),ROUND((VLOOKUP(BC79,Y6:AC105,5,FALSE)-BG79)/1000,3),IF(AND(NOT(ISNA(VLOOKUP(BC79,AE6:AI105,5,FALSE))),BD79="",BE79&lt;&gt;""),ROUND((VLOOKUP(BC79,AE6:AI105,5,FALSE)-BG79)/1000,3),IF(AND(NOT(ISNA(VLOOKUP(BC79,AK6:AO105,5,FALSE))),BD79="",BE79&lt;&gt;""),ROUND((VLOOKUP(BC79,AK6:AO105,5,FALSE)-BG79)/1000,3),IF(AND(NOT(ISNA(VLOOKUP(BC79,AQ6:AU105,5,FALSE))),BD79="",BE79&lt;&gt;""),ROUND((VLOOKUP(BC79,AQ6:AU105,5,FALSE)-BG79)/1000,3),IF(AND(NOT(ISNA(VLOOKUP(BC79,AW6:BA105,5,FALSE))),BD79="",BE79&lt;&gt;""),ROUND((VLOOKUP(BC79,AW6:BA105,5,FALSE)-BG79)/1000,3),IF(AND(NOT(ISNA(VLOOKUP(BC79,BC6:BG78,5,FALSE))),BD79="",BE79&lt;&gt;""),ROUND((VLOOKUP(BC79,BC6:BG78,5,FALSE)-BG79)/1000,3),""))))))))))</f>
        <v/>
      </c>
    </row>
    <row r="80" spans="1:60" x14ac:dyDescent="0.25">
      <c r="A80" s="67">
        <f t="shared" si="9"/>
        <v>74</v>
      </c>
      <c r="B80" s="40"/>
      <c r="C80" s="40"/>
      <c r="D80" s="62" t="str">
        <f>IF(AND(B80&lt;&gt;"",C80&lt;&gt;""),ROUND(B80,3)+ROUND(D79,3)-ROUND(C80,3),IF(AND(EXACT(UPPER(A80),"TBM"),B80&lt;&gt;""),ROUND(B80,3),IF(B80="",D79,IF(ISNA(VLOOKUP(A80,A6:E79,5,FALSE)),"",ROUND(VLOOKUP(A80,A6:E79,5,FALSE),0)/1000+ROUND(B80,3)))))</f>
        <v/>
      </c>
      <c r="E80" s="20" t="str">
        <f t="shared" si="6"/>
        <v/>
      </c>
      <c r="F80" s="46" t="str">
        <f>IF(AND(NOT(ISNA(VLOOKUP(A80,A6:E79,5,FALSE))),B80="",C80&lt;&gt;""),ROUND((VLOOKUP(A80,A6:E79,5,FALSE)-E80)/1000,3),"")</f>
        <v/>
      </c>
      <c r="G80" s="67">
        <f t="shared" si="7"/>
        <v>174</v>
      </c>
      <c r="H80" s="40"/>
      <c r="I80" s="40"/>
      <c r="J80" s="62" t="str">
        <f>IF(AND(H80&lt;&gt;"",I80&lt;&gt;""),ROUND(H80,3)+ROUND(J79,3)-ROUND(I80,3),IF(AND(EXACT(UPPER(G80),"TBM"),H80&lt;&gt;""),ROUND(H80,3),IF(H80="",J79,IF(ISNA(VLOOKUP(G80,A6:E105,5,FALSE)),IF(ISNA(VLOOKUP(G80,G6:K79,5,FALSE)),"",ROUND(VLOOKUP(G80,G6:K79,5,FALSE),0)/1000+ROUND(H80,3)),ROUND(VLOOKUP(G80,A6:E105,5,FALSE),0)/1000+ROUND(H80,3)))))</f>
        <v/>
      </c>
      <c r="K80" s="63" t="str">
        <f t="shared" si="8"/>
        <v/>
      </c>
      <c r="L80" s="46" t="str">
        <f>IF(AND(NOT(ISNA(VLOOKUP(G80,A6:E105,5,FALSE))),H80="",I80&lt;&gt;""),ROUND((VLOOKUP(G80,A6:E105,5,FALSE)-K80)/1000,3),IF(AND(NOT(ISNA(VLOOKUP(G80,G6:K79,5,FALSE))),H80="",I80&lt;&gt;""),ROUND((VLOOKUP(G80,G6:K79,5,FALSE)-K80)/1000,3),""))</f>
        <v/>
      </c>
      <c r="M80" s="67">
        <f>IF(M79="","",M79+1)</f>
        <v>274</v>
      </c>
      <c r="N80" s="40"/>
      <c r="O80" s="40"/>
      <c r="P80" s="62" t="str">
        <f>IF(AND(N80&lt;&gt;"",O80&lt;&gt;""),ROUND(N80,3)+ROUND(P79,3)-ROUND(O80,3),IF(AND(EXACT(UPPER(M80),"TBM"),N80&lt;&gt;""),ROUND(N80,3),IF(N80="",P79,IF(ISNA(VLOOKUP(M80,A6:E105,5,FALSE)),IF(ISNA(VLOOKUP(M80,G6:K105,5,FALSE)),IF(ISNA(VLOOKUP(M80,M6:Q79,5,FALSE)),"",ROUND(VLOOKUP(M80,M6:Q79,5,FALSE),0)/1000+ROUND(N80,3)),ROUND(VLOOKUP(M80,G6:K105,5,FALSE),0)/1000+ROUND(N80,3)),ROUND(VLOOKUP(M80,A6:E105,5,FALSE),0)/1000+ROUND(N80,3)))))</f>
        <v/>
      </c>
      <c r="Q80" s="63" t="str">
        <f>IF(OR(NOT(EXACT(UPPER(M80),"TBM")),N80=""),IF(AND(N80&lt;&gt;"",O80="",P80&lt;&gt;""),"",IF(AND(N80="",O80&lt;&gt;"",P80&lt;&gt;""),ROUND(ROUND(P80,3)-ROUND(O80,3),3)*1000,IF(AND(N80&lt;&gt;"",O80&lt;&gt;"",P80&lt;&gt;""),ROUND(ROUND(P79,3)-ROUND(O80,3),3)*1000,""))),"")</f>
        <v/>
      </c>
      <c r="R80" s="46" t="str">
        <f>IF(AND(NOT(ISNA(VLOOKUP(M80,A6:E105,5,FALSE))),N80="",O80&lt;&gt;""),ROUND((VLOOKUP(M80,A6:E105,5,FALSE)-Q80)/1000,3),IF(AND(NOT(ISNA(VLOOKUP(M80,G6:K105,5,FALSE))),N80="",O80&lt;&gt;""),ROUND((VLOOKUP(M80,G6:K105,5,FALSE)-Q80)/1000,3),IF(AND(NOT(ISNA(VLOOKUP(M80,M6:Q79,5,FALSE))),N80="",O80&lt;&gt;""),ROUND((VLOOKUP(M80,M6:Q79,5,FALSE)-Q80)/1000,3),"")))</f>
        <v/>
      </c>
      <c r="S80" s="67">
        <f>IF(S79="","",S79+1)</f>
        <v>374</v>
      </c>
      <c r="T80" s="40"/>
      <c r="U80" s="40"/>
      <c r="V80" s="62" t="str">
        <f>IF(AND(T80&lt;&gt;"",U80&lt;&gt;""),ROUND(T80,3)+ROUND(V79,3)-ROUND(U80,3),IF(AND(EXACT(UPPER(S80),"TBM"),T80&lt;&gt;""),ROUND(T80,3),IF(T80="",V79,IF(ISNA(VLOOKUP(S80,A6:E105,5,FALSE)),IF(ISNA(VLOOKUP(S80,G6:K105,5,FALSE)),IF(ISNA(VLOOKUP(S80,M6:Q105,5,FALSE)),IF(ISNA(VLOOKUP(S80,S6:W79,5,FALSE)),"",ROUND(VLOOKUP(S80,S6:W79,5,FALSE),0)/1000+ROUND(T80,3)),ROUND(VLOOKUP(S80,M6:Q105,5,FALSE),0)/1000+ROUND(T80,3)),ROUND(VLOOKUP(S80,G6:K105,5,FALSE),0)/1000+ROUND(T80,3)),ROUND(VLOOKUP(S80,A6:E105,5,FALSE),0)/1000+ROUND(T80,3)))))</f>
        <v/>
      </c>
      <c r="W80" s="63" t="str">
        <f>IF(OR(NOT(EXACT(UPPER(S80),"TBM")),T80=""),IF(AND(T80&lt;&gt;"",U80="",V80&lt;&gt;""),"",IF(AND(T80="",U80&lt;&gt;"",V80&lt;&gt;""),ROUND(ROUND(V80,3)-ROUND(U80,3),3)*1000,IF(AND(T80&lt;&gt;"",U80&lt;&gt;"",V80&lt;&gt;""),ROUND(ROUND(V79,3)-ROUND(U80,3),3)*1000,""))),"")</f>
        <v/>
      </c>
      <c r="X80" s="46" t="str">
        <f>IF(AND(NOT(ISNA(VLOOKUP(S80,A6:E105,5,FALSE))),T80="",U80&lt;&gt;""),ROUND((VLOOKUP(S80,A6:E105,5,FALSE)-W80)/1000,3),IF(AND(NOT(ISNA(VLOOKUP(S80,G6:K105,5,FALSE))),T80="",U80&lt;&gt;""),ROUND((VLOOKUP(S80,G6:K105,5,FALSE)-W80)/1000,3),IF(AND(NOT(ISNA(VLOOKUP(S80,M6:Q105,5,FALSE))),T80="",U80&lt;&gt;""),ROUND((VLOOKUP(S80,M6:Q105,5,FALSE)-W80)/1000,3),IF(AND(NOT(ISNA(VLOOKUP(S80,S6:W79,5,FALSE))),T80="",U80&lt;&gt;""),ROUND((VLOOKUP(S80,S6:W79,5,FALSE)-W80)/1000,3),""))))</f>
        <v/>
      </c>
      <c r="Y80" s="67">
        <f>IF(Y79="","",Y79+1)</f>
        <v>474</v>
      </c>
      <c r="Z80" s="40"/>
      <c r="AA80" s="40"/>
      <c r="AB80" s="62" t="str">
        <f>IF(AND(Z80&lt;&gt;"",AA80&lt;&gt;""),ROUND(Z80,3)+ROUND(AB79,3)-ROUND(AA80,3),IF(AND(EXACT(UPPER(Y80),"TBM"),Z80&lt;&gt;""),ROUND(Z80,3),IF(Z80="",AB79,IF(ISNA(VLOOKUP(Y80,A6:E105,5,FALSE)),IF(ISNA(VLOOKUP(Y80,G6:K105,5,FALSE)),IF(ISNA(VLOOKUP(Y80,M6:Q105,5,FALSE)),IF(ISNA(VLOOKUP(Y80,S6:W105,5,FALSE)),IF(ISNA(VLOOKUP(Y80,Y6:AC79,5,FALSE)),"",ROUND(VLOOKUP(Y80,Y6:AC79,5,FALSE),0)/1000+ROUND(Z80,3)),ROUND(VLOOKUP(Y80,S6:W105,5,FALSE),0)/1000+ROUND(Z80,3)),ROUND(VLOOKUP(Y80,M6:Q105,5,FALSE),0)/1000+ROUND(Z80,3)),ROUND(VLOOKUP(Y80,G6:K105,5,FALSE),0)/1000+ROUND(Z80,3)),ROUND(VLOOKUP(Y80,A6:E105,5,FALSE),0)/1000+ROUND(Z80,3)))))</f>
        <v/>
      </c>
      <c r="AC80" s="63" t="str">
        <f>IF(OR(NOT(EXACT(UPPER(Y80),"TBM")),Z80=""),IF(AND(Z80&lt;&gt;"",AA80="",AB80&lt;&gt;""),"",IF(AND(Z80="",AA80&lt;&gt;"",AB80&lt;&gt;""),ROUND(ROUND(AB80,3)-ROUND(AA80,3),3)*1000,IF(AND(Z80&lt;&gt;"",AA80&lt;&gt;"",AB80&lt;&gt;""),ROUND(ROUND(AB79,3)-ROUND(AA80,3),3)*1000,""))),"")</f>
        <v/>
      </c>
      <c r="AD80" s="46" t="str">
        <f>IF(AND(NOT(ISNA(VLOOKUP(Y80,A6:E105,5,FALSE))),Z80="",AA80&lt;&gt;""),ROUND((VLOOKUP(Y80,A6:E105,5,FALSE)-AC80)/1000,3),IF(AND(NOT(ISNA(VLOOKUP(Y80,G6:K105,5,FALSE))),Z80="",AA80&lt;&gt;""),ROUND((VLOOKUP(Y80,G6:K105,5,FALSE)-AC80)/1000,3),IF(AND(NOT(ISNA(VLOOKUP(Y80,M6:Q105,5,FALSE))),Z80="",AA80&lt;&gt;""),ROUND((VLOOKUP(Y80,M6:Q105,5,FALSE)-AC80)/1000,3),IF(AND(NOT(ISNA(VLOOKUP(Y80,S6:W105,5,FALSE))),Z80="",AA80&lt;&gt;""),ROUND((VLOOKUP(Y80,S6:W105,5,FALSE)-AC80)/1000,3),IF(AND(NOT(ISNA(VLOOKUP(Y80,Y6:AC79,5,FALSE))),Z80="",AA80&lt;&gt;""),ROUND((VLOOKUP(Y80,Y6:AC79,5,FALSE)-AC80)/1000,3),"")))))</f>
        <v/>
      </c>
      <c r="AE80" s="67">
        <f>IF(AE79="","",AE79+1)</f>
        <v>574</v>
      </c>
      <c r="AF80" s="40"/>
      <c r="AG80" s="40"/>
      <c r="AH80" s="62" t="str">
        <f>IF(AND(AF80&lt;&gt;"",AG80&lt;&gt;""),ROUND(AF80,3)+ROUND(AH79,3)-ROUND(AG80,3),IF(AND(EXACT(UPPER(AE80),"TBM"),AF80&lt;&gt;""),ROUND(AF80,3),IF(AF80="",AH79,IF(ISNA(VLOOKUP(AE80,A6:E105,5,FALSE)),IF(ISNA(VLOOKUP(AE80,G6:K105,5,FALSE)),IF(ISNA(VLOOKUP(AE80,M6:Q105,5,FALSE)),IF(ISNA(VLOOKUP(AE80,S6:W105,5,FALSE)),IF(ISNA(VLOOKUP(AE80,Y6:AC105,5,FALSE)),IF(ISNA(VLOOKUP(AE80,AE6:AI79,5,FALSE)),"",ROUND(VLOOKUP(AE80,AE6:AI79,5,FALSE),0)/1000+ROUND(AF80,3)),ROUND(VLOOKUP(AE80,Y6:AC105,5,FALSE),0)/1000+ROUND(AF80,3)),ROUND(VLOOKUP(AE80,S6:W105,5,FALSE),0)/1000+ROUND(AF80,3)),ROUND(VLOOKUP(AE80,M6:Q105,5,FALSE),0)/1000+ROUND(AF80,3)),ROUND(VLOOKUP(AE80,G6:K105,5,FALSE),0)/1000+ROUND(AF80,3)),ROUND(VLOOKUP(AE80,A6:E105,5,FALSE),0)/1000+ROUND(AF80,3)))))</f>
        <v/>
      </c>
      <c r="AI80" s="63" t="str">
        <f>IF(OR(NOT(EXACT(UPPER(AE80),"TBM")),AF80=""),IF(AND(AF80&lt;&gt;"",AG80="",AH80&lt;&gt;""),"",IF(AND(AF80="",AG80&lt;&gt;"",AH80&lt;&gt;""),ROUND(ROUND(AH80,3)-ROUND(AG80,3),3)*1000,IF(AND(AF80&lt;&gt;"",AG80&lt;&gt;"",AH80&lt;&gt;""),ROUND(ROUND(AH79,3)-ROUND(AG80,3),3)*1000,""))),"")</f>
        <v/>
      </c>
      <c r="AJ80" s="46" t="str">
        <f>IF(AND(NOT(ISNA(VLOOKUP(AE80,A6:E105,5,FALSE))),AF80="",AG80&lt;&gt;""),ROUND((VLOOKUP(AE80,A6:E105,5,FALSE)-AI80)/1000,3),IF(AND(NOT(ISNA(VLOOKUP(AE80,G6:K105,5,FALSE))),AF80="",AG80&lt;&gt;""),ROUND((VLOOKUP(AE80,G6:K105,5,FALSE)-AI80)/1000,3),IF(AND(NOT(ISNA(VLOOKUP(AE80,M6:Q105,5,FALSE))),AF80="",AG80&lt;&gt;""),ROUND((VLOOKUP(AE80,M6:Q105,5,FALSE)-AI80)/1000,3),IF(AND(NOT(ISNA(VLOOKUP(AE80,S6:W105,5,FALSE))),AF80="",AG80&lt;&gt;""),ROUND((VLOOKUP(AE80,S6:W105,5,FALSE)-AI80)/1000,3),IF(AND(NOT(ISNA(VLOOKUP(AE80,Y6:AC105,5,FALSE))),AF80="",AG80&lt;&gt;""),ROUND((VLOOKUP(AE80,Y6:AC105,5,FALSE)-AI80)/1000,3),IF(AND(NOT(ISNA(VLOOKUP(AE80,AE6:AI79,5,FALSE))),AF80="",AG80&lt;&gt;""),ROUND((VLOOKUP(AE80,AE6:AI79,5,FALSE)-AI80)/1000,3),""))))))</f>
        <v/>
      </c>
      <c r="AK80" s="67">
        <f>IF(AK79="","",AK79+1)</f>
        <v>674</v>
      </c>
      <c r="AL80" s="40"/>
      <c r="AM80" s="40"/>
      <c r="AN80" s="62" t="str">
        <f>IF(AND(AL80&lt;&gt;"",AM80&lt;&gt;""),ROUND(AL80,3)+ROUND(AN79,3)-ROUND(AM80,3),IF(AND(EXACT(UPPER(AK80),"TBM"),AL80&lt;&gt;""),ROUND(AL80,3),IF(AL80="",AN79,IF(ISNA(VLOOKUP(AK80,A6:E105,5,FALSE)),IF(ISNA(VLOOKUP(AK80,G6:K105,5,FALSE)),IF(ISNA(VLOOKUP(AK80,M6:Q105,5,FALSE)),IF(ISNA(VLOOKUP(AK80,S6:W105,5,FALSE)),IF(ISNA(VLOOKUP(AK80,Y6:AC105,5,FALSE)),IF(ISNA(VLOOKUP(AK80,AE6:AI105,5,FALSE)),IF(ISNA(VLOOKUP(AK80,AK6:AO79,5,FALSE)),"",ROUND(VLOOKUP(AK80,AK6:AO79,5,FALSE),0)/1000+ROUND(AL80,3)),ROUND(VLOOKUP(AK80,AE6:AI105,5,FALSE),0)/1000+ROUND(AL80,3)),ROUND(VLOOKUP(AK80,Y6:AC105,5,FALSE),0)/1000+ROUND(AL80,3)),ROUND(VLOOKUP(AK80,S6:W105,5,FALSE),0)/1000+ROUND(AL80,3)),ROUND(VLOOKUP(AK80,M6:Q105,5,FALSE),0)/1000+ROUND(AL80,3)),ROUND(VLOOKUP(AK80,G6:K105,5,FALSE),0)/1000+ROUND(AL80,3)),ROUND(VLOOKUP(AK80,A6:E105,5,FALSE),0)/1000+ROUND(AL80,3)))))</f>
        <v/>
      </c>
      <c r="AO80" s="63" t="str">
        <f>IF(OR(NOT(EXACT(UPPER(AK80),"TBM")),AL80=""),IF(AND(AL80&lt;&gt;"",AM80="",AN80&lt;&gt;""),"",IF(AND(AL80="",AM80&lt;&gt;"",AN80&lt;&gt;""),ROUND(ROUND(AN80,3)-ROUND(AM80,3),3)*1000,IF(AND(AL80&lt;&gt;"",AM80&lt;&gt;"",AN80&lt;&gt;""),ROUND(ROUND(AN79,3)-ROUND(AM80,3),3)*1000,""))),"")</f>
        <v/>
      </c>
      <c r="AP80" s="46" t="str">
        <f>IF(AND(NOT(ISNA(VLOOKUP(AK80,A6:E105,5,FALSE))),AL80="",AM80&lt;&gt;""),ROUND((VLOOKUP(AK80,A6:E105,5,FALSE)-AO80)/1000,3),IF(AND(NOT(ISNA(VLOOKUP(AK80,G6:K105,5,FALSE))),AL80="",AM80&lt;&gt;""),ROUND((VLOOKUP(AK80,G6:K105,5,FALSE)-AO80)/1000,3),IF(AND(NOT(ISNA(VLOOKUP(AK80,M6:Q105,5,FALSE))),AL80="",AM80&lt;&gt;""),ROUND((VLOOKUP(AK80,M6:Q105,5,FALSE)-AO80)/1000,3),IF(AND(NOT(ISNA(VLOOKUP(AK80,S6:W105,5,FALSE))),AL80="",AM80&lt;&gt;""),ROUND((VLOOKUP(AK80,S6:W105,5,FALSE)-AO80)/1000,3),IF(AND(NOT(ISNA(VLOOKUP(AK80,Y6:AC105,5,FALSE))),AL80="",AM80&lt;&gt;""),ROUND((VLOOKUP(AK80,Y6:AC105,5,FALSE)-AO80)/1000,3),IF(AND(NOT(ISNA(VLOOKUP(AK80,AE6:AI105,5,FALSE))),AL80="",AM80&lt;&gt;""),ROUND((VLOOKUP(AK80,AE6:AI105,5,FALSE)-AO80)/1000,3),IF(AND(NOT(ISNA(VLOOKUP(AK80,AK6:AO79,5,FALSE))),AL80="",AM80&lt;&gt;""),ROUND((VLOOKUP(AK80,AK6:AO79,5,FALSE)-AO80)/1000,3),"")))))))</f>
        <v/>
      </c>
      <c r="AQ80" s="67">
        <f>IF(AQ79="","",AQ79+1)</f>
        <v>774</v>
      </c>
      <c r="AR80" s="40"/>
      <c r="AS80" s="40"/>
      <c r="AT80" s="62" t="str">
        <f>IF(AND(AR80&lt;&gt;"",AS80&lt;&gt;""),ROUND(AR80,3)+ROUND(AT79,3)-ROUND(AS80,3),IF(AND(EXACT(UPPER(AQ80),"TBM"),AR80&lt;&gt;""),ROUND(AR80,3),IF(AR80="",AT79,IF(ISNA(VLOOKUP(AQ80,A6:E105,5,FALSE)),IF(ISNA(VLOOKUP(AQ80,G6:K105,5,FALSE)),IF(ISNA(VLOOKUP(AQ80,M6:Q105,5,FALSE)),IF(ISNA(VLOOKUP(AQ80,S6:W105,5,FALSE)),IF(ISNA(VLOOKUP(AQ80,Y6:AC105,5,FALSE)),IF(ISNA(VLOOKUP(AQ80,AE6:AI105,5,FALSE)),IF(ISNA(VLOOKUP(AQ80,AK6:AO105,5,FALSE)),IF(ISNA(VLOOKUP(AQ80,AQ6:AU79,5,FALSE)),"",ROUND(VLOOKUP(AQ80,AQ6:AU79,5,FALSE),0)/1000+ROUND(AR80,3)),ROUND(VLOOKUP(AQ80,AK6:AO105,5,FALSE),0)/1000+ROUND(AR80,3)),ROUND(VLOOKUP(AQ80,AE6:AI105,5,FALSE),0)/1000+ROUND(AR80,3)),ROUND(VLOOKUP(AQ80,Y6:AC105,5,FALSE),0)/1000+ROUND(AR80,3)),ROUND(VLOOKUP(AQ80,S6:W105,5,FALSE),0)/1000+ROUND(AR80,3)),ROUND(VLOOKUP(AQ80,M6:Q105,5,FALSE),0)/1000+ROUND(AR80,3)),ROUND(VLOOKUP(AQ80,G6:K105,5,FALSE),0)/1000+ROUND(AR80,3)),ROUND(VLOOKUP(AQ80,A6:E105,5,FALSE),0)/1000+ROUND(AR80,3)))))</f>
        <v/>
      </c>
      <c r="AU80" s="63" t="str">
        <f>IF(OR(NOT(EXACT(UPPER(AQ80),"TBM")),AR80=""),IF(AND(AR80&lt;&gt;"",AS80="",AT80&lt;&gt;""),"",IF(AND(AR80="",AS80&lt;&gt;"",AT80&lt;&gt;""),ROUND(ROUND(AT80,3)-ROUND(AS80,3),3)*1000,IF(AND(AR80&lt;&gt;"",AS80&lt;&gt;"",AT80&lt;&gt;""),ROUND(ROUND(AT79,3)-ROUND(AS80,3),3)*1000,""))),"")</f>
        <v/>
      </c>
      <c r="AV80" s="46" t="str">
        <f>IF(AND(NOT(ISNA(VLOOKUP(AQ80,A6:E105,5,FALSE))),AR80="",AS80&lt;&gt;""),ROUND((VLOOKUP(AQ80,A6:E105,5,FALSE)-AU80)/1000,3),IF(AND(NOT(ISNA(VLOOKUP(AQ80,G6:K105,5,FALSE))),AR80="",AS80&lt;&gt;""),ROUND((VLOOKUP(AQ80,G6:K105,5,FALSE)-AU80)/1000,3),IF(AND(NOT(ISNA(VLOOKUP(AQ80,M6:Q105,5,FALSE))),AR80="",AS80&lt;&gt;""),ROUND((VLOOKUP(AQ80,M6:Q105,5,FALSE)-AU80)/1000,3),IF(AND(NOT(ISNA(VLOOKUP(AQ80,S6:W105,5,FALSE))),AR80="",AS80&lt;&gt;""),ROUND((VLOOKUP(AQ80,S6:W105,5,FALSE)-AU80)/1000,3),IF(AND(NOT(ISNA(VLOOKUP(AQ80,Y6:AC105,5,FALSE))),AR80="",AS80&lt;&gt;""),ROUND((VLOOKUP(AQ80,Y6:AC105,5,FALSE)-AU80)/1000,3),IF(AND(NOT(ISNA(VLOOKUP(AQ80,AE6:AI105,5,FALSE))),AR80="",AS80&lt;&gt;""),ROUND((VLOOKUP(AQ80,AE6:AI105,5,FALSE)-AU80)/1000,3),IF(AND(NOT(ISNA(VLOOKUP(AQ80,AK6:AO105,5,FALSE))),AR80="",AS80&lt;&gt;""),ROUND((VLOOKUP(AQ80,AK6:AO105,5,FALSE)-AU80)/1000,3),IF(AND(NOT(ISNA(VLOOKUP(AQ80,AQ6:AU79,5,FALSE))),AR80="",AS80&lt;&gt;""),ROUND((VLOOKUP(AQ80,AQ6:AU79,5,FALSE)-AU80)/1000,3),""))))))))</f>
        <v/>
      </c>
      <c r="AW80" s="67">
        <f>IF(AW79="","",AW79+1)</f>
        <v>874</v>
      </c>
      <c r="AX80" s="40"/>
      <c r="AY80" s="40"/>
      <c r="AZ80" s="62" t="str">
        <f>IF(AND(AX80&lt;&gt;"",AY80&lt;&gt;""),ROUND(AX80,3)+ROUND(AZ79,3)-ROUND(AY80,3),IF(AND(EXACT(UPPER(AW80),"TBM"),AX80&lt;&gt;""),ROUND(AX80,3),IF(AX80="",AZ79,IF(ISNA(VLOOKUP(AW80,A6:E105,5,FALSE)),IF(ISNA(VLOOKUP(AW80,G6:K105,5,FALSE)),IF(ISNA(VLOOKUP(AW80,M6:Q105,5,FALSE)),IF(ISNA(VLOOKUP(AW80,S6:W105,5,FALSE)),IF(ISNA(VLOOKUP(AW80,Y6:AC105,5,FALSE)),IF(ISNA(VLOOKUP(AW80,AE6:AI105,5,FALSE)),IF(ISNA(VLOOKUP(AW80,AK6:AO105,5,FALSE)),IF(ISNA(VLOOKUP(AW80,AQ6:AU105,5,FALSE)),IF(ISNA(VLOOKUP(AW80,AW6:BA79,5,FALSE)),"",ROUND(VLOOKUP(AW80,AW6:BA79,5,FALSE),0)/1000+ROUND(AX80,3)),ROUND(VLOOKUP(AW80,AQ6:AU105,5,FALSE),0)/1000+ROUND(AX80,3)),ROUND(VLOOKUP(AW80,AK6:AO105,5,FALSE),0)/1000+ROUND(AX80,3)),ROUND(VLOOKUP(AW80,AE6:AI105,5,FALSE),0)/1000+ROUND(AX80,3)),ROUND(VLOOKUP(AW80,Y6:AC105,5,FALSE),0)/1000+ROUND(AX80,3)),ROUND(VLOOKUP(AW80,S6:W105,5,FALSE),0)/1000+ROUND(AX80,3)),ROUND(VLOOKUP(AW80,M6:Q105,5,FALSE),0)/1000+ROUND(AX80,3)),ROUND(VLOOKUP(AW80,G6:K105,5,FALSE),0)/1000+ROUND(AX80,3)),ROUND(VLOOKUP(AW80,A6:E105,5,FALSE),0)/1000+ROUND(AX80,3)))))</f>
        <v/>
      </c>
      <c r="BA80" s="63" t="str">
        <f>IF(OR(NOT(EXACT(UPPER(AW80),"TBM")),AX80=""),IF(AND(AX80&lt;&gt;"",AY80="",AZ80&lt;&gt;""),"",IF(AND(AX80="",AY80&lt;&gt;"",AZ80&lt;&gt;""),ROUND(ROUND(AZ80,3)-ROUND(AY80,3),3)*1000,IF(AND(AX80&lt;&gt;"",AY80&lt;&gt;"",AZ80&lt;&gt;""),ROUND(ROUND(AZ79,3)-ROUND(AY80,3),3)*1000,""))),"")</f>
        <v/>
      </c>
      <c r="BB80" s="46" t="str">
        <f>IF(AND(NOT(ISNA(VLOOKUP(AW80,A6:E105,5,FALSE))),AX80="",AY80&lt;&gt;""),ROUND((VLOOKUP(AW80,A6:E105,5,FALSE)-BA80)/1000,3),IF(AND(NOT(ISNA(VLOOKUP(AW80,G6:K105,5,FALSE))),AX80="",AY80&lt;&gt;""),ROUND((VLOOKUP(AW80,G6:K105,5,FALSE)-BA80)/1000,3),IF(AND(NOT(ISNA(VLOOKUP(AW80,M6:Q105,5,FALSE))),AX80="",AY80&lt;&gt;""),ROUND((VLOOKUP(AW80,M6:Q105,5,FALSE)-BA80)/1000,3),IF(AND(NOT(ISNA(VLOOKUP(AW80,S6:W105,5,FALSE))),AX80="",AY80&lt;&gt;""),ROUND((VLOOKUP(AW80,S6:W105,5,FALSE)-BA80)/1000,3),IF(AND(NOT(ISNA(VLOOKUP(AW80,Y6:AC105,5,FALSE))),AX80="",AY80&lt;&gt;""),ROUND((VLOOKUP(AW80,Y6:AC105,5,FALSE)-BA80)/1000,3),IF(AND(NOT(ISNA(VLOOKUP(AW80,AE6:AI105,5,FALSE))),AX80="",AY80&lt;&gt;""),ROUND((VLOOKUP(AW80,AE6:AI105,5,FALSE)-BA80)/1000,3),IF(AND(NOT(ISNA(VLOOKUP(AW80,AK6:AO105,5,FALSE))),AX80="",AY80&lt;&gt;""),ROUND((VLOOKUP(AW80,AK6:AO105,5,FALSE)-BA80)/1000,3),IF(AND(NOT(ISNA(VLOOKUP(AW80,AQ6:AU105,5,FALSE))),AX80="",AY80&lt;&gt;""),ROUND((VLOOKUP(AW80,AQ6:AU105,5,FALSE)-BA80)/1000,3),IF(AND(NOT(ISNA(VLOOKUP(AW80,AW6:BA79,5,FALSE))),AX80="",AY80&lt;&gt;""),ROUND((VLOOKUP(AW80,AW6:BA79,5,FALSE)-BA80)/1000,3),"")))))))))</f>
        <v/>
      </c>
      <c r="BC80" s="67">
        <f>IF(BC79="","",BC79+1)</f>
        <v>974</v>
      </c>
      <c r="BD80" s="40"/>
      <c r="BE80" s="40"/>
      <c r="BF80" s="62" t="str">
        <f>IF(AND(BD80&lt;&gt;"",BE80&lt;&gt;""),ROUND(BD80,3)+ROUND(BF79,3)-ROUND(BE80,3),IF(AND(EXACT(UPPER(BC80),"TBM"),BD80&lt;&gt;""),ROUND(BD80,3),IF(BD80="",BF79,IF(ISNA(VLOOKUP(BC80,A6:E105,5,FALSE)),IF(ISNA(VLOOKUP(BC80,G6:K105,5,FALSE)),IF(ISNA(VLOOKUP(BC80,M6:Q105,5,FALSE)),IF(ISNA(VLOOKUP(BC80,S6:W105,5,FALSE)),IF(ISNA(VLOOKUP(BC80,Y6:AC105,5,FALSE)),IF(ISNA(VLOOKUP(BC80,AE6:AI105,5,FALSE)),IF(ISNA(VLOOKUP(BC80,AK6:AO105,5,FALSE)),IF(ISNA(VLOOKUP(BC80,AQ6:AU105,5,FALSE)),IF(ISNA(VLOOKUP(BC80,AW6:BA105,5,FALSE)),IF(ISNA(VLOOKUP(BC80,BC6:BG79,5,FALSE)),"",ROUND(VLOOKUP(BC80,BC6:BG79,5,FALSE),0)/1000+ROUND(BD80,3)),ROUND(VLOOKUP(BC80,AW6:BA105,5,FALSE),0)/1000+ROUND(BD80,3)),ROUND(VLOOKUP(BC80,AQ6:AU105,5,FALSE),0)/1000+ROUND(BD80,3)),ROUND(VLOOKUP(BC80,AK6:AO105,5,FALSE),0)/1000+ROUND(BD80,3)),ROUND(VLOOKUP(BC80,AE6:AI105,5,FALSE),0)/1000+ROUND(BD80,3)),ROUND(VLOOKUP(BC80,Y6:AC105,5,FALSE),0)/1000+ROUND(BD80,3)),ROUND(VLOOKUP(BC80,S6:W105,5,FALSE),0)/1000+ROUND(BD80,3)),ROUND(VLOOKUP(BC80,M6:Q105,5,FALSE),0)/1000+ROUND(BD80,3)),ROUND(VLOOKUP(BC80,G6:K105,5,FALSE),0)/1000+ROUND(BD80,3)),ROUND(VLOOKUP(BC80,A6:E105,5,FALSE),0)/1000+ROUND(BD80,3)))))</f>
        <v/>
      </c>
      <c r="BG80" s="63" t="str">
        <f>IF(OR(NOT(EXACT(UPPER(BC80),"TBM")),BD80=""),IF(AND(BD80&lt;&gt;"",BE80="",BF80&lt;&gt;""),"",IF(AND(BD80="",BE80&lt;&gt;"",BF80&lt;&gt;""),ROUND(ROUND(BF80,3)-ROUND(BE80,3),3)*1000,IF(AND(BD80&lt;&gt;"",BE80&lt;&gt;"",BF80&lt;&gt;""),ROUND(ROUND(BF79,3)-ROUND(BE80,3),3)*1000,""))),"")</f>
        <v/>
      </c>
      <c r="BH80" s="46" t="str">
        <f>IF(AND(NOT(ISNA(VLOOKUP(BC80,A6:E105,5,FALSE))),BD80="",BE80&lt;&gt;""),ROUND((VLOOKUP(BC80,A6:E105,5,FALSE)-BG80)/1000,3),IF(AND(NOT(ISNA(VLOOKUP(BC80,G6:K105,5,FALSE))),BD80="",BE80&lt;&gt;""),ROUND((VLOOKUP(BC80,G6:K105,5,FALSE)-BG80)/1000,3),IF(AND(NOT(ISNA(VLOOKUP(BC80,M6:Q105,5,FALSE))),BD80="",BE80&lt;&gt;""),ROUND((VLOOKUP(BC80,M6:Q105,5,FALSE)-BG80)/1000,3),IF(AND(NOT(ISNA(VLOOKUP(BC80,S6:W105,5,FALSE))),BD80="",BE80&lt;&gt;""),ROUND((VLOOKUP(BC80,S6:W105,5,FALSE)-BG80)/1000,3),IF(AND(NOT(ISNA(VLOOKUP(BC80,Y6:AC105,5,FALSE))),BD80="",BE80&lt;&gt;""),ROUND((VLOOKUP(BC80,Y6:AC105,5,FALSE)-BG80)/1000,3),IF(AND(NOT(ISNA(VLOOKUP(BC80,AE6:AI105,5,FALSE))),BD80="",BE80&lt;&gt;""),ROUND((VLOOKUP(BC80,AE6:AI105,5,FALSE)-BG80)/1000,3),IF(AND(NOT(ISNA(VLOOKUP(BC80,AK6:AO105,5,FALSE))),BD80="",BE80&lt;&gt;""),ROUND((VLOOKUP(BC80,AK6:AO105,5,FALSE)-BG80)/1000,3),IF(AND(NOT(ISNA(VLOOKUP(BC80,AQ6:AU105,5,FALSE))),BD80="",BE80&lt;&gt;""),ROUND((VLOOKUP(BC80,AQ6:AU105,5,FALSE)-BG80)/1000,3),IF(AND(NOT(ISNA(VLOOKUP(BC80,AW6:BA105,5,FALSE))),BD80="",BE80&lt;&gt;""),ROUND((VLOOKUP(BC80,AW6:BA105,5,FALSE)-BG80)/1000,3),IF(AND(NOT(ISNA(VLOOKUP(BC80,BC6:BG79,5,FALSE))),BD80="",BE80&lt;&gt;""),ROUND((VLOOKUP(BC80,BC6:BG79,5,FALSE)-BG80)/1000,3),""))))))))))</f>
        <v/>
      </c>
    </row>
    <row r="81" spans="1:60" x14ac:dyDescent="0.25">
      <c r="A81" s="74">
        <f t="shared" si="9"/>
        <v>75</v>
      </c>
      <c r="B81" s="77"/>
      <c r="C81" s="77"/>
      <c r="D81" s="78" t="str">
        <f>IF(AND(B81&lt;&gt;"",C81&lt;&gt;""),ROUND(B81,3)+ROUND(D80,3)-ROUND(C81,3),IF(AND(EXACT(UPPER(A81),"TBM"),B81&lt;&gt;""),ROUND(B81,3),IF(B81="",D80,IF(ISNA(VLOOKUP(A81,A6:E80,5,FALSE)),"",ROUND(VLOOKUP(A81,A6:E80,5,FALSE),0)/1000+ROUND(B81,3)))))</f>
        <v/>
      </c>
      <c r="E81" s="96" t="str">
        <f t="shared" si="6"/>
        <v/>
      </c>
      <c r="F81" s="89" t="str">
        <f>IF(AND(NOT(ISNA(VLOOKUP(A81,A6:E80,5,FALSE))),B81="",C81&lt;&gt;""),ROUND((VLOOKUP(A81,A6:E80,5,FALSE)-E81)/1000,3),"")</f>
        <v/>
      </c>
      <c r="G81" s="74">
        <f t="shared" si="7"/>
        <v>175</v>
      </c>
      <c r="H81" s="77"/>
      <c r="I81" s="77"/>
      <c r="J81" s="78" t="str">
        <f>IF(AND(H81&lt;&gt;"",I81&lt;&gt;""),ROUND(H81,3)+ROUND(J80,3)-ROUND(I81,3),IF(AND(EXACT(UPPER(G81),"TBM"),H81&lt;&gt;""),ROUND(H81,3),IF(H81="",J80,IF(ISNA(VLOOKUP(G81,A6:E105,5,FALSE)),IF(ISNA(VLOOKUP(G81,G6:K80,5,FALSE)),"",ROUND(VLOOKUP(G81,G6:K80,5,FALSE),0)/1000+ROUND(H81,3)),ROUND(VLOOKUP(G81,A6:E105,5,FALSE),0)/1000+ROUND(H81,3)))))</f>
        <v/>
      </c>
      <c r="K81" s="87" t="str">
        <f t="shared" si="8"/>
        <v/>
      </c>
      <c r="L81" s="89" t="str">
        <f>IF(AND(NOT(ISNA(VLOOKUP(G81,A6:E105,5,FALSE))),H81="",I81&lt;&gt;""),ROUND((VLOOKUP(G81,A6:E105,5,FALSE)-K81)/1000,3),IF(AND(NOT(ISNA(VLOOKUP(G81,G6:K80,5,FALSE))),H81="",I81&lt;&gt;""),ROUND((VLOOKUP(G81,G6:K80,5,FALSE)-K81)/1000,3),""))</f>
        <v/>
      </c>
      <c r="M81" s="74">
        <f>IF(M80="","",M80+1)</f>
        <v>275</v>
      </c>
      <c r="N81" s="77"/>
      <c r="O81" s="77"/>
      <c r="P81" s="78" t="str">
        <f>IF(AND(N81&lt;&gt;"",O81&lt;&gt;""),ROUND(N81,3)+ROUND(P80,3)-ROUND(O81,3),IF(AND(EXACT(UPPER(M81),"TBM"),N81&lt;&gt;""),ROUND(N81,3),IF(N81="",P80,IF(ISNA(VLOOKUP(M81,A6:E105,5,FALSE)),IF(ISNA(VLOOKUP(M81,G6:K105,5,FALSE)),IF(ISNA(VLOOKUP(M81,M6:Q80,5,FALSE)),"",ROUND(VLOOKUP(M81,M6:Q80,5,FALSE),0)/1000+ROUND(N81,3)),ROUND(VLOOKUP(M81,G6:K105,5,FALSE),0)/1000+ROUND(N81,3)),ROUND(VLOOKUP(M81,A6:E105,5,FALSE),0)/1000+ROUND(N81,3)))))</f>
        <v/>
      </c>
      <c r="Q81" s="87" t="str">
        <f>IF(OR(NOT(EXACT(UPPER(M81),"TBM")),N81=""),IF(AND(N81&lt;&gt;"",O81="",P81&lt;&gt;""),"",IF(AND(N81="",O81&lt;&gt;"",P81&lt;&gt;""),ROUND(ROUND(P81,3)-ROUND(O81,3),3)*1000,IF(AND(N81&lt;&gt;"",O81&lt;&gt;"",P81&lt;&gt;""),ROUND(ROUND(P80,3)-ROUND(O81,3),3)*1000,""))),"")</f>
        <v/>
      </c>
      <c r="R81" s="89" t="str">
        <f>IF(AND(NOT(ISNA(VLOOKUP(M81,A6:E105,5,FALSE))),N81="",O81&lt;&gt;""),ROUND((VLOOKUP(M81,A6:E105,5,FALSE)-Q81)/1000,3),IF(AND(NOT(ISNA(VLOOKUP(M81,G6:K105,5,FALSE))),N81="",O81&lt;&gt;""),ROUND((VLOOKUP(M81,G6:K105,5,FALSE)-Q81)/1000,3),IF(AND(NOT(ISNA(VLOOKUP(M81,M6:Q80,5,FALSE))),N81="",O81&lt;&gt;""),ROUND((VLOOKUP(M81,M6:Q80,5,FALSE)-Q81)/1000,3),"")))</f>
        <v/>
      </c>
      <c r="S81" s="74">
        <f>IF(S80="","",S80+1)</f>
        <v>375</v>
      </c>
      <c r="T81" s="77"/>
      <c r="U81" s="77"/>
      <c r="V81" s="78" t="str">
        <f>IF(AND(T81&lt;&gt;"",U81&lt;&gt;""),ROUND(T81,3)+ROUND(V80,3)-ROUND(U81,3),IF(AND(EXACT(UPPER(S81),"TBM"),T81&lt;&gt;""),ROUND(T81,3),IF(T81="",V80,IF(ISNA(VLOOKUP(S81,A6:E105,5,FALSE)),IF(ISNA(VLOOKUP(S81,G6:K105,5,FALSE)),IF(ISNA(VLOOKUP(S81,M6:Q105,5,FALSE)),IF(ISNA(VLOOKUP(S81,S6:W80,5,FALSE)),"",ROUND(VLOOKUP(S81,S6:W80,5,FALSE),0)/1000+ROUND(T81,3)),ROUND(VLOOKUP(S81,M6:Q105,5,FALSE),0)/1000+ROUND(T81,3)),ROUND(VLOOKUP(S81,G6:K105,5,FALSE),0)/1000+ROUND(T81,3)),ROUND(VLOOKUP(S81,A6:E105,5,FALSE),0)/1000+ROUND(T81,3)))))</f>
        <v/>
      </c>
      <c r="W81" s="87" t="str">
        <f>IF(OR(NOT(EXACT(UPPER(S81),"TBM")),T81=""),IF(AND(T81&lt;&gt;"",U81="",V81&lt;&gt;""),"",IF(AND(T81="",U81&lt;&gt;"",V81&lt;&gt;""),ROUND(ROUND(V81,3)-ROUND(U81,3),3)*1000,IF(AND(T81&lt;&gt;"",U81&lt;&gt;"",V81&lt;&gt;""),ROUND(ROUND(V80,3)-ROUND(U81,3),3)*1000,""))),"")</f>
        <v/>
      </c>
      <c r="X81" s="89" t="str">
        <f>IF(AND(NOT(ISNA(VLOOKUP(S81,A6:E105,5,FALSE))),T81="",U81&lt;&gt;""),ROUND((VLOOKUP(S81,A6:E105,5,FALSE)-W81)/1000,3),IF(AND(NOT(ISNA(VLOOKUP(S81,G6:K105,5,FALSE))),T81="",U81&lt;&gt;""),ROUND((VLOOKUP(S81,G6:K105,5,FALSE)-W81)/1000,3),IF(AND(NOT(ISNA(VLOOKUP(S81,M6:Q105,5,FALSE))),T81="",U81&lt;&gt;""),ROUND((VLOOKUP(S81,M6:Q105,5,FALSE)-W81)/1000,3),IF(AND(NOT(ISNA(VLOOKUP(S81,S6:W80,5,FALSE))),T81="",U81&lt;&gt;""),ROUND((VLOOKUP(S81,S6:W80,5,FALSE)-W81)/1000,3),""))))</f>
        <v/>
      </c>
      <c r="Y81" s="74">
        <f>IF(Y80="","",Y80+1)</f>
        <v>475</v>
      </c>
      <c r="Z81" s="77"/>
      <c r="AA81" s="77"/>
      <c r="AB81" s="78" t="str">
        <f>IF(AND(Z81&lt;&gt;"",AA81&lt;&gt;""),ROUND(Z81,3)+ROUND(AB80,3)-ROUND(AA81,3),IF(AND(EXACT(UPPER(Y81),"TBM"),Z81&lt;&gt;""),ROUND(Z81,3),IF(Z81="",AB80,IF(ISNA(VLOOKUP(Y81,A6:E105,5,FALSE)),IF(ISNA(VLOOKUP(Y81,G6:K105,5,FALSE)),IF(ISNA(VLOOKUP(Y81,M6:Q105,5,FALSE)),IF(ISNA(VLOOKUP(Y81,S6:W105,5,FALSE)),IF(ISNA(VLOOKUP(Y81,Y6:AC80,5,FALSE)),"",ROUND(VLOOKUP(Y81,Y6:AC80,5,FALSE),0)/1000+ROUND(Z81,3)),ROUND(VLOOKUP(Y81,S6:W105,5,FALSE),0)/1000+ROUND(Z81,3)),ROUND(VLOOKUP(Y81,M6:Q105,5,FALSE),0)/1000+ROUND(Z81,3)),ROUND(VLOOKUP(Y81,G6:K105,5,FALSE),0)/1000+ROUND(Z81,3)),ROUND(VLOOKUP(Y81,A6:E105,5,FALSE),0)/1000+ROUND(Z81,3)))))</f>
        <v/>
      </c>
      <c r="AC81" s="87" t="str">
        <f>IF(OR(NOT(EXACT(UPPER(Y81),"TBM")),Z81=""),IF(AND(Z81&lt;&gt;"",AA81="",AB81&lt;&gt;""),"",IF(AND(Z81="",AA81&lt;&gt;"",AB81&lt;&gt;""),ROUND(ROUND(AB81,3)-ROUND(AA81,3),3)*1000,IF(AND(Z81&lt;&gt;"",AA81&lt;&gt;"",AB81&lt;&gt;""),ROUND(ROUND(AB80,3)-ROUND(AA81,3),3)*1000,""))),"")</f>
        <v/>
      </c>
      <c r="AD81" s="89" t="str">
        <f>IF(AND(NOT(ISNA(VLOOKUP(Y81,A6:E105,5,FALSE))),Z81="",AA81&lt;&gt;""),ROUND((VLOOKUP(Y81,A6:E105,5,FALSE)-AC81)/1000,3),IF(AND(NOT(ISNA(VLOOKUP(Y81,G6:K105,5,FALSE))),Z81="",AA81&lt;&gt;""),ROUND((VLOOKUP(Y81,G6:K105,5,FALSE)-AC81)/1000,3),IF(AND(NOT(ISNA(VLOOKUP(Y81,M6:Q105,5,FALSE))),Z81="",AA81&lt;&gt;""),ROUND((VLOOKUP(Y81,M6:Q105,5,FALSE)-AC81)/1000,3),IF(AND(NOT(ISNA(VLOOKUP(Y81,S6:W105,5,FALSE))),Z81="",AA81&lt;&gt;""),ROUND((VLOOKUP(Y81,S6:W105,5,FALSE)-AC81)/1000,3),IF(AND(NOT(ISNA(VLOOKUP(Y81,Y6:AC80,5,FALSE))),Z81="",AA81&lt;&gt;""),ROUND((VLOOKUP(Y81,Y6:AC80,5,FALSE)-AC81)/1000,3),"")))))</f>
        <v/>
      </c>
      <c r="AE81" s="74">
        <f>IF(AE80="","",AE80+1)</f>
        <v>575</v>
      </c>
      <c r="AF81" s="77"/>
      <c r="AG81" s="77"/>
      <c r="AH81" s="78" t="str">
        <f>IF(AND(AF81&lt;&gt;"",AG81&lt;&gt;""),ROUND(AF81,3)+ROUND(AH80,3)-ROUND(AG81,3),IF(AND(EXACT(UPPER(AE81),"TBM"),AF81&lt;&gt;""),ROUND(AF81,3),IF(AF81="",AH80,IF(ISNA(VLOOKUP(AE81,A6:E105,5,FALSE)),IF(ISNA(VLOOKUP(AE81,G6:K105,5,FALSE)),IF(ISNA(VLOOKUP(AE81,M6:Q105,5,FALSE)),IF(ISNA(VLOOKUP(AE81,S6:W105,5,FALSE)),IF(ISNA(VLOOKUP(AE81,Y6:AC105,5,FALSE)),IF(ISNA(VLOOKUP(AE81,AE6:AI80,5,FALSE)),"",ROUND(VLOOKUP(AE81,AE6:AI80,5,FALSE),0)/1000+ROUND(AF81,3)),ROUND(VLOOKUP(AE81,Y6:AC105,5,FALSE),0)/1000+ROUND(AF81,3)),ROUND(VLOOKUP(AE81,S6:W105,5,FALSE),0)/1000+ROUND(AF81,3)),ROUND(VLOOKUP(AE81,M6:Q105,5,FALSE),0)/1000+ROUND(AF81,3)),ROUND(VLOOKUP(AE81,G6:K105,5,FALSE),0)/1000+ROUND(AF81,3)),ROUND(VLOOKUP(AE81,A6:E105,5,FALSE),0)/1000+ROUND(AF81,3)))))</f>
        <v/>
      </c>
      <c r="AI81" s="87" t="str">
        <f>IF(OR(NOT(EXACT(UPPER(AE81),"TBM")),AF81=""),IF(AND(AF81&lt;&gt;"",AG81="",AH81&lt;&gt;""),"",IF(AND(AF81="",AG81&lt;&gt;"",AH81&lt;&gt;""),ROUND(ROUND(AH81,3)-ROUND(AG81,3),3)*1000,IF(AND(AF81&lt;&gt;"",AG81&lt;&gt;"",AH81&lt;&gt;""),ROUND(ROUND(AH80,3)-ROUND(AG81,3),3)*1000,""))),"")</f>
        <v/>
      </c>
      <c r="AJ81" s="89" t="str">
        <f>IF(AND(NOT(ISNA(VLOOKUP(AE81,A6:E105,5,FALSE))),AF81="",AG81&lt;&gt;""),ROUND((VLOOKUP(AE81,A6:E105,5,FALSE)-AI81)/1000,3),IF(AND(NOT(ISNA(VLOOKUP(AE81,G6:K105,5,FALSE))),AF81="",AG81&lt;&gt;""),ROUND((VLOOKUP(AE81,G6:K105,5,FALSE)-AI81)/1000,3),IF(AND(NOT(ISNA(VLOOKUP(AE81,M6:Q105,5,FALSE))),AF81="",AG81&lt;&gt;""),ROUND((VLOOKUP(AE81,M6:Q105,5,FALSE)-AI81)/1000,3),IF(AND(NOT(ISNA(VLOOKUP(AE81,S6:W105,5,FALSE))),AF81="",AG81&lt;&gt;""),ROUND((VLOOKUP(AE81,S6:W105,5,FALSE)-AI81)/1000,3),IF(AND(NOT(ISNA(VLOOKUP(AE81,Y6:AC105,5,FALSE))),AF81="",AG81&lt;&gt;""),ROUND((VLOOKUP(AE81,Y6:AC105,5,FALSE)-AI81)/1000,3),IF(AND(NOT(ISNA(VLOOKUP(AE81,AE6:AI80,5,FALSE))),AF81="",AG81&lt;&gt;""),ROUND((VLOOKUP(AE81,AE6:AI80,5,FALSE)-AI81)/1000,3),""))))))</f>
        <v/>
      </c>
      <c r="AK81" s="74">
        <f>IF(AK80="","",AK80+1)</f>
        <v>675</v>
      </c>
      <c r="AL81" s="77"/>
      <c r="AM81" s="77"/>
      <c r="AN81" s="78" t="str">
        <f>IF(AND(AL81&lt;&gt;"",AM81&lt;&gt;""),ROUND(AL81,3)+ROUND(AN80,3)-ROUND(AM81,3),IF(AND(EXACT(UPPER(AK81),"TBM"),AL81&lt;&gt;""),ROUND(AL81,3),IF(AL81="",AN80,IF(ISNA(VLOOKUP(AK81,A6:E105,5,FALSE)),IF(ISNA(VLOOKUP(AK81,G6:K105,5,FALSE)),IF(ISNA(VLOOKUP(AK81,M6:Q105,5,FALSE)),IF(ISNA(VLOOKUP(AK81,S6:W105,5,FALSE)),IF(ISNA(VLOOKUP(AK81,Y6:AC105,5,FALSE)),IF(ISNA(VLOOKUP(AK81,AE6:AI105,5,FALSE)),IF(ISNA(VLOOKUP(AK81,AK6:AO80,5,FALSE)),"",ROUND(VLOOKUP(AK81,AK6:AO80,5,FALSE),0)/1000+ROUND(AL81,3)),ROUND(VLOOKUP(AK81,AE6:AI105,5,FALSE),0)/1000+ROUND(AL81,3)),ROUND(VLOOKUP(AK81,Y6:AC105,5,FALSE),0)/1000+ROUND(AL81,3)),ROUND(VLOOKUP(AK81,S6:W105,5,FALSE),0)/1000+ROUND(AL81,3)),ROUND(VLOOKUP(AK81,M6:Q105,5,FALSE),0)/1000+ROUND(AL81,3)),ROUND(VLOOKUP(AK81,G6:K105,5,FALSE),0)/1000+ROUND(AL81,3)),ROUND(VLOOKUP(AK81,A6:E105,5,FALSE),0)/1000+ROUND(AL81,3)))))</f>
        <v/>
      </c>
      <c r="AO81" s="87" t="str">
        <f>IF(OR(NOT(EXACT(UPPER(AK81),"TBM")),AL81=""),IF(AND(AL81&lt;&gt;"",AM81="",AN81&lt;&gt;""),"",IF(AND(AL81="",AM81&lt;&gt;"",AN81&lt;&gt;""),ROUND(ROUND(AN81,3)-ROUND(AM81,3),3)*1000,IF(AND(AL81&lt;&gt;"",AM81&lt;&gt;"",AN81&lt;&gt;""),ROUND(ROUND(AN80,3)-ROUND(AM81,3),3)*1000,""))),"")</f>
        <v/>
      </c>
      <c r="AP81" s="89" t="str">
        <f>IF(AND(NOT(ISNA(VLOOKUP(AK81,A6:E105,5,FALSE))),AL81="",AM81&lt;&gt;""),ROUND((VLOOKUP(AK81,A6:E105,5,FALSE)-AO81)/1000,3),IF(AND(NOT(ISNA(VLOOKUP(AK81,G6:K105,5,FALSE))),AL81="",AM81&lt;&gt;""),ROUND((VLOOKUP(AK81,G6:K105,5,FALSE)-AO81)/1000,3),IF(AND(NOT(ISNA(VLOOKUP(AK81,M6:Q105,5,FALSE))),AL81="",AM81&lt;&gt;""),ROUND((VLOOKUP(AK81,M6:Q105,5,FALSE)-AO81)/1000,3),IF(AND(NOT(ISNA(VLOOKUP(AK81,S6:W105,5,FALSE))),AL81="",AM81&lt;&gt;""),ROUND((VLOOKUP(AK81,S6:W105,5,FALSE)-AO81)/1000,3),IF(AND(NOT(ISNA(VLOOKUP(AK81,Y6:AC105,5,FALSE))),AL81="",AM81&lt;&gt;""),ROUND((VLOOKUP(AK81,Y6:AC105,5,FALSE)-AO81)/1000,3),IF(AND(NOT(ISNA(VLOOKUP(AK81,AE6:AI105,5,FALSE))),AL81="",AM81&lt;&gt;""),ROUND((VLOOKUP(AK81,AE6:AI105,5,FALSE)-AO81)/1000,3),IF(AND(NOT(ISNA(VLOOKUP(AK81,AK6:AO80,5,FALSE))),AL81="",AM81&lt;&gt;""),ROUND((VLOOKUP(AK81,AK6:AO80,5,FALSE)-AO81)/1000,3),"")))))))</f>
        <v/>
      </c>
      <c r="AQ81" s="74">
        <f>IF(AQ80="","",AQ80+1)</f>
        <v>775</v>
      </c>
      <c r="AR81" s="77"/>
      <c r="AS81" s="77"/>
      <c r="AT81" s="78" t="str">
        <f>IF(AND(AR81&lt;&gt;"",AS81&lt;&gt;""),ROUND(AR81,3)+ROUND(AT80,3)-ROUND(AS81,3),IF(AND(EXACT(UPPER(AQ81),"TBM"),AR81&lt;&gt;""),ROUND(AR81,3),IF(AR81="",AT80,IF(ISNA(VLOOKUP(AQ81,A6:E105,5,FALSE)),IF(ISNA(VLOOKUP(AQ81,G6:K105,5,FALSE)),IF(ISNA(VLOOKUP(AQ81,M6:Q105,5,FALSE)),IF(ISNA(VLOOKUP(AQ81,S6:W105,5,FALSE)),IF(ISNA(VLOOKUP(AQ81,Y6:AC105,5,FALSE)),IF(ISNA(VLOOKUP(AQ81,AE6:AI105,5,FALSE)),IF(ISNA(VLOOKUP(AQ81,AK6:AO105,5,FALSE)),IF(ISNA(VLOOKUP(AQ81,AQ6:AU80,5,FALSE)),"",ROUND(VLOOKUP(AQ81,AQ6:AU80,5,FALSE),0)/1000+ROUND(AR81,3)),ROUND(VLOOKUP(AQ81,AK6:AO105,5,FALSE),0)/1000+ROUND(AR81,3)),ROUND(VLOOKUP(AQ81,AE6:AI105,5,FALSE),0)/1000+ROUND(AR81,3)),ROUND(VLOOKUP(AQ81,Y6:AC105,5,FALSE),0)/1000+ROUND(AR81,3)),ROUND(VLOOKUP(AQ81,S6:W105,5,FALSE),0)/1000+ROUND(AR81,3)),ROUND(VLOOKUP(AQ81,M6:Q105,5,FALSE),0)/1000+ROUND(AR81,3)),ROUND(VLOOKUP(AQ81,G6:K105,5,FALSE),0)/1000+ROUND(AR81,3)),ROUND(VLOOKUP(AQ81,A6:E105,5,FALSE),0)/1000+ROUND(AR81,3)))))</f>
        <v/>
      </c>
      <c r="AU81" s="87" t="str">
        <f>IF(OR(NOT(EXACT(UPPER(AQ81),"TBM")),AR81=""),IF(AND(AR81&lt;&gt;"",AS81="",AT81&lt;&gt;""),"",IF(AND(AR81="",AS81&lt;&gt;"",AT81&lt;&gt;""),ROUND(ROUND(AT81,3)-ROUND(AS81,3),3)*1000,IF(AND(AR81&lt;&gt;"",AS81&lt;&gt;"",AT81&lt;&gt;""),ROUND(ROUND(AT80,3)-ROUND(AS81,3),3)*1000,""))),"")</f>
        <v/>
      </c>
      <c r="AV81" s="89" t="str">
        <f>IF(AND(NOT(ISNA(VLOOKUP(AQ81,A6:E105,5,FALSE))),AR81="",AS81&lt;&gt;""),ROUND((VLOOKUP(AQ81,A6:E105,5,FALSE)-AU81)/1000,3),IF(AND(NOT(ISNA(VLOOKUP(AQ81,G6:K105,5,FALSE))),AR81="",AS81&lt;&gt;""),ROUND((VLOOKUP(AQ81,G6:K105,5,FALSE)-AU81)/1000,3),IF(AND(NOT(ISNA(VLOOKUP(AQ81,M6:Q105,5,FALSE))),AR81="",AS81&lt;&gt;""),ROUND((VLOOKUP(AQ81,M6:Q105,5,FALSE)-AU81)/1000,3),IF(AND(NOT(ISNA(VLOOKUP(AQ81,S6:W105,5,FALSE))),AR81="",AS81&lt;&gt;""),ROUND((VLOOKUP(AQ81,S6:W105,5,FALSE)-AU81)/1000,3),IF(AND(NOT(ISNA(VLOOKUP(AQ81,Y6:AC105,5,FALSE))),AR81="",AS81&lt;&gt;""),ROUND((VLOOKUP(AQ81,Y6:AC105,5,FALSE)-AU81)/1000,3),IF(AND(NOT(ISNA(VLOOKUP(AQ81,AE6:AI105,5,FALSE))),AR81="",AS81&lt;&gt;""),ROUND((VLOOKUP(AQ81,AE6:AI105,5,FALSE)-AU81)/1000,3),IF(AND(NOT(ISNA(VLOOKUP(AQ81,AK6:AO105,5,FALSE))),AR81="",AS81&lt;&gt;""),ROUND((VLOOKUP(AQ81,AK6:AO105,5,FALSE)-AU81)/1000,3),IF(AND(NOT(ISNA(VLOOKUP(AQ81,AQ6:AU80,5,FALSE))),AR81="",AS81&lt;&gt;""),ROUND((VLOOKUP(AQ81,AQ6:AU80,5,FALSE)-AU81)/1000,3),""))))))))</f>
        <v/>
      </c>
      <c r="AW81" s="74">
        <f>IF(AW80="","",AW80+1)</f>
        <v>875</v>
      </c>
      <c r="AX81" s="77"/>
      <c r="AY81" s="77"/>
      <c r="AZ81" s="78" t="str">
        <f>IF(AND(AX81&lt;&gt;"",AY81&lt;&gt;""),ROUND(AX81,3)+ROUND(AZ80,3)-ROUND(AY81,3),IF(AND(EXACT(UPPER(AW81),"TBM"),AX81&lt;&gt;""),ROUND(AX81,3),IF(AX81="",AZ80,IF(ISNA(VLOOKUP(AW81,A6:E105,5,FALSE)),IF(ISNA(VLOOKUP(AW81,G6:K105,5,FALSE)),IF(ISNA(VLOOKUP(AW81,M6:Q105,5,FALSE)),IF(ISNA(VLOOKUP(AW81,S6:W105,5,FALSE)),IF(ISNA(VLOOKUP(AW81,Y6:AC105,5,FALSE)),IF(ISNA(VLOOKUP(AW81,AE6:AI105,5,FALSE)),IF(ISNA(VLOOKUP(AW81,AK6:AO105,5,FALSE)),IF(ISNA(VLOOKUP(AW81,AQ6:AU105,5,FALSE)),IF(ISNA(VLOOKUP(AW81,AW6:BA80,5,FALSE)),"",ROUND(VLOOKUP(AW81,AW6:BA80,5,FALSE),0)/1000+ROUND(AX81,3)),ROUND(VLOOKUP(AW81,AQ6:AU105,5,FALSE),0)/1000+ROUND(AX81,3)),ROUND(VLOOKUP(AW81,AK6:AO105,5,FALSE),0)/1000+ROUND(AX81,3)),ROUND(VLOOKUP(AW81,AE6:AI105,5,FALSE),0)/1000+ROUND(AX81,3)),ROUND(VLOOKUP(AW81,Y6:AC105,5,FALSE),0)/1000+ROUND(AX81,3)),ROUND(VLOOKUP(AW81,S6:W105,5,FALSE),0)/1000+ROUND(AX81,3)),ROUND(VLOOKUP(AW81,M6:Q105,5,FALSE),0)/1000+ROUND(AX81,3)),ROUND(VLOOKUP(AW81,G6:K105,5,FALSE),0)/1000+ROUND(AX81,3)),ROUND(VLOOKUP(AW81,A6:E105,5,FALSE),0)/1000+ROUND(AX81,3)))))</f>
        <v/>
      </c>
      <c r="BA81" s="87" t="str">
        <f>IF(OR(NOT(EXACT(UPPER(AW81),"TBM")),AX81=""),IF(AND(AX81&lt;&gt;"",AY81="",AZ81&lt;&gt;""),"",IF(AND(AX81="",AY81&lt;&gt;"",AZ81&lt;&gt;""),ROUND(ROUND(AZ81,3)-ROUND(AY81,3),3)*1000,IF(AND(AX81&lt;&gt;"",AY81&lt;&gt;"",AZ81&lt;&gt;""),ROUND(ROUND(AZ80,3)-ROUND(AY81,3),3)*1000,""))),"")</f>
        <v/>
      </c>
      <c r="BB81" s="89" t="str">
        <f>IF(AND(NOT(ISNA(VLOOKUP(AW81,A6:E105,5,FALSE))),AX81="",AY81&lt;&gt;""),ROUND((VLOOKUP(AW81,A6:E105,5,FALSE)-BA81)/1000,3),IF(AND(NOT(ISNA(VLOOKUP(AW81,G6:K105,5,FALSE))),AX81="",AY81&lt;&gt;""),ROUND((VLOOKUP(AW81,G6:K105,5,FALSE)-BA81)/1000,3),IF(AND(NOT(ISNA(VLOOKUP(AW81,M6:Q105,5,FALSE))),AX81="",AY81&lt;&gt;""),ROUND((VLOOKUP(AW81,M6:Q105,5,FALSE)-BA81)/1000,3),IF(AND(NOT(ISNA(VLOOKUP(AW81,S6:W105,5,FALSE))),AX81="",AY81&lt;&gt;""),ROUND((VLOOKUP(AW81,S6:W105,5,FALSE)-BA81)/1000,3),IF(AND(NOT(ISNA(VLOOKUP(AW81,Y6:AC105,5,FALSE))),AX81="",AY81&lt;&gt;""),ROUND((VLOOKUP(AW81,Y6:AC105,5,FALSE)-BA81)/1000,3),IF(AND(NOT(ISNA(VLOOKUP(AW81,AE6:AI105,5,FALSE))),AX81="",AY81&lt;&gt;""),ROUND((VLOOKUP(AW81,AE6:AI105,5,FALSE)-BA81)/1000,3),IF(AND(NOT(ISNA(VLOOKUP(AW81,AK6:AO105,5,FALSE))),AX81="",AY81&lt;&gt;""),ROUND((VLOOKUP(AW81,AK6:AO105,5,FALSE)-BA81)/1000,3),IF(AND(NOT(ISNA(VLOOKUP(AW81,AQ6:AU105,5,FALSE))),AX81="",AY81&lt;&gt;""),ROUND((VLOOKUP(AW81,AQ6:AU105,5,FALSE)-BA81)/1000,3),IF(AND(NOT(ISNA(VLOOKUP(AW81,AW6:BA80,5,FALSE))),AX81="",AY81&lt;&gt;""),ROUND((VLOOKUP(AW81,AW6:BA80,5,FALSE)-BA81)/1000,3),"")))))))))</f>
        <v/>
      </c>
      <c r="BC81" s="74">
        <f>IF(BC80="","",BC80+1)</f>
        <v>975</v>
      </c>
      <c r="BD81" s="77"/>
      <c r="BE81" s="77"/>
      <c r="BF81" s="78" t="str">
        <f>IF(AND(BD81&lt;&gt;"",BE81&lt;&gt;""),ROUND(BD81,3)+ROUND(BF80,3)-ROUND(BE81,3),IF(AND(EXACT(UPPER(BC81),"TBM"),BD81&lt;&gt;""),ROUND(BD81,3),IF(BD81="",BF80,IF(ISNA(VLOOKUP(BC81,A6:E105,5,FALSE)),IF(ISNA(VLOOKUP(BC81,G6:K105,5,FALSE)),IF(ISNA(VLOOKUP(BC81,M6:Q105,5,FALSE)),IF(ISNA(VLOOKUP(BC81,S6:W105,5,FALSE)),IF(ISNA(VLOOKUP(BC81,Y6:AC105,5,FALSE)),IF(ISNA(VLOOKUP(BC81,AE6:AI105,5,FALSE)),IF(ISNA(VLOOKUP(BC81,AK6:AO105,5,FALSE)),IF(ISNA(VLOOKUP(BC81,AQ6:AU105,5,FALSE)),IF(ISNA(VLOOKUP(BC81,AW6:BA105,5,FALSE)),IF(ISNA(VLOOKUP(BC81,BC6:BG80,5,FALSE)),"",ROUND(VLOOKUP(BC81,BC6:BG80,5,FALSE),0)/1000+ROUND(BD81,3)),ROUND(VLOOKUP(BC81,AW6:BA105,5,FALSE),0)/1000+ROUND(BD81,3)),ROUND(VLOOKUP(BC81,AQ6:AU105,5,FALSE),0)/1000+ROUND(BD81,3)),ROUND(VLOOKUP(BC81,AK6:AO105,5,FALSE),0)/1000+ROUND(BD81,3)),ROUND(VLOOKUP(BC81,AE6:AI105,5,FALSE),0)/1000+ROUND(BD81,3)),ROUND(VLOOKUP(BC81,Y6:AC105,5,FALSE),0)/1000+ROUND(BD81,3)),ROUND(VLOOKUP(BC81,S6:W105,5,FALSE),0)/1000+ROUND(BD81,3)),ROUND(VLOOKUP(BC81,M6:Q105,5,FALSE),0)/1000+ROUND(BD81,3)),ROUND(VLOOKUP(BC81,G6:K105,5,FALSE),0)/1000+ROUND(BD81,3)),ROUND(VLOOKUP(BC81,A6:E105,5,FALSE),0)/1000+ROUND(BD81,3)))))</f>
        <v/>
      </c>
      <c r="BG81" s="87" t="str">
        <f>IF(OR(NOT(EXACT(UPPER(BC81),"TBM")),BD81=""),IF(AND(BD81&lt;&gt;"",BE81="",BF81&lt;&gt;""),"",IF(AND(BD81="",BE81&lt;&gt;"",BF81&lt;&gt;""),ROUND(ROUND(BF81,3)-ROUND(BE81,3),3)*1000,IF(AND(BD81&lt;&gt;"",BE81&lt;&gt;"",BF81&lt;&gt;""),ROUND(ROUND(BF80,3)-ROUND(BE81,3),3)*1000,""))),"")</f>
        <v/>
      </c>
      <c r="BH81" s="89" t="str">
        <f>IF(AND(NOT(ISNA(VLOOKUP(BC81,A6:E105,5,FALSE))),BD81="",BE81&lt;&gt;""),ROUND((VLOOKUP(BC81,A6:E105,5,FALSE)-BG81)/1000,3),IF(AND(NOT(ISNA(VLOOKUP(BC81,G6:K105,5,FALSE))),BD81="",BE81&lt;&gt;""),ROUND((VLOOKUP(BC81,G6:K105,5,FALSE)-BG81)/1000,3),IF(AND(NOT(ISNA(VLOOKUP(BC81,M6:Q105,5,FALSE))),BD81="",BE81&lt;&gt;""),ROUND((VLOOKUP(BC81,M6:Q105,5,FALSE)-BG81)/1000,3),IF(AND(NOT(ISNA(VLOOKUP(BC81,S6:W105,5,FALSE))),BD81="",BE81&lt;&gt;""),ROUND((VLOOKUP(BC81,S6:W105,5,FALSE)-BG81)/1000,3),IF(AND(NOT(ISNA(VLOOKUP(BC81,Y6:AC105,5,FALSE))),BD81="",BE81&lt;&gt;""),ROUND((VLOOKUP(BC81,Y6:AC105,5,FALSE)-BG81)/1000,3),IF(AND(NOT(ISNA(VLOOKUP(BC81,AE6:AI105,5,FALSE))),BD81="",BE81&lt;&gt;""),ROUND((VLOOKUP(BC81,AE6:AI105,5,FALSE)-BG81)/1000,3),IF(AND(NOT(ISNA(VLOOKUP(BC81,AK6:AO105,5,FALSE))),BD81="",BE81&lt;&gt;""),ROUND((VLOOKUP(BC81,AK6:AO105,5,FALSE)-BG81)/1000,3),IF(AND(NOT(ISNA(VLOOKUP(BC81,AQ6:AU105,5,FALSE))),BD81="",BE81&lt;&gt;""),ROUND((VLOOKUP(BC81,AQ6:AU105,5,FALSE)-BG81)/1000,3),IF(AND(NOT(ISNA(VLOOKUP(BC81,AW6:BA105,5,FALSE))),BD81="",BE81&lt;&gt;""),ROUND((VLOOKUP(BC81,AW6:BA105,5,FALSE)-BG81)/1000,3),IF(AND(NOT(ISNA(VLOOKUP(BC81,BC6:BG80,5,FALSE))),BD81="",BE81&lt;&gt;""),ROUND((VLOOKUP(BC81,BC6:BG80,5,FALSE)-BG81)/1000,3),""))))))))))</f>
        <v/>
      </c>
    </row>
    <row r="82" spans="1:60" x14ac:dyDescent="0.25">
      <c r="A82" s="19">
        <f t="shared" si="9"/>
        <v>76</v>
      </c>
      <c r="B82" s="39"/>
      <c r="C82" s="39"/>
      <c r="D82" s="15" t="str">
        <f>IF(AND(B82&lt;&gt;"",C82&lt;&gt;""),ROUND(B82,3)+ROUND(D81,3)-ROUND(C82,3),IF(AND(EXACT(UPPER(A82),"TBM"),B82&lt;&gt;""),ROUND(B82,3),IF(B82="",D81,IF(ISNA(VLOOKUP(A82,A6:E81,5,FALSE)),"",ROUND(VLOOKUP(A82,A6:E81,5,FALSE),0)/1000+ROUND(B82,3)))))</f>
        <v/>
      </c>
      <c r="E82" s="21" t="str">
        <f t="shared" si="6"/>
        <v/>
      </c>
      <c r="F82" s="45" t="str">
        <f>IF(AND(NOT(ISNA(VLOOKUP(A82,A6:E81,5,FALSE))),B82="",C82&lt;&gt;""),ROUND((VLOOKUP(A82,A6:E81,5,FALSE)-E82)/1000,3),"")</f>
        <v/>
      </c>
      <c r="G82" s="19">
        <f t="shared" si="7"/>
        <v>176</v>
      </c>
      <c r="H82" s="39"/>
      <c r="I82" s="39"/>
      <c r="J82" s="15" t="str">
        <f>IF(AND(H82&lt;&gt;"",I82&lt;&gt;""),ROUND(H82,3)+ROUND(J81,3)-ROUND(I82,3),IF(AND(EXACT(UPPER(G82),"TBM"),H82&lt;&gt;""),ROUND(H82,3),IF(H82="",J81,IF(ISNA(VLOOKUP(G82,A6:E105,5,FALSE)),IF(ISNA(VLOOKUP(G82,G6:K81,5,FALSE)),"",ROUND(VLOOKUP(G82,G6:K81,5,FALSE),0)/1000+ROUND(H82,3)),ROUND(VLOOKUP(G82,A6:E105,5,FALSE),0)/1000+ROUND(H82,3)))))</f>
        <v/>
      </c>
      <c r="K82" s="18" t="str">
        <f t="shared" si="8"/>
        <v/>
      </c>
      <c r="L82" s="45" t="str">
        <f>IF(AND(NOT(ISNA(VLOOKUP(G82,A6:E105,5,FALSE))),H82="",I82&lt;&gt;""),ROUND((VLOOKUP(G82,A6:E105,5,FALSE)-K82)/1000,3),IF(AND(NOT(ISNA(VLOOKUP(G82,G6:K81,5,FALSE))),H82="",I82&lt;&gt;""),ROUND((VLOOKUP(G82,G6:K81,5,FALSE)-K82)/1000,3),""))</f>
        <v/>
      </c>
      <c r="M82" s="19">
        <f>IF(M81="","",M81+1)</f>
        <v>276</v>
      </c>
      <c r="N82" s="39"/>
      <c r="O82" s="39"/>
      <c r="P82" s="15" t="str">
        <f>IF(AND(N82&lt;&gt;"",O82&lt;&gt;""),ROUND(N82,3)+ROUND(P81,3)-ROUND(O82,3),IF(AND(EXACT(UPPER(M82),"TBM"),N82&lt;&gt;""),ROUND(N82,3),IF(N82="",P81,IF(ISNA(VLOOKUP(M82,A6:E105,5,FALSE)),IF(ISNA(VLOOKUP(M82,G6:K105,5,FALSE)),IF(ISNA(VLOOKUP(M82,M6:Q81,5,FALSE)),"",ROUND(VLOOKUP(M82,M6:Q81,5,FALSE),0)/1000+ROUND(N82,3)),ROUND(VLOOKUP(M82,G6:K105,5,FALSE),0)/1000+ROUND(N82,3)),ROUND(VLOOKUP(M82,A6:E105,5,FALSE),0)/1000+ROUND(N82,3)))))</f>
        <v/>
      </c>
      <c r="Q82" s="18" t="str">
        <f>IF(OR(NOT(EXACT(UPPER(M82),"TBM")),N82=""),IF(AND(N82&lt;&gt;"",O82="",P82&lt;&gt;""),"",IF(AND(N82="",O82&lt;&gt;"",P82&lt;&gt;""),ROUND(ROUND(P82,3)-ROUND(O82,3),3)*1000,IF(AND(N82&lt;&gt;"",O82&lt;&gt;"",P82&lt;&gt;""),ROUND(ROUND(P81,3)-ROUND(O82,3),3)*1000,""))),"")</f>
        <v/>
      </c>
      <c r="R82" s="45" t="str">
        <f>IF(AND(NOT(ISNA(VLOOKUP(M82,A6:E105,5,FALSE))),N82="",O82&lt;&gt;""),ROUND((VLOOKUP(M82,A6:E105,5,FALSE)-Q82)/1000,3),IF(AND(NOT(ISNA(VLOOKUP(M82,G6:K105,5,FALSE))),N82="",O82&lt;&gt;""),ROUND((VLOOKUP(M82,G6:K105,5,FALSE)-Q82)/1000,3),IF(AND(NOT(ISNA(VLOOKUP(M82,M6:Q81,5,FALSE))),N82="",O82&lt;&gt;""),ROUND((VLOOKUP(M82,M6:Q81,5,FALSE)-Q82)/1000,3),"")))</f>
        <v/>
      </c>
      <c r="S82" s="19">
        <f>IF(S81="","",S81+1)</f>
        <v>376</v>
      </c>
      <c r="T82" s="39"/>
      <c r="U82" s="39"/>
      <c r="V82" s="15" t="str">
        <f>IF(AND(T82&lt;&gt;"",U82&lt;&gt;""),ROUND(T82,3)+ROUND(V81,3)-ROUND(U82,3),IF(AND(EXACT(UPPER(S82),"TBM"),T82&lt;&gt;""),ROUND(T82,3),IF(T82="",V81,IF(ISNA(VLOOKUP(S82,A6:E105,5,FALSE)),IF(ISNA(VLOOKUP(S82,G6:K105,5,FALSE)),IF(ISNA(VLOOKUP(S82,M6:Q105,5,FALSE)),IF(ISNA(VLOOKUP(S82,S6:W81,5,FALSE)),"",ROUND(VLOOKUP(S82,S6:W81,5,FALSE),0)/1000+ROUND(T82,3)),ROUND(VLOOKUP(S82,M6:Q105,5,FALSE),0)/1000+ROUND(T82,3)),ROUND(VLOOKUP(S82,G6:K105,5,FALSE),0)/1000+ROUND(T82,3)),ROUND(VLOOKUP(S82,A6:E105,5,FALSE),0)/1000+ROUND(T82,3)))))</f>
        <v/>
      </c>
      <c r="W82" s="18" t="str">
        <f>IF(OR(NOT(EXACT(UPPER(S82),"TBM")),T82=""),IF(AND(T82&lt;&gt;"",U82="",V82&lt;&gt;""),"",IF(AND(T82="",U82&lt;&gt;"",V82&lt;&gt;""),ROUND(ROUND(V82,3)-ROUND(U82,3),3)*1000,IF(AND(T82&lt;&gt;"",U82&lt;&gt;"",V82&lt;&gt;""),ROUND(ROUND(V81,3)-ROUND(U82,3),3)*1000,""))),"")</f>
        <v/>
      </c>
      <c r="X82" s="45" t="str">
        <f>IF(AND(NOT(ISNA(VLOOKUP(S82,A6:E105,5,FALSE))),T82="",U82&lt;&gt;""),ROUND((VLOOKUP(S82,A6:E105,5,FALSE)-W82)/1000,3),IF(AND(NOT(ISNA(VLOOKUP(S82,G6:K105,5,FALSE))),T82="",U82&lt;&gt;""),ROUND((VLOOKUP(S82,G6:K105,5,FALSE)-W82)/1000,3),IF(AND(NOT(ISNA(VLOOKUP(S82,M6:Q105,5,FALSE))),T82="",U82&lt;&gt;""),ROUND((VLOOKUP(S82,M6:Q105,5,FALSE)-W82)/1000,3),IF(AND(NOT(ISNA(VLOOKUP(S82,S6:W81,5,FALSE))),T82="",U82&lt;&gt;""),ROUND((VLOOKUP(S82,S6:W81,5,FALSE)-W82)/1000,3),""))))</f>
        <v/>
      </c>
      <c r="Y82" s="19">
        <f>IF(Y81="","",Y81+1)</f>
        <v>476</v>
      </c>
      <c r="Z82" s="39"/>
      <c r="AA82" s="39"/>
      <c r="AB82" s="15" t="str">
        <f>IF(AND(Z82&lt;&gt;"",AA82&lt;&gt;""),ROUND(Z82,3)+ROUND(AB81,3)-ROUND(AA82,3),IF(AND(EXACT(UPPER(Y82),"TBM"),Z82&lt;&gt;""),ROUND(Z82,3),IF(Z82="",AB81,IF(ISNA(VLOOKUP(Y82,A6:E105,5,FALSE)),IF(ISNA(VLOOKUP(Y82,G6:K105,5,FALSE)),IF(ISNA(VLOOKUP(Y82,M6:Q105,5,FALSE)),IF(ISNA(VLOOKUP(Y82,S6:W105,5,FALSE)),IF(ISNA(VLOOKUP(Y82,Y6:AC81,5,FALSE)),"",ROUND(VLOOKUP(Y82,Y6:AC81,5,FALSE),0)/1000+ROUND(Z82,3)),ROUND(VLOOKUP(Y82,S6:W105,5,FALSE),0)/1000+ROUND(Z82,3)),ROUND(VLOOKUP(Y82,M6:Q105,5,FALSE),0)/1000+ROUND(Z82,3)),ROUND(VLOOKUP(Y82,G6:K105,5,FALSE),0)/1000+ROUND(Z82,3)),ROUND(VLOOKUP(Y82,A6:E105,5,FALSE),0)/1000+ROUND(Z82,3)))))</f>
        <v/>
      </c>
      <c r="AC82" s="18" t="str">
        <f>IF(OR(NOT(EXACT(UPPER(Y82),"TBM")),Z82=""),IF(AND(Z82&lt;&gt;"",AA82="",AB82&lt;&gt;""),"",IF(AND(Z82="",AA82&lt;&gt;"",AB82&lt;&gt;""),ROUND(ROUND(AB82,3)-ROUND(AA82,3),3)*1000,IF(AND(Z82&lt;&gt;"",AA82&lt;&gt;"",AB82&lt;&gt;""),ROUND(ROUND(AB81,3)-ROUND(AA82,3),3)*1000,""))),"")</f>
        <v/>
      </c>
      <c r="AD82" s="45" t="str">
        <f>IF(AND(NOT(ISNA(VLOOKUP(Y82,A6:E105,5,FALSE))),Z82="",AA82&lt;&gt;""),ROUND((VLOOKUP(Y82,A6:E105,5,FALSE)-AC82)/1000,3),IF(AND(NOT(ISNA(VLOOKUP(Y82,G6:K105,5,FALSE))),Z82="",AA82&lt;&gt;""),ROUND((VLOOKUP(Y82,G6:K105,5,FALSE)-AC82)/1000,3),IF(AND(NOT(ISNA(VLOOKUP(Y82,M6:Q105,5,FALSE))),Z82="",AA82&lt;&gt;""),ROUND((VLOOKUP(Y82,M6:Q105,5,FALSE)-AC82)/1000,3),IF(AND(NOT(ISNA(VLOOKUP(Y82,S6:W105,5,FALSE))),Z82="",AA82&lt;&gt;""),ROUND((VLOOKUP(Y82,S6:W105,5,FALSE)-AC82)/1000,3),IF(AND(NOT(ISNA(VLOOKUP(Y82,Y6:AC81,5,FALSE))),Z82="",AA82&lt;&gt;""),ROUND((VLOOKUP(Y82,Y6:AC81,5,FALSE)-AC82)/1000,3),"")))))</f>
        <v/>
      </c>
      <c r="AE82" s="19">
        <f>IF(AE81="","",AE81+1)</f>
        <v>576</v>
      </c>
      <c r="AF82" s="39"/>
      <c r="AG82" s="39"/>
      <c r="AH82" s="15" t="str">
        <f>IF(AND(AF82&lt;&gt;"",AG82&lt;&gt;""),ROUND(AF82,3)+ROUND(AH81,3)-ROUND(AG82,3),IF(AND(EXACT(UPPER(AE82),"TBM"),AF82&lt;&gt;""),ROUND(AF82,3),IF(AF82="",AH81,IF(ISNA(VLOOKUP(AE82,A6:E105,5,FALSE)),IF(ISNA(VLOOKUP(AE82,G6:K105,5,FALSE)),IF(ISNA(VLOOKUP(AE82,M6:Q105,5,FALSE)),IF(ISNA(VLOOKUP(AE82,S6:W105,5,FALSE)),IF(ISNA(VLOOKUP(AE82,Y6:AC105,5,FALSE)),IF(ISNA(VLOOKUP(AE82,AE6:AI81,5,FALSE)),"",ROUND(VLOOKUP(AE82,AE6:AI81,5,FALSE),0)/1000+ROUND(AF82,3)),ROUND(VLOOKUP(AE82,Y6:AC105,5,FALSE),0)/1000+ROUND(AF82,3)),ROUND(VLOOKUP(AE82,S6:W105,5,FALSE),0)/1000+ROUND(AF82,3)),ROUND(VLOOKUP(AE82,M6:Q105,5,FALSE),0)/1000+ROUND(AF82,3)),ROUND(VLOOKUP(AE82,G6:K105,5,FALSE),0)/1000+ROUND(AF82,3)),ROUND(VLOOKUP(AE82,A6:E105,5,FALSE),0)/1000+ROUND(AF82,3)))))</f>
        <v/>
      </c>
      <c r="AI82" s="18" t="str">
        <f>IF(OR(NOT(EXACT(UPPER(AE82),"TBM")),AF82=""),IF(AND(AF82&lt;&gt;"",AG82="",AH82&lt;&gt;""),"",IF(AND(AF82="",AG82&lt;&gt;"",AH82&lt;&gt;""),ROUND(ROUND(AH82,3)-ROUND(AG82,3),3)*1000,IF(AND(AF82&lt;&gt;"",AG82&lt;&gt;"",AH82&lt;&gt;""),ROUND(ROUND(AH81,3)-ROUND(AG82,3),3)*1000,""))),"")</f>
        <v/>
      </c>
      <c r="AJ82" s="45" t="str">
        <f>IF(AND(NOT(ISNA(VLOOKUP(AE82,A6:E105,5,FALSE))),AF82="",AG82&lt;&gt;""),ROUND((VLOOKUP(AE82,A6:E105,5,FALSE)-AI82)/1000,3),IF(AND(NOT(ISNA(VLOOKUP(AE82,G6:K105,5,FALSE))),AF82="",AG82&lt;&gt;""),ROUND((VLOOKUP(AE82,G6:K105,5,FALSE)-AI82)/1000,3),IF(AND(NOT(ISNA(VLOOKUP(AE82,M6:Q105,5,FALSE))),AF82="",AG82&lt;&gt;""),ROUND((VLOOKUP(AE82,M6:Q105,5,FALSE)-AI82)/1000,3),IF(AND(NOT(ISNA(VLOOKUP(AE82,S6:W105,5,FALSE))),AF82="",AG82&lt;&gt;""),ROUND((VLOOKUP(AE82,S6:W105,5,FALSE)-AI82)/1000,3),IF(AND(NOT(ISNA(VLOOKUP(AE82,Y6:AC105,5,FALSE))),AF82="",AG82&lt;&gt;""),ROUND((VLOOKUP(AE82,Y6:AC105,5,FALSE)-AI82)/1000,3),IF(AND(NOT(ISNA(VLOOKUP(AE82,AE6:AI81,5,FALSE))),AF82="",AG82&lt;&gt;""),ROUND((VLOOKUP(AE82,AE6:AI81,5,FALSE)-AI82)/1000,3),""))))))</f>
        <v/>
      </c>
      <c r="AK82" s="19">
        <f>IF(AK81="","",AK81+1)</f>
        <v>676</v>
      </c>
      <c r="AL82" s="39"/>
      <c r="AM82" s="39"/>
      <c r="AN82" s="15" t="str">
        <f>IF(AND(AL82&lt;&gt;"",AM82&lt;&gt;""),ROUND(AL82,3)+ROUND(AN81,3)-ROUND(AM82,3),IF(AND(EXACT(UPPER(AK82),"TBM"),AL82&lt;&gt;""),ROUND(AL82,3),IF(AL82="",AN81,IF(ISNA(VLOOKUP(AK82,A6:E105,5,FALSE)),IF(ISNA(VLOOKUP(AK82,G6:K105,5,FALSE)),IF(ISNA(VLOOKUP(AK82,M6:Q105,5,FALSE)),IF(ISNA(VLOOKUP(AK82,S6:W105,5,FALSE)),IF(ISNA(VLOOKUP(AK82,Y6:AC105,5,FALSE)),IF(ISNA(VLOOKUP(AK82,AE6:AI105,5,FALSE)),IF(ISNA(VLOOKUP(AK82,AK6:AO81,5,FALSE)),"",ROUND(VLOOKUP(AK82,AK6:AO81,5,FALSE),0)/1000+ROUND(AL82,3)),ROUND(VLOOKUP(AK82,AE6:AI105,5,FALSE),0)/1000+ROUND(AL82,3)),ROUND(VLOOKUP(AK82,Y6:AC105,5,FALSE),0)/1000+ROUND(AL82,3)),ROUND(VLOOKUP(AK82,S6:W105,5,FALSE),0)/1000+ROUND(AL82,3)),ROUND(VLOOKUP(AK82,M6:Q105,5,FALSE),0)/1000+ROUND(AL82,3)),ROUND(VLOOKUP(AK82,G6:K105,5,FALSE),0)/1000+ROUND(AL82,3)),ROUND(VLOOKUP(AK82,A6:E105,5,FALSE),0)/1000+ROUND(AL82,3)))))</f>
        <v/>
      </c>
      <c r="AO82" s="18" t="str">
        <f>IF(OR(NOT(EXACT(UPPER(AK82),"TBM")),AL82=""),IF(AND(AL82&lt;&gt;"",AM82="",AN82&lt;&gt;""),"",IF(AND(AL82="",AM82&lt;&gt;"",AN82&lt;&gt;""),ROUND(ROUND(AN82,3)-ROUND(AM82,3),3)*1000,IF(AND(AL82&lt;&gt;"",AM82&lt;&gt;"",AN82&lt;&gt;""),ROUND(ROUND(AN81,3)-ROUND(AM82,3),3)*1000,""))),"")</f>
        <v/>
      </c>
      <c r="AP82" s="45" t="str">
        <f>IF(AND(NOT(ISNA(VLOOKUP(AK82,A6:E105,5,FALSE))),AL82="",AM82&lt;&gt;""),ROUND((VLOOKUP(AK82,A6:E105,5,FALSE)-AO82)/1000,3),IF(AND(NOT(ISNA(VLOOKUP(AK82,G6:K105,5,FALSE))),AL82="",AM82&lt;&gt;""),ROUND((VLOOKUP(AK82,G6:K105,5,FALSE)-AO82)/1000,3),IF(AND(NOT(ISNA(VLOOKUP(AK82,M6:Q105,5,FALSE))),AL82="",AM82&lt;&gt;""),ROUND((VLOOKUP(AK82,M6:Q105,5,FALSE)-AO82)/1000,3),IF(AND(NOT(ISNA(VLOOKUP(AK82,S6:W105,5,FALSE))),AL82="",AM82&lt;&gt;""),ROUND((VLOOKUP(AK82,S6:W105,5,FALSE)-AO82)/1000,3),IF(AND(NOT(ISNA(VLOOKUP(AK82,Y6:AC105,5,FALSE))),AL82="",AM82&lt;&gt;""),ROUND((VLOOKUP(AK82,Y6:AC105,5,FALSE)-AO82)/1000,3),IF(AND(NOT(ISNA(VLOOKUP(AK82,AE6:AI105,5,FALSE))),AL82="",AM82&lt;&gt;""),ROUND((VLOOKUP(AK82,AE6:AI105,5,FALSE)-AO82)/1000,3),IF(AND(NOT(ISNA(VLOOKUP(AK82,AK6:AO81,5,FALSE))),AL82="",AM82&lt;&gt;""),ROUND((VLOOKUP(AK82,AK6:AO81,5,FALSE)-AO82)/1000,3),"")))))))</f>
        <v/>
      </c>
      <c r="AQ82" s="19">
        <f>IF(AQ81="","",AQ81+1)</f>
        <v>776</v>
      </c>
      <c r="AR82" s="39"/>
      <c r="AS82" s="39"/>
      <c r="AT82" s="15" t="str">
        <f>IF(AND(AR82&lt;&gt;"",AS82&lt;&gt;""),ROUND(AR82,3)+ROUND(AT81,3)-ROUND(AS82,3),IF(AND(EXACT(UPPER(AQ82),"TBM"),AR82&lt;&gt;""),ROUND(AR82,3),IF(AR82="",AT81,IF(ISNA(VLOOKUP(AQ82,A6:E105,5,FALSE)),IF(ISNA(VLOOKUP(AQ82,G6:K105,5,FALSE)),IF(ISNA(VLOOKUP(AQ82,M6:Q105,5,FALSE)),IF(ISNA(VLOOKUP(AQ82,S6:W105,5,FALSE)),IF(ISNA(VLOOKUP(AQ82,Y6:AC105,5,FALSE)),IF(ISNA(VLOOKUP(AQ82,AE6:AI105,5,FALSE)),IF(ISNA(VLOOKUP(AQ82,AK6:AO105,5,FALSE)),IF(ISNA(VLOOKUP(AQ82,AQ6:AU81,5,FALSE)),"",ROUND(VLOOKUP(AQ82,AQ6:AU81,5,FALSE),0)/1000+ROUND(AR82,3)),ROUND(VLOOKUP(AQ82,AK6:AO105,5,FALSE),0)/1000+ROUND(AR82,3)),ROUND(VLOOKUP(AQ82,AE6:AI105,5,FALSE),0)/1000+ROUND(AR82,3)),ROUND(VLOOKUP(AQ82,Y6:AC105,5,FALSE),0)/1000+ROUND(AR82,3)),ROUND(VLOOKUP(AQ82,S6:W105,5,FALSE),0)/1000+ROUND(AR82,3)),ROUND(VLOOKUP(AQ82,M6:Q105,5,FALSE),0)/1000+ROUND(AR82,3)),ROUND(VLOOKUP(AQ82,G6:K105,5,FALSE),0)/1000+ROUND(AR82,3)),ROUND(VLOOKUP(AQ82,A6:E105,5,FALSE),0)/1000+ROUND(AR82,3)))))</f>
        <v/>
      </c>
      <c r="AU82" s="18" t="str">
        <f>IF(OR(NOT(EXACT(UPPER(AQ82),"TBM")),AR82=""),IF(AND(AR82&lt;&gt;"",AS82="",AT82&lt;&gt;""),"",IF(AND(AR82="",AS82&lt;&gt;"",AT82&lt;&gt;""),ROUND(ROUND(AT82,3)-ROUND(AS82,3),3)*1000,IF(AND(AR82&lt;&gt;"",AS82&lt;&gt;"",AT82&lt;&gt;""),ROUND(ROUND(AT81,3)-ROUND(AS82,3),3)*1000,""))),"")</f>
        <v/>
      </c>
      <c r="AV82" s="45" t="str">
        <f>IF(AND(NOT(ISNA(VLOOKUP(AQ82,A6:E105,5,FALSE))),AR82="",AS82&lt;&gt;""),ROUND((VLOOKUP(AQ82,A6:E105,5,FALSE)-AU82)/1000,3),IF(AND(NOT(ISNA(VLOOKUP(AQ82,G6:K105,5,FALSE))),AR82="",AS82&lt;&gt;""),ROUND((VLOOKUP(AQ82,G6:K105,5,FALSE)-AU82)/1000,3),IF(AND(NOT(ISNA(VLOOKUP(AQ82,M6:Q105,5,FALSE))),AR82="",AS82&lt;&gt;""),ROUND((VLOOKUP(AQ82,M6:Q105,5,FALSE)-AU82)/1000,3),IF(AND(NOT(ISNA(VLOOKUP(AQ82,S6:W105,5,FALSE))),AR82="",AS82&lt;&gt;""),ROUND((VLOOKUP(AQ82,S6:W105,5,FALSE)-AU82)/1000,3),IF(AND(NOT(ISNA(VLOOKUP(AQ82,Y6:AC105,5,FALSE))),AR82="",AS82&lt;&gt;""),ROUND((VLOOKUP(AQ82,Y6:AC105,5,FALSE)-AU82)/1000,3),IF(AND(NOT(ISNA(VLOOKUP(AQ82,AE6:AI105,5,FALSE))),AR82="",AS82&lt;&gt;""),ROUND((VLOOKUP(AQ82,AE6:AI105,5,FALSE)-AU82)/1000,3),IF(AND(NOT(ISNA(VLOOKUP(AQ82,AK6:AO105,5,FALSE))),AR82="",AS82&lt;&gt;""),ROUND((VLOOKUP(AQ82,AK6:AO105,5,FALSE)-AU82)/1000,3),IF(AND(NOT(ISNA(VLOOKUP(AQ82,AQ6:AU81,5,FALSE))),AR82="",AS82&lt;&gt;""),ROUND((VLOOKUP(AQ82,AQ6:AU81,5,FALSE)-AU82)/1000,3),""))))))))</f>
        <v/>
      </c>
      <c r="AW82" s="19">
        <f>IF(AW81="","",AW81+1)</f>
        <v>876</v>
      </c>
      <c r="AX82" s="39"/>
      <c r="AY82" s="39"/>
      <c r="AZ82" s="15" t="str">
        <f>IF(AND(AX82&lt;&gt;"",AY82&lt;&gt;""),ROUND(AX82,3)+ROUND(AZ81,3)-ROUND(AY82,3),IF(AND(EXACT(UPPER(AW82),"TBM"),AX82&lt;&gt;""),ROUND(AX82,3),IF(AX82="",AZ81,IF(ISNA(VLOOKUP(AW82,A6:E105,5,FALSE)),IF(ISNA(VLOOKUP(AW82,G6:K105,5,FALSE)),IF(ISNA(VLOOKUP(AW82,M6:Q105,5,FALSE)),IF(ISNA(VLOOKUP(AW82,S6:W105,5,FALSE)),IF(ISNA(VLOOKUP(AW82,Y6:AC105,5,FALSE)),IF(ISNA(VLOOKUP(AW82,AE6:AI105,5,FALSE)),IF(ISNA(VLOOKUP(AW82,AK6:AO105,5,FALSE)),IF(ISNA(VLOOKUP(AW82,AQ6:AU105,5,FALSE)),IF(ISNA(VLOOKUP(AW82,AW6:BA81,5,FALSE)),"",ROUND(VLOOKUP(AW82,AW6:BA81,5,FALSE),0)/1000+ROUND(AX82,3)),ROUND(VLOOKUP(AW82,AQ6:AU105,5,FALSE),0)/1000+ROUND(AX82,3)),ROUND(VLOOKUP(AW82,AK6:AO105,5,FALSE),0)/1000+ROUND(AX82,3)),ROUND(VLOOKUP(AW82,AE6:AI105,5,FALSE),0)/1000+ROUND(AX82,3)),ROUND(VLOOKUP(AW82,Y6:AC105,5,FALSE),0)/1000+ROUND(AX82,3)),ROUND(VLOOKUP(AW82,S6:W105,5,FALSE),0)/1000+ROUND(AX82,3)),ROUND(VLOOKUP(AW82,M6:Q105,5,FALSE),0)/1000+ROUND(AX82,3)),ROUND(VLOOKUP(AW82,G6:K105,5,FALSE),0)/1000+ROUND(AX82,3)),ROUND(VLOOKUP(AW82,A6:E105,5,FALSE),0)/1000+ROUND(AX82,3)))))</f>
        <v/>
      </c>
      <c r="BA82" s="18" t="str">
        <f>IF(OR(NOT(EXACT(UPPER(AW82),"TBM")),AX82=""),IF(AND(AX82&lt;&gt;"",AY82="",AZ82&lt;&gt;""),"",IF(AND(AX82="",AY82&lt;&gt;"",AZ82&lt;&gt;""),ROUND(ROUND(AZ82,3)-ROUND(AY82,3),3)*1000,IF(AND(AX82&lt;&gt;"",AY82&lt;&gt;"",AZ82&lt;&gt;""),ROUND(ROUND(AZ81,3)-ROUND(AY82,3),3)*1000,""))),"")</f>
        <v/>
      </c>
      <c r="BB82" s="45" t="str">
        <f>IF(AND(NOT(ISNA(VLOOKUP(AW82,A6:E105,5,FALSE))),AX82="",AY82&lt;&gt;""),ROUND((VLOOKUP(AW82,A6:E105,5,FALSE)-BA82)/1000,3),IF(AND(NOT(ISNA(VLOOKUP(AW82,G6:K105,5,FALSE))),AX82="",AY82&lt;&gt;""),ROUND((VLOOKUP(AW82,G6:K105,5,FALSE)-BA82)/1000,3),IF(AND(NOT(ISNA(VLOOKUP(AW82,M6:Q105,5,FALSE))),AX82="",AY82&lt;&gt;""),ROUND((VLOOKUP(AW82,M6:Q105,5,FALSE)-BA82)/1000,3),IF(AND(NOT(ISNA(VLOOKUP(AW82,S6:W105,5,FALSE))),AX82="",AY82&lt;&gt;""),ROUND((VLOOKUP(AW82,S6:W105,5,FALSE)-BA82)/1000,3),IF(AND(NOT(ISNA(VLOOKUP(AW82,Y6:AC105,5,FALSE))),AX82="",AY82&lt;&gt;""),ROUND((VLOOKUP(AW82,Y6:AC105,5,FALSE)-BA82)/1000,3),IF(AND(NOT(ISNA(VLOOKUP(AW82,AE6:AI105,5,FALSE))),AX82="",AY82&lt;&gt;""),ROUND((VLOOKUP(AW82,AE6:AI105,5,FALSE)-BA82)/1000,3),IF(AND(NOT(ISNA(VLOOKUP(AW82,AK6:AO105,5,FALSE))),AX82="",AY82&lt;&gt;""),ROUND((VLOOKUP(AW82,AK6:AO105,5,FALSE)-BA82)/1000,3),IF(AND(NOT(ISNA(VLOOKUP(AW82,AQ6:AU105,5,FALSE))),AX82="",AY82&lt;&gt;""),ROUND((VLOOKUP(AW82,AQ6:AU105,5,FALSE)-BA82)/1000,3),IF(AND(NOT(ISNA(VLOOKUP(AW82,AW6:BA81,5,FALSE))),AX82="",AY82&lt;&gt;""),ROUND((VLOOKUP(AW82,AW6:BA81,5,FALSE)-BA82)/1000,3),"")))))))))</f>
        <v/>
      </c>
      <c r="BC82" s="19">
        <f>IF(BC81="","",BC81+1)</f>
        <v>976</v>
      </c>
      <c r="BD82" s="39"/>
      <c r="BE82" s="39"/>
      <c r="BF82" s="15" t="str">
        <f>IF(AND(BD82&lt;&gt;"",BE82&lt;&gt;""),ROUND(BD82,3)+ROUND(BF81,3)-ROUND(BE82,3),IF(AND(EXACT(UPPER(BC82),"TBM"),BD82&lt;&gt;""),ROUND(BD82,3),IF(BD82="",BF81,IF(ISNA(VLOOKUP(BC82,A6:E105,5,FALSE)),IF(ISNA(VLOOKUP(BC82,G6:K105,5,FALSE)),IF(ISNA(VLOOKUP(BC82,M6:Q105,5,FALSE)),IF(ISNA(VLOOKUP(BC82,S6:W105,5,FALSE)),IF(ISNA(VLOOKUP(BC82,Y6:AC105,5,FALSE)),IF(ISNA(VLOOKUP(BC82,AE6:AI105,5,FALSE)),IF(ISNA(VLOOKUP(BC82,AK6:AO105,5,FALSE)),IF(ISNA(VLOOKUP(BC82,AQ6:AU105,5,FALSE)),IF(ISNA(VLOOKUP(BC82,AW6:BA105,5,FALSE)),IF(ISNA(VLOOKUP(BC82,BC6:BG81,5,FALSE)),"",ROUND(VLOOKUP(BC82,BC6:BG81,5,FALSE),0)/1000+ROUND(BD82,3)),ROUND(VLOOKUP(BC82,AW6:BA105,5,FALSE),0)/1000+ROUND(BD82,3)),ROUND(VLOOKUP(BC82,AQ6:AU105,5,FALSE),0)/1000+ROUND(BD82,3)),ROUND(VLOOKUP(BC82,AK6:AO105,5,FALSE),0)/1000+ROUND(BD82,3)),ROUND(VLOOKUP(BC82,AE6:AI105,5,FALSE),0)/1000+ROUND(BD82,3)),ROUND(VLOOKUP(BC82,Y6:AC105,5,FALSE),0)/1000+ROUND(BD82,3)),ROUND(VLOOKUP(BC82,S6:W105,5,FALSE),0)/1000+ROUND(BD82,3)),ROUND(VLOOKUP(BC82,M6:Q105,5,FALSE),0)/1000+ROUND(BD82,3)),ROUND(VLOOKUP(BC82,G6:K105,5,FALSE),0)/1000+ROUND(BD82,3)),ROUND(VLOOKUP(BC82,A6:E105,5,FALSE),0)/1000+ROUND(BD82,3)))))</f>
        <v/>
      </c>
      <c r="BG82" s="18" t="str">
        <f>IF(OR(NOT(EXACT(UPPER(BC82),"TBM")),BD82=""),IF(AND(BD82&lt;&gt;"",BE82="",BF82&lt;&gt;""),"",IF(AND(BD82="",BE82&lt;&gt;"",BF82&lt;&gt;""),ROUND(ROUND(BF82,3)-ROUND(BE82,3),3)*1000,IF(AND(BD82&lt;&gt;"",BE82&lt;&gt;"",BF82&lt;&gt;""),ROUND(ROUND(BF81,3)-ROUND(BE82,3),3)*1000,""))),"")</f>
        <v/>
      </c>
      <c r="BH82" s="45" t="str">
        <f>IF(AND(NOT(ISNA(VLOOKUP(BC82,A6:E105,5,FALSE))),BD82="",BE82&lt;&gt;""),ROUND((VLOOKUP(BC82,A6:E105,5,FALSE)-BG82)/1000,3),IF(AND(NOT(ISNA(VLOOKUP(BC82,G6:K105,5,FALSE))),BD82="",BE82&lt;&gt;""),ROUND((VLOOKUP(BC82,G6:K105,5,FALSE)-BG82)/1000,3),IF(AND(NOT(ISNA(VLOOKUP(BC82,M6:Q105,5,FALSE))),BD82="",BE82&lt;&gt;""),ROUND((VLOOKUP(BC82,M6:Q105,5,FALSE)-BG82)/1000,3),IF(AND(NOT(ISNA(VLOOKUP(BC82,S6:W105,5,FALSE))),BD82="",BE82&lt;&gt;""),ROUND((VLOOKUP(BC82,S6:W105,5,FALSE)-BG82)/1000,3),IF(AND(NOT(ISNA(VLOOKUP(BC82,Y6:AC105,5,FALSE))),BD82="",BE82&lt;&gt;""),ROUND((VLOOKUP(BC82,Y6:AC105,5,FALSE)-BG82)/1000,3),IF(AND(NOT(ISNA(VLOOKUP(BC82,AE6:AI105,5,FALSE))),BD82="",BE82&lt;&gt;""),ROUND((VLOOKUP(BC82,AE6:AI105,5,FALSE)-BG82)/1000,3),IF(AND(NOT(ISNA(VLOOKUP(BC82,AK6:AO105,5,FALSE))),BD82="",BE82&lt;&gt;""),ROUND((VLOOKUP(BC82,AK6:AO105,5,FALSE)-BG82)/1000,3),IF(AND(NOT(ISNA(VLOOKUP(BC82,AQ6:AU105,5,FALSE))),BD82="",BE82&lt;&gt;""),ROUND((VLOOKUP(BC82,AQ6:AU105,5,FALSE)-BG82)/1000,3),IF(AND(NOT(ISNA(VLOOKUP(BC82,AW6:BA105,5,FALSE))),BD82="",BE82&lt;&gt;""),ROUND((VLOOKUP(BC82,AW6:BA105,5,FALSE)-BG82)/1000,3),IF(AND(NOT(ISNA(VLOOKUP(BC82,BC6:BG81,5,FALSE))),BD82="",BE82&lt;&gt;""),ROUND((VLOOKUP(BC82,BC6:BG81,5,FALSE)-BG82)/1000,3),""))))))))))</f>
        <v/>
      </c>
    </row>
    <row r="83" spans="1:60" x14ac:dyDescent="0.25">
      <c r="A83" s="19">
        <f t="shared" si="9"/>
        <v>77</v>
      </c>
      <c r="B83" s="39"/>
      <c r="C83" s="39"/>
      <c r="D83" s="15" t="str">
        <f>IF(AND(B83&lt;&gt;"",C83&lt;&gt;""),ROUND(B83,3)+ROUND(D82,3)-ROUND(C83,3),IF(AND(EXACT(UPPER(A83),"TBM"),B83&lt;&gt;""),ROUND(B83,3),IF(B83="",D82,IF(ISNA(VLOOKUP(A83,A6:E82,5,FALSE)),"",ROUND(VLOOKUP(A83,A6:E82,5,FALSE),0)/1000+ROUND(B83,3)))))</f>
        <v/>
      </c>
      <c r="E83" s="21" t="str">
        <f t="shared" si="6"/>
        <v/>
      </c>
      <c r="F83" s="45" t="str">
        <f>IF(AND(NOT(ISNA(VLOOKUP(A83,A6:E82,5,FALSE))),B83="",C83&lt;&gt;""),ROUND((VLOOKUP(A83,A6:E82,5,FALSE)-E83)/1000,3),"")</f>
        <v/>
      </c>
      <c r="G83" s="19">
        <f t="shared" si="7"/>
        <v>177</v>
      </c>
      <c r="H83" s="39"/>
      <c r="I83" s="39"/>
      <c r="J83" s="15" t="str">
        <f>IF(AND(H83&lt;&gt;"",I83&lt;&gt;""),ROUND(H83,3)+ROUND(J82,3)-ROUND(I83,3),IF(AND(EXACT(UPPER(G83),"TBM"),H83&lt;&gt;""),ROUND(H83,3),IF(H83="",J82,IF(ISNA(VLOOKUP(G83,A6:E105,5,FALSE)),IF(ISNA(VLOOKUP(G83,G6:K82,5,FALSE)),"",ROUND(VLOOKUP(G83,G6:K82,5,FALSE),0)/1000+ROUND(H83,3)),ROUND(VLOOKUP(G83,A6:E105,5,FALSE),0)/1000+ROUND(H83,3)))))</f>
        <v/>
      </c>
      <c r="K83" s="18" t="str">
        <f t="shared" si="8"/>
        <v/>
      </c>
      <c r="L83" s="45" t="str">
        <f>IF(AND(NOT(ISNA(VLOOKUP(G83,A6:E105,5,FALSE))),H83="",I83&lt;&gt;""),ROUND((VLOOKUP(G83,A6:E105,5,FALSE)-K83)/1000,3),IF(AND(NOT(ISNA(VLOOKUP(G83,G6:K82,5,FALSE))),H83="",I83&lt;&gt;""),ROUND((VLOOKUP(G83,G6:K82,5,FALSE)-K83)/1000,3),""))</f>
        <v/>
      </c>
      <c r="M83" s="19">
        <f>IF(M82="","",M82+1)</f>
        <v>277</v>
      </c>
      <c r="N83" s="39"/>
      <c r="O83" s="39"/>
      <c r="P83" s="15" t="str">
        <f>IF(AND(N83&lt;&gt;"",O83&lt;&gt;""),ROUND(N83,3)+ROUND(P82,3)-ROUND(O83,3),IF(AND(EXACT(UPPER(M83),"TBM"),N83&lt;&gt;""),ROUND(N83,3),IF(N83="",P82,IF(ISNA(VLOOKUP(M83,A6:E105,5,FALSE)),IF(ISNA(VLOOKUP(M83,G6:K105,5,FALSE)),IF(ISNA(VLOOKUP(M83,M6:Q82,5,FALSE)),"",ROUND(VLOOKUP(M83,M6:Q82,5,FALSE),0)/1000+ROUND(N83,3)),ROUND(VLOOKUP(M83,G6:K105,5,FALSE),0)/1000+ROUND(N83,3)),ROUND(VLOOKUP(M83,A6:E105,5,FALSE),0)/1000+ROUND(N83,3)))))</f>
        <v/>
      </c>
      <c r="Q83" s="18" t="str">
        <f>IF(OR(NOT(EXACT(UPPER(M83),"TBM")),N83=""),IF(AND(N83&lt;&gt;"",O83="",P83&lt;&gt;""),"",IF(AND(N83="",O83&lt;&gt;"",P83&lt;&gt;""),ROUND(ROUND(P83,3)-ROUND(O83,3),3)*1000,IF(AND(N83&lt;&gt;"",O83&lt;&gt;"",P83&lt;&gt;""),ROUND(ROUND(P82,3)-ROUND(O83,3),3)*1000,""))),"")</f>
        <v/>
      </c>
      <c r="R83" s="45" t="str">
        <f>IF(AND(NOT(ISNA(VLOOKUP(M83,A6:E105,5,FALSE))),N83="",O83&lt;&gt;""),ROUND((VLOOKUP(M83,A6:E105,5,FALSE)-Q83)/1000,3),IF(AND(NOT(ISNA(VLOOKUP(M83,G6:K105,5,FALSE))),N83="",O83&lt;&gt;""),ROUND((VLOOKUP(M83,G6:K105,5,FALSE)-Q83)/1000,3),IF(AND(NOT(ISNA(VLOOKUP(M83,M6:Q82,5,FALSE))),N83="",O83&lt;&gt;""),ROUND((VLOOKUP(M83,M6:Q82,5,FALSE)-Q83)/1000,3),"")))</f>
        <v/>
      </c>
      <c r="S83" s="19">
        <f>IF(S82="","",S82+1)</f>
        <v>377</v>
      </c>
      <c r="T83" s="39"/>
      <c r="U83" s="39"/>
      <c r="V83" s="15" t="str">
        <f>IF(AND(T83&lt;&gt;"",U83&lt;&gt;""),ROUND(T83,3)+ROUND(V82,3)-ROUND(U83,3),IF(AND(EXACT(UPPER(S83),"TBM"),T83&lt;&gt;""),ROUND(T83,3),IF(T83="",V82,IF(ISNA(VLOOKUP(S83,A6:E105,5,FALSE)),IF(ISNA(VLOOKUP(S83,G6:K105,5,FALSE)),IF(ISNA(VLOOKUP(S83,M6:Q105,5,FALSE)),IF(ISNA(VLOOKUP(S83,S6:W82,5,FALSE)),"",ROUND(VLOOKUP(S83,S6:W82,5,FALSE),0)/1000+ROUND(T83,3)),ROUND(VLOOKUP(S83,M6:Q105,5,FALSE),0)/1000+ROUND(T83,3)),ROUND(VLOOKUP(S83,G6:K105,5,FALSE),0)/1000+ROUND(T83,3)),ROUND(VLOOKUP(S83,A6:E105,5,FALSE),0)/1000+ROUND(T83,3)))))</f>
        <v/>
      </c>
      <c r="W83" s="18" t="str">
        <f>IF(OR(NOT(EXACT(UPPER(S83),"TBM")),T83=""),IF(AND(T83&lt;&gt;"",U83="",V83&lt;&gt;""),"",IF(AND(T83="",U83&lt;&gt;"",V83&lt;&gt;""),ROUND(ROUND(V83,3)-ROUND(U83,3),3)*1000,IF(AND(T83&lt;&gt;"",U83&lt;&gt;"",V83&lt;&gt;""),ROUND(ROUND(V82,3)-ROUND(U83,3),3)*1000,""))),"")</f>
        <v/>
      </c>
      <c r="X83" s="45" t="str">
        <f>IF(AND(NOT(ISNA(VLOOKUP(S83,A6:E105,5,FALSE))),T83="",U83&lt;&gt;""),ROUND((VLOOKUP(S83,A6:E105,5,FALSE)-W83)/1000,3),IF(AND(NOT(ISNA(VLOOKUP(S83,G6:K105,5,FALSE))),T83="",U83&lt;&gt;""),ROUND((VLOOKUP(S83,G6:K105,5,FALSE)-W83)/1000,3),IF(AND(NOT(ISNA(VLOOKUP(S83,M6:Q105,5,FALSE))),T83="",U83&lt;&gt;""),ROUND((VLOOKUP(S83,M6:Q105,5,FALSE)-W83)/1000,3),IF(AND(NOT(ISNA(VLOOKUP(S83,S6:W82,5,FALSE))),T83="",U83&lt;&gt;""),ROUND((VLOOKUP(S83,S6:W82,5,FALSE)-W83)/1000,3),""))))</f>
        <v/>
      </c>
      <c r="Y83" s="19">
        <f>IF(Y82="","",Y82+1)</f>
        <v>477</v>
      </c>
      <c r="Z83" s="39"/>
      <c r="AA83" s="39"/>
      <c r="AB83" s="15" t="str">
        <f>IF(AND(Z83&lt;&gt;"",AA83&lt;&gt;""),ROUND(Z83,3)+ROUND(AB82,3)-ROUND(AA83,3),IF(AND(EXACT(UPPER(Y83),"TBM"),Z83&lt;&gt;""),ROUND(Z83,3),IF(Z83="",AB82,IF(ISNA(VLOOKUP(Y83,A6:E105,5,FALSE)),IF(ISNA(VLOOKUP(Y83,G6:K105,5,FALSE)),IF(ISNA(VLOOKUP(Y83,M6:Q105,5,FALSE)),IF(ISNA(VLOOKUP(Y83,S6:W105,5,FALSE)),IF(ISNA(VLOOKUP(Y83,Y6:AC82,5,FALSE)),"",ROUND(VLOOKUP(Y83,Y6:AC82,5,FALSE),0)/1000+ROUND(Z83,3)),ROUND(VLOOKUP(Y83,S6:W105,5,FALSE),0)/1000+ROUND(Z83,3)),ROUND(VLOOKUP(Y83,M6:Q105,5,FALSE),0)/1000+ROUND(Z83,3)),ROUND(VLOOKUP(Y83,G6:K105,5,FALSE),0)/1000+ROUND(Z83,3)),ROUND(VLOOKUP(Y83,A6:E105,5,FALSE),0)/1000+ROUND(Z83,3)))))</f>
        <v/>
      </c>
      <c r="AC83" s="18" t="str">
        <f>IF(OR(NOT(EXACT(UPPER(Y83),"TBM")),Z83=""),IF(AND(Z83&lt;&gt;"",AA83="",AB83&lt;&gt;""),"",IF(AND(Z83="",AA83&lt;&gt;"",AB83&lt;&gt;""),ROUND(ROUND(AB83,3)-ROUND(AA83,3),3)*1000,IF(AND(Z83&lt;&gt;"",AA83&lt;&gt;"",AB83&lt;&gt;""),ROUND(ROUND(AB82,3)-ROUND(AA83,3),3)*1000,""))),"")</f>
        <v/>
      </c>
      <c r="AD83" s="45" t="str">
        <f>IF(AND(NOT(ISNA(VLOOKUP(Y83,A6:E105,5,FALSE))),Z83="",AA83&lt;&gt;""),ROUND((VLOOKUP(Y83,A6:E105,5,FALSE)-AC83)/1000,3),IF(AND(NOT(ISNA(VLOOKUP(Y83,G6:K105,5,FALSE))),Z83="",AA83&lt;&gt;""),ROUND((VLOOKUP(Y83,G6:K105,5,FALSE)-AC83)/1000,3),IF(AND(NOT(ISNA(VLOOKUP(Y83,M6:Q105,5,FALSE))),Z83="",AA83&lt;&gt;""),ROUND((VLOOKUP(Y83,M6:Q105,5,FALSE)-AC83)/1000,3),IF(AND(NOT(ISNA(VLOOKUP(Y83,S6:W105,5,FALSE))),Z83="",AA83&lt;&gt;""),ROUND((VLOOKUP(Y83,S6:W105,5,FALSE)-AC83)/1000,3),IF(AND(NOT(ISNA(VLOOKUP(Y83,Y6:AC82,5,FALSE))),Z83="",AA83&lt;&gt;""),ROUND((VLOOKUP(Y83,Y6:AC82,5,FALSE)-AC83)/1000,3),"")))))</f>
        <v/>
      </c>
      <c r="AE83" s="19">
        <f>IF(AE82="","",AE82+1)</f>
        <v>577</v>
      </c>
      <c r="AF83" s="39"/>
      <c r="AG83" s="39"/>
      <c r="AH83" s="15" t="str">
        <f>IF(AND(AF83&lt;&gt;"",AG83&lt;&gt;""),ROUND(AF83,3)+ROUND(AH82,3)-ROUND(AG83,3),IF(AND(EXACT(UPPER(AE83),"TBM"),AF83&lt;&gt;""),ROUND(AF83,3),IF(AF83="",AH82,IF(ISNA(VLOOKUP(AE83,A6:E105,5,FALSE)),IF(ISNA(VLOOKUP(AE83,G6:K105,5,FALSE)),IF(ISNA(VLOOKUP(AE83,M6:Q105,5,FALSE)),IF(ISNA(VLOOKUP(AE83,S6:W105,5,FALSE)),IF(ISNA(VLOOKUP(AE83,Y6:AC105,5,FALSE)),IF(ISNA(VLOOKUP(AE83,AE6:AI82,5,FALSE)),"",ROUND(VLOOKUP(AE83,AE6:AI82,5,FALSE),0)/1000+ROUND(AF83,3)),ROUND(VLOOKUP(AE83,Y6:AC105,5,FALSE),0)/1000+ROUND(AF83,3)),ROUND(VLOOKUP(AE83,S6:W105,5,FALSE),0)/1000+ROUND(AF83,3)),ROUND(VLOOKUP(AE83,M6:Q105,5,FALSE),0)/1000+ROUND(AF83,3)),ROUND(VLOOKUP(AE83,G6:K105,5,FALSE),0)/1000+ROUND(AF83,3)),ROUND(VLOOKUP(AE83,A6:E105,5,FALSE),0)/1000+ROUND(AF83,3)))))</f>
        <v/>
      </c>
      <c r="AI83" s="18" t="str">
        <f>IF(OR(NOT(EXACT(UPPER(AE83),"TBM")),AF83=""),IF(AND(AF83&lt;&gt;"",AG83="",AH83&lt;&gt;""),"",IF(AND(AF83="",AG83&lt;&gt;"",AH83&lt;&gt;""),ROUND(ROUND(AH83,3)-ROUND(AG83,3),3)*1000,IF(AND(AF83&lt;&gt;"",AG83&lt;&gt;"",AH83&lt;&gt;""),ROUND(ROUND(AH82,3)-ROUND(AG83,3),3)*1000,""))),"")</f>
        <v/>
      </c>
      <c r="AJ83" s="45" t="str">
        <f>IF(AND(NOT(ISNA(VLOOKUP(AE83,A6:E105,5,FALSE))),AF83="",AG83&lt;&gt;""),ROUND((VLOOKUP(AE83,A6:E105,5,FALSE)-AI83)/1000,3),IF(AND(NOT(ISNA(VLOOKUP(AE83,G6:K105,5,FALSE))),AF83="",AG83&lt;&gt;""),ROUND((VLOOKUP(AE83,G6:K105,5,FALSE)-AI83)/1000,3),IF(AND(NOT(ISNA(VLOOKUP(AE83,M6:Q105,5,FALSE))),AF83="",AG83&lt;&gt;""),ROUND((VLOOKUP(AE83,M6:Q105,5,FALSE)-AI83)/1000,3),IF(AND(NOT(ISNA(VLOOKUP(AE83,S6:W105,5,FALSE))),AF83="",AG83&lt;&gt;""),ROUND((VLOOKUP(AE83,S6:W105,5,FALSE)-AI83)/1000,3),IF(AND(NOT(ISNA(VLOOKUP(AE83,Y6:AC105,5,FALSE))),AF83="",AG83&lt;&gt;""),ROUND((VLOOKUP(AE83,Y6:AC105,5,FALSE)-AI83)/1000,3),IF(AND(NOT(ISNA(VLOOKUP(AE83,AE6:AI82,5,FALSE))),AF83="",AG83&lt;&gt;""),ROUND((VLOOKUP(AE83,AE6:AI82,5,FALSE)-AI83)/1000,3),""))))))</f>
        <v/>
      </c>
      <c r="AK83" s="19">
        <f>IF(AK82="","",AK82+1)</f>
        <v>677</v>
      </c>
      <c r="AL83" s="39"/>
      <c r="AM83" s="39"/>
      <c r="AN83" s="15" t="str">
        <f>IF(AND(AL83&lt;&gt;"",AM83&lt;&gt;""),ROUND(AL83,3)+ROUND(AN82,3)-ROUND(AM83,3),IF(AND(EXACT(UPPER(AK83),"TBM"),AL83&lt;&gt;""),ROUND(AL83,3),IF(AL83="",AN82,IF(ISNA(VLOOKUP(AK83,A6:E105,5,FALSE)),IF(ISNA(VLOOKUP(AK83,G6:K105,5,FALSE)),IF(ISNA(VLOOKUP(AK83,M6:Q105,5,FALSE)),IF(ISNA(VLOOKUP(AK83,S6:W105,5,FALSE)),IF(ISNA(VLOOKUP(AK83,Y6:AC105,5,FALSE)),IF(ISNA(VLOOKUP(AK83,AE6:AI105,5,FALSE)),IF(ISNA(VLOOKUP(AK83,AK6:AO82,5,FALSE)),"",ROUND(VLOOKUP(AK83,AK6:AO82,5,FALSE),0)/1000+ROUND(AL83,3)),ROUND(VLOOKUP(AK83,AE6:AI105,5,FALSE),0)/1000+ROUND(AL83,3)),ROUND(VLOOKUP(AK83,Y6:AC105,5,FALSE),0)/1000+ROUND(AL83,3)),ROUND(VLOOKUP(AK83,S6:W105,5,FALSE),0)/1000+ROUND(AL83,3)),ROUND(VLOOKUP(AK83,M6:Q105,5,FALSE),0)/1000+ROUND(AL83,3)),ROUND(VLOOKUP(AK83,G6:K105,5,FALSE),0)/1000+ROUND(AL83,3)),ROUND(VLOOKUP(AK83,A6:E105,5,FALSE),0)/1000+ROUND(AL83,3)))))</f>
        <v/>
      </c>
      <c r="AO83" s="18" t="str">
        <f>IF(OR(NOT(EXACT(UPPER(AK83),"TBM")),AL83=""),IF(AND(AL83&lt;&gt;"",AM83="",AN83&lt;&gt;""),"",IF(AND(AL83="",AM83&lt;&gt;"",AN83&lt;&gt;""),ROUND(ROUND(AN83,3)-ROUND(AM83,3),3)*1000,IF(AND(AL83&lt;&gt;"",AM83&lt;&gt;"",AN83&lt;&gt;""),ROUND(ROUND(AN82,3)-ROUND(AM83,3),3)*1000,""))),"")</f>
        <v/>
      </c>
      <c r="AP83" s="45" t="str">
        <f>IF(AND(NOT(ISNA(VLOOKUP(AK83,A6:E105,5,FALSE))),AL83="",AM83&lt;&gt;""),ROUND((VLOOKUP(AK83,A6:E105,5,FALSE)-AO83)/1000,3),IF(AND(NOT(ISNA(VLOOKUP(AK83,G6:K105,5,FALSE))),AL83="",AM83&lt;&gt;""),ROUND((VLOOKUP(AK83,G6:K105,5,FALSE)-AO83)/1000,3),IF(AND(NOT(ISNA(VLOOKUP(AK83,M6:Q105,5,FALSE))),AL83="",AM83&lt;&gt;""),ROUND((VLOOKUP(AK83,M6:Q105,5,FALSE)-AO83)/1000,3),IF(AND(NOT(ISNA(VLOOKUP(AK83,S6:W105,5,FALSE))),AL83="",AM83&lt;&gt;""),ROUND((VLOOKUP(AK83,S6:W105,5,FALSE)-AO83)/1000,3),IF(AND(NOT(ISNA(VLOOKUP(AK83,Y6:AC105,5,FALSE))),AL83="",AM83&lt;&gt;""),ROUND((VLOOKUP(AK83,Y6:AC105,5,FALSE)-AO83)/1000,3),IF(AND(NOT(ISNA(VLOOKUP(AK83,AE6:AI105,5,FALSE))),AL83="",AM83&lt;&gt;""),ROUND((VLOOKUP(AK83,AE6:AI105,5,FALSE)-AO83)/1000,3),IF(AND(NOT(ISNA(VLOOKUP(AK83,AK6:AO82,5,FALSE))),AL83="",AM83&lt;&gt;""),ROUND((VLOOKUP(AK83,AK6:AO82,5,FALSE)-AO83)/1000,3),"")))))))</f>
        <v/>
      </c>
      <c r="AQ83" s="19">
        <f>IF(AQ82="","",AQ82+1)</f>
        <v>777</v>
      </c>
      <c r="AR83" s="39"/>
      <c r="AS83" s="39"/>
      <c r="AT83" s="15" t="str">
        <f>IF(AND(AR83&lt;&gt;"",AS83&lt;&gt;""),ROUND(AR83,3)+ROUND(AT82,3)-ROUND(AS83,3),IF(AND(EXACT(UPPER(AQ83),"TBM"),AR83&lt;&gt;""),ROUND(AR83,3),IF(AR83="",AT82,IF(ISNA(VLOOKUP(AQ83,A6:E105,5,FALSE)),IF(ISNA(VLOOKUP(AQ83,G6:K105,5,FALSE)),IF(ISNA(VLOOKUP(AQ83,M6:Q105,5,FALSE)),IF(ISNA(VLOOKUP(AQ83,S6:W105,5,FALSE)),IF(ISNA(VLOOKUP(AQ83,Y6:AC105,5,FALSE)),IF(ISNA(VLOOKUP(AQ83,AE6:AI105,5,FALSE)),IF(ISNA(VLOOKUP(AQ83,AK6:AO105,5,FALSE)),IF(ISNA(VLOOKUP(AQ83,AQ6:AU82,5,FALSE)),"",ROUND(VLOOKUP(AQ83,AQ6:AU82,5,FALSE),0)/1000+ROUND(AR83,3)),ROUND(VLOOKUP(AQ83,AK6:AO105,5,FALSE),0)/1000+ROUND(AR83,3)),ROUND(VLOOKUP(AQ83,AE6:AI105,5,FALSE),0)/1000+ROUND(AR83,3)),ROUND(VLOOKUP(AQ83,Y6:AC105,5,FALSE),0)/1000+ROUND(AR83,3)),ROUND(VLOOKUP(AQ83,S6:W105,5,FALSE),0)/1000+ROUND(AR83,3)),ROUND(VLOOKUP(AQ83,M6:Q105,5,FALSE),0)/1000+ROUND(AR83,3)),ROUND(VLOOKUP(AQ83,G6:K105,5,FALSE),0)/1000+ROUND(AR83,3)),ROUND(VLOOKUP(AQ83,A6:E105,5,FALSE),0)/1000+ROUND(AR83,3)))))</f>
        <v/>
      </c>
      <c r="AU83" s="18" t="str">
        <f>IF(OR(NOT(EXACT(UPPER(AQ83),"TBM")),AR83=""),IF(AND(AR83&lt;&gt;"",AS83="",AT83&lt;&gt;""),"",IF(AND(AR83="",AS83&lt;&gt;"",AT83&lt;&gt;""),ROUND(ROUND(AT83,3)-ROUND(AS83,3),3)*1000,IF(AND(AR83&lt;&gt;"",AS83&lt;&gt;"",AT83&lt;&gt;""),ROUND(ROUND(AT82,3)-ROUND(AS83,3),3)*1000,""))),"")</f>
        <v/>
      </c>
      <c r="AV83" s="45" t="str">
        <f>IF(AND(NOT(ISNA(VLOOKUP(AQ83,A6:E105,5,FALSE))),AR83="",AS83&lt;&gt;""),ROUND((VLOOKUP(AQ83,A6:E105,5,FALSE)-AU83)/1000,3),IF(AND(NOT(ISNA(VLOOKUP(AQ83,G6:K105,5,FALSE))),AR83="",AS83&lt;&gt;""),ROUND((VLOOKUP(AQ83,G6:K105,5,FALSE)-AU83)/1000,3),IF(AND(NOT(ISNA(VLOOKUP(AQ83,M6:Q105,5,FALSE))),AR83="",AS83&lt;&gt;""),ROUND((VLOOKUP(AQ83,M6:Q105,5,FALSE)-AU83)/1000,3),IF(AND(NOT(ISNA(VLOOKUP(AQ83,S6:W105,5,FALSE))),AR83="",AS83&lt;&gt;""),ROUND((VLOOKUP(AQ83,S6:W105,5,FALSE)-AU83)/1000,3),IF(AND(NOT(ISNA(VLOOKUP(AQ83,Y6:AC105,5,FALSE))),AR83="",AS83&lt;&gt;""),ROUND((VLOOKUP(AQ83,Y6:AC105,5,FALSE)-AU83)/1000,3),IF(AND(NOT(ISNA(VLOOKUP(AQ83,AE6:AI105,5,FALSE))),AR83="",AS83&lt;&gt;""),ROUND((VLOOKUP(AQ83,AE6:AI105,5,FALSE)-AU83)/1000,3),IF(AND(NOT(ISNA(VLOOKUP(AQ83,AK6:AO105,5,FALSE))),AR83="",AS83&lt;&gt;""),ROUND((VLOOKUP(AQ83,AK6:AO105,5,FALSE)-AU83)/1000,3),IF(AND(NOT(ISNA(VLOOKUP(AQ83,AQ6:AU82,5,FALSE))),AR83="",AS83&lt;&gt;""),ROUND((VLOOKUP(AQ83,AQ6:AU82,5,FALSE)-AU83)/1000,3),""))))))))</f>
        <v/>
      </c>
      <c r="AW83" s="19">
        <f>IF(AW82="","",AW82+1)</f>
        <v>877</v>
      </c>
      <c r="AX83" s="39"/>
      <c r="AY83" s="39"/>
      <c r="AZ83" s="15" t="str">
        <f>IF(AND(AX83&lt;&gt;"",AY83&lt;&gt;""),ROUND(AX83,3)+ROUND(AZ82,3)-ROUND(AY83,3),IF(AND(EXACT(UPPER(AW83),"TBM"),AX83&lt;&gt;""),ROUND(AX83,3),IF(AX83="",AZ82,IF(ISNA(VLOOKUP(AW83,A6:E105,5,FALSE)),IF(ISNA(VLOOKUP(AW83,G6:K105,5,FALSE)),IF(ISNA(VLOOKUP(AW83,M6:Q105,5,FALSE)),IF(ISNA(VLOOKUP(AW83,S6:W105,5,FALSE)),IF(ISNA(VLOOKUP(AW83,Y6:AC105,5,FALSE)),IF(ISNA(VLOOKUP(AW83,AE6:AI105,5,FALSE)),IF(ISNA(VLOOKUP(AW83,AK6:AO105,5,FALSE)),IF(ISNA(VLOOKUP(AW83,AQ6:AU105,5,FALSE)),IF(ISNA(VLOOKUP(AW83,AW6:BA82,5,FALSE)),"",ROUND(VLOOKUP(AW83,AW6:BA82,5,FALSE),0)/1000+ROUND(AX83,3)),ROUND(VLOOKUP(AW83,AQ6:AU105,5,FALSE),0)/1000+ROUND(AX83,3)),ROUND(VLOOKUP(AW83,AK6:AO105,5,FALSE),0)/1000+ROUND(AX83,3)),ROUND(VLOOKUP(AW83,AE6:AI105,5,FALSE),0)/1000+ROUND(AX83,3)),ROUND(VLOOKUP(AW83,Y6:AC105,5,FALSE),0)/1000+ROUND(AX83,3)),ROUND(VLOOKUP(AW83,S6:W105,5,FALSE),0)/1000+ROUND(AX83,3)),ROUND(VLOOKUP(AW83,M6:Q105,5,FALSE),0)/1000+ROUND(AX83,3)),ROUND(VLOOKUP(AW83,G6:K105,5,FALSE),0)/1000+ROUND(AX83,3)),ROUND(VLOOKUP(AW83,A6:E105,5,FALSE),0)/1000+ROUND(AX83,3)))))</f>
        <v/>
      </c>
      <c r="BA83" s="18" t="str">
        <f>IF(OR(NOT(EXACT(UPPER(AW83),"TBM")),AX83=""),IF(AND(AX83&lt;&gt;"",AY83="",AZ83&lt;&gt;""),"",IF(AND(AX83="",AY83&lt;&gt;"",AZ83&lt;&gt;""),ROUND(ROUND(AZ83,3)-ROUND(AY83,3),3)*1000,IF(AND(AX83&lt;&gt;"",AY83&lt;&gt;"",AZ83&lt;&gt;""),ROUND(ROUND(AZ82,3)-ROUND(AY83,3),3)*1000,""))),"")</f>
        <v/>
      </c>
      <c r="BB83" s="45" t="str">
        <f>IF(AND(NOT(ISNA(VLOOKUP(AW83,A6:E105,5,FALSE))),AX83="",AY83&lt;&gt;""),ROUND((VLOOKUP(AW83,A6:E105,5,FALSE)-BA83)/1000,3),IF(AND(NOT(ISNA(VLOOKUP(AW83,G6:K105,5,FALSE))),AX83="",AY83&lt;&gt;""),ROUND((VLOOKUP(AW83,G6:K105,5,FALSE)-BA83)/1000,3),IF(AND(NOT(ISNA(VLOOKUP(AW83,M6:Q105,5,FALSE))),AX83="",AY83&lt;&gt;""),ROUND((VLOOKUP(AW83,M6:Q105,5,FALSE)-BA83)/1000,3),IF(AND(NOT(ISNA(VLOOKUP(AW83,S6:W105,5,FALSE))),AX83="",AY83&lt;&gt;""),ROUND((VLOOKUP(AW83,S6:W105,5,FALSE)-BA83)/1000,3),IF(AND(NOT(ISNA(VLOOKUP(AW83,Y6:AC105,5,FALSE))),AX83="",AY83&lt;&gt;""),ROUND((VLOOKUP(AW83,Y6:AC105,5,FALSE)-BA83)/1000,3),IF(AND(NOT(ISNA(VLOOKUP(AW83,AE6:AI105,5,FALSE))),AX83="",AY83&lt;&gt;""),ROUND((VLOOKUP(AW83,AE6:AI105,5,FALSE)-BA83)/1000,3),IF(AND(NOT(ISNA(VLOOKUP(AW83,AK6:AO105,5,FALSE))),AX83="",AY83&lt;&gt;""),ROUND((VLOOKUP(AW83,AK6:AO105,5,FALSE)-BA83)/1000,3),IF(AND(NOT(ISNA(VLOOKUP(AW83,AQ6:AU105,5,FALSE))),AX83="",AY83&lt;&gt;""),ROUND((VLOOKUP(AW83,AQ6:AU105,5,FALSE)-BA83)/1000,3),IF(AND(NOT(ISNA(VLOOKUP(AW83,AW6:BA82,5,FALSE))),AX83="",AY83&lt;&gt;""),ROUND((VLOOKUP(AW83,AW6:BA82,5,FALSE)-BA83)/1000,3),"")))))))))</f>
        <v/>
      </c>
      <c r="BC83" s="19">
        <f>IF(BC82="","",BC82+1)</f>
        <v>977</v>
      </c>
      <c r="BD83" s="39"/>
      <c r="BE83" s="39"/>
      <c r="BF83" s="15" t="str">
        <f>IF(AND(BD83&lt;&gt;"",BE83&lt;&gt;""),ROUND(BD83,3)+ROUND(BF82,3)-ROUND(BE83,3),IF(AND(EXACT(UPPER(BC83),"TBM"),BD83&lt;&gt;""),ROUND(BD83,3),IF(BD83="",BF82,IF(ISNA(VLOOKUP(BC83,A6:E105,5,FALSE)),IF(ISNA(VLOOKUP(BC83,G6:K105,5,FALSE)),IF(ISNA(VLOOKUP(BC83,M6:Q105,5,FALSE)),IF(ISNA(VLOOKUP(BC83,S6:W105,5,FALSE)),IF(ISNA(VLOOKUP(BC83,Y6:AC105,5,FALSE)),IF(ISNA(VLOOKUP(BC83,AE6:AI105,5,FALSE)),IF(ISNA(VLOOKUP(BC83,AK6:AO105,5,FALSE)),IF(ISNA(VLOOKUP(BC83,AQ6:AU105,5,FALSE)),IF(ISNA(VLOOKUP(BC83,AW6:BA105,5,FALSE)),IF(ISNA(VLOOKUP(BC83,BC6:BG82,5,FALSE)),"",ROUND(VLOOKUP(BC83,BC6:BG82,5,FALSE),0)/1000+ROUND(BD83,3)),ROUND(VLOOKUP(BC83,AW6:BA105,5,FALSE),0)/1000+ROUND(BD83,3)),ROUND(VLOOKUP(BC83,AQ6:AU105,5,FALSE),0)/1000+ROUND(BD83,3)),ROUND(VLOOKUP(BC83,AK6:AO105,5,FALSE),0)/1000+ROUND(BD83,3)),ROUND(VLOOKUP(BC83,AE6:AI105,5,FALSE),0)/1000+ROUND(BD83,3)),ROUND(VLOOKUP(BC83,Y6:AC105,5,FALSE),0)/1000+ROUND(BD83,3)),ROUND(VLOOKUP(BC83,S6:W105,5,FALSE),0)/1000+ROUND(BD83,3)),ROUND(VLOOKUP(BC83,M6:Q105,5,FALSE),0)/1000+ROUND(BD83,3)),ROUND(VLOOKUP(BC83,G6:K105,5,FALSE),0)/1000+ROUND(BD83,3)),ROUND(VLOOKUP(BC83,A6:E105,5,FALSE),0)/1000+ROUND(BD83,3)))))</f>
        <v/>
      </c>
      <c r="BG83" s="18" t="str">
        <f>IF(OR(NOT(EXACT(UPPER(BC83),"TBM")),BD83=""),IF(AND(BD83&lt;&gt;"",BE83="",BF83&lt;&gt;""),"",IF(AND(BD83="",BE83&lt;&gt;"",BF83&lt;&gt;""),ROUND(ROUND(BF83,3)-ROUND(BE83,3),3)*1000,IF(AND(BD83&lt;&gt;"",BE83&lt;&gt;"",BF83&lt;&gt;""),ROUND(ROUND(BF82,3)-ROUND(BE83,3),3)*1000,""))),"")</f>
        <v/>
      </c>
      <c r="BH83" s="45" t="str">
        <f>IF(AND(NOT(ISNA(VLOOKUP(BC83,A6:E105,5,FALSE))),BD83="",BE83&lt;&gt;""),ROUND((VLOOKUP(BC83,A6:E105,5,FALSE)-BG83)/1000,3),IF(AND(NOT(ISNA(VLOOKUP(BC83,G6:K105,5,FALSE))),BD83="",BE83&lt;&gt;""),ROUND((VLOOKUP(BC83,G6:K105,5,FALSE)-BG83)/1000,3),IF(AND(NOT(ISNA(VLOOKUP(BC83,M6:Q105,5,FALSE))),BD83="",BE83&lt;&gt;""),ROUND((VLOOKUP(BC83,M6:Q105,5,FALSE)-BG83)/1000,3),IF(AND(NOT(ISNA(VLOOKUP(BC83,S6:W105,5,FALSE))),BD83="",BE83&lt;&gt;""),ROUND((VLOOKUP(BC83,S6:W105,5,FALSE)-BG83)/1000,3),IF(AND(NOT(ISNA(VLOOKUP(BC83,Y6:AC105,5,FALSE))),BD83="",BE83&lt;&gt;""),ROUND((VLOOKUP(BC83,Y6:AC105,5,FALSE)-BG83)/1000,3),IF(AND(NOT(ISNA(VLOOKUP(BC83,AE6:AI105,5,FALSE))),BD83="",BE83&lt;&gt;""),ROUND((VLOOKUP(BC83,AE6:AI105,5,FALSE)-BG83)/1000,3),IF(AND(NOT(ISNA(VLOOKUP(BC83,AK6:AO105,5,FALSE))),BD83="",BE83&lt;&gt;""),ROUND((VLOOKUP(BC83,AK6:AO105,5,FALSE)-BG83)/1000,3),IF(AND(NOT(ISNA(VLOOKUP(BC83,AQ6:AU105,5,FALSE))),BD83="",BE83&lt;&gt;""),ROUND((VLOOKUP(BC83,AQ6:AU105,5,FALSE)-BG83)/1000,3),IF(AND(NOT(ISNA(VLOOKUP(BC83,AW6:BA105,5,FALSE))),BD83="",BE83&lt;&gt;""),ROUND((VLOOKUP(BC83,AW6:BA105,5,FALSE)-BG83)/1000,3),IF(AND(NOT(ISNA(VLOOKUP(BC83,BC6:BG82,5,FALSE))),BD83="",BE83&lt;&gt;""),ROUND((VLOOKUP(BC83,BC6:BG82,5,FALSE)-BG83)/1000,3),""))))))))))</f>
        <v/>
      </c>
    </row>
    <row r="84" spans="1:60" x14ac:dyDescent="0.25">
      <c r="A84" s="19">
        <f t="shared" si="9"/>
        <v>78</v>
      </c>
      <c r="B84" s="39"/>
      <c r="C84" s="39"/>
      <c r="D84" s="15" t="str">
        <f>IF(AND(B84&lt;&gt;"",C84&lt;&gt;""),ROUND(B84,3)+ROUND(D83,3)-ROUND(C84,3),IF(AND(EXACT(UPPER(A84),"TBM"),B84&lt;&gt;""),ROUND(B84,3),IF(B84="",D83,IF(ISNA(VLOOKUP(A84,A6:E83,5,FALSE)),"",ROUND(VLOOKUP(A84,A6:E83,5,FALSE),0)/1000+ROUND(B84,3)))))</f>
        <v/>
      </c>
      <c r="E84" s="21" t="str">
        <f t="shared" si="6"/>
        <v/>
      </c>
      <c r="F84" s="45" t="str">
        <f>IF(AND(NOT(ISNA(VLOOKUP(A84,A6:E83,5,FALSE))),B84="",C84&lt;&gt;""),ROUND((VLOOKUP(A84,A6:E83,5,FALSE)-E84)/1000,3),"")</f>
        <v/>
      </c>
      <c r="G84" s="19">
        <f t="shared" si="7"/>
        <v>178</v>
      </c>
      <c r="H84" s="39"/>
      <c r="I84" s="39"/>
      <c r="J84" s="15" t="str">
        <f>IF(AND(H84&lt;&gt;"",I84&lt;&gt;""),ROUND(H84,3)+ROUND(J83,3)-ROUND(I84,3),IF(AND(EXACT(UPPER(G84),"TBM"),H84&lt;&gt;""),ROUND(H84,3),IF(H84="",J83,IF(ISNA(VLOOKUP(G84,A6:E105,5,FALSE)),IF(ISNA(VLOOKUP(G84,G6:K83,5,FALSE)),"",ROUND(VLOOKUP(G84,G6:K83,5,FALSE),0)/1000+ROUND(H84,3)),ROUND(VLOOKUP(G84,A6:E105,5,FALSE),0)/1000+ROUND(H84,3)))))</f>
        <v/>
      </c>
      <c r="K84" s="18" t="str">
        <f t="shared" si="8"/>
        <v/>
      </c>
      <c r="L84" s="45" t="str">
        <f>IF(AND(NOT(ISNA(VLOOKUP(G84,A6:E105,5,FALSE))),H84="",I84&lt;&gt;""),ROUND((VLOOKUP(G84,A6:E105,5,FALSE)-K84)/1000,3),IF(AND(NOT(ISNA(VLOOKUP(G84,G6:K83,5,FALSE))),H84="",I84&lt;&gt;""),ROUND((VLOOKUP(G84,G6:K83,5,FALSE)-K84)/1000,3),""))</f>
        <v/>
      </c>
      <c r="M84" s="19">
        <f>IF(M83="","",M83+1)</f>
        <v>278</v>
      </c>
      <c r="N84" s="39"/>
      <c r="O84" s="39"/>
      <c r="P84" s="15" t="str">
        <f>IF(AND(N84&lt;&gt;"",O84&lt;&gt;""),ROUND(N84,3)+ROUND(P83,3)-ROUND(O84,3),IF(AND(EXACT(UPPER(M84),"TBM"),N84&lt;&gt;""),ROUND(N84,3),IF(N84="",P83,IF(ISNA(VLOOKUP(M84,A6:E105,5,FALSE)),IF(ISNA(VLOOKUP(M84,G6:K105,5,FALSE)),IF(ISNA(VLOOKUP(M84,M6:Q83,5,FALSE)),"",ROUND(VLOOKUP(M84,M6:Q83,5,FALSE),0)/1000+ROUND(N84,3)),ROUND(VLOOKUP(M84,G6:K105,5,FALSE),0)/1000+ROUND(N84,3)),ROUND(VLOOKUP(M84,A6:E105,5,FALSE),0)/1000+ROUND(N84,3)))))</f>
        <v/>
      </c>
      <c r="Q84" s="18" t="str">
        <f>IF(OR(NOT(EXACT(UPPER(M84),"TBM")),N84=""),IF(AND(N84&lt;&gt;"",O84="",P84&lt;&gt;""),"",IF(AND(N84="",O84&lt;&gt;"",P84&lt;&gt;""),ROUND(ROUND(P84,3)-ROUND(O84,3),3)*1000,IF(AND(N84&lt;&gt;"",O84&lt;&gt;"",P84&lt;&gt;""),ROUND(ROUND(P83,3)-ROUND(O84,3),3)*1000,""))),"")</f>
        <v/>
      </c>
      <c r="R84" s="45" t="str">
        <f>IF(AND(NOT(ISNA(VLOOKUP(M84,A6:E105,5,FALSE))),N84="",O84&lt;&gt;""),ROUND((VLOOKUP(M84,A6:E105,5,FALSE)-Q84)/1000,3),IF(AND(NOT(ISNA(VLOOKUP(M84,G6:K105,5,FALSE))),N84="",O84&lt;&gt;""),ROUND((VLOOKUP(M84,G6:K105,5,FALSE)-Q84)/1000,3),IF(AND(NOT(ISNA(VLOOKUP(M84,M6:Q83,5,FALSE))),N84="",O84&lt;&gt;""),ROUND((VLOOKUP(M84,M6:Q83,5,FALSE)-Q84)/1000,3),"")))</f>
        <v/>
      </c>
      <c r="S84" s="19">
        <f>IF(S83="","",S83+1)</f>
        <v>378</v>
      </c>
      <c r="T84" s="39"/>
      <c r="U84" s="39"/>
      <c r="V84" s="15" t="str">
        <f>IF(AND(T84&lt;&gt;"",U84&lt;&gt;""),ROUND(T84,3)+ROUND(V83,3)-ROUND(U84,3),IF(AND(EXACT(UPPER(S84),"TBM"),T84&lt;&gt;""),ROUND(T84,3),IF(T84="",V83,IF(ISNA(VLOOKUP(S84,A6:E105,5,FALSE)),IF(ISNA(VLOOKUP(S84,G6:K105,5,FALSE)),IF(ISNA(VLOOKUP(S84,M6:Q105,5,FALSE)),IF(ISNA(VLOOKUP(S84,S6:W83,5,FALSE)),"",ROUND(VLOOKUP(S84,S6:W83,5,FALSE),0)/1000+ROUND(T84,3)),ROUND(VLOOKUP(S84,M6:Q105,5,FALSE),0)/1000+ROUND(T84,3)),ROUND(VLOOKUP(S84,G6:K105,5,FALSE),0)/1000+ROUND(T84,3)),ROUND(VLOOKUP(S84,A6:E105,5,FALSE),0)/1000+ROUND(T84,3)))))</f>
        <v/>
      </c>
      <c r="W84" s="18" t="str">
        <f>IF(OR(NOT(EXACT(UPPER(S84),"TBM")),T84=""),IF(AND(T84&lt;&gt;"",U84="",V84&lt;&gt;""),"",IF(AND(T84="",U84&lt;&gt;"",V84&lt;&gt;""),ROUND(ROUND(V84,3)-ROUND(U84,3),3)*1000,IF(AND(T84&lt;&gt;"",U84&lt;&gt;"",V84&lt;&gt;""),ROUND(ROUND(V83,3)-ROUND(U84,3),3)*1000,""))),"")</f>
        <v/>
      </c>
      <c r="X84" s="45" t="str">
        <f>IF(AND(NOT(ISNA(VLOOKUP(S84,A6:E105,5,FALSE))),T84="",U84&lt;&gt;""),ROUND((VLOOKUP(S84,A6:E105,5,FALSE)-W84)/1000,3),IF(AND(NOT(ISNA(VLOOKUP(S84,G6:K105,5,FALSE))),T84="",U84&lt;&gt;""),ROUND((VLOOKUP(S84,G6:K105,5,FALSE)-W84)/1000,3),IF(AND(NOT(ISNA(VLOOKUP(S84,M6:Q105,5,FALSE))),T84="",U84&lt;&gt;""),ROUND((VLOOKUP(S84,M6:Q105,5,FALSE)-W84)/1000,3),IF(AND(NOT(ISNA(VLOOKUP(S84,S6:W83,5,FALSE))),T84="",U84&lt;&gt;""),ROUND((VLOOKUP(S84,S6:W83,5,FALSE)-W84)/1000,3),""))))</f>
        <v/>
      </c>
      <c r="Y84" s="19">
        <f>IF(Y83="","",Y83+1)</f>
        <v>478</v>
      </c>
      <c r="Z84" s="39"/>
      <c r="AA84" s="39"/>
      <c r="AB84" s="15" t="str">
        <f>IF(AND(Z84&lt;&gt;"",AA84&lt;&gt;""),ROUND(Z84,3)+ROUND(AB83,3)-ROUND(AA84,3),IF(AND(EXACT(UPPER(Y84),"TBM"),Z84&lt;&gt;""),ROUND(Z84,3),IF(Z84="",AB83,IF(ISNA(VLOOKUP(Y84,A6:E105,5,FALSE)),IF(ISNA(VLOOKUP(Y84,G6:K105,5,FALSE)),IF(ISNA(VLOOKUP(Y84,M6:Q105,5,FALSE)),IF(ISNA(VLOOKUP(Y84,S6:W105,5,FALSE)),IF(ISNA(VLOOKUP(Y84,Y6:AC83,5,FALSE)),"",ROUND(VLOOKUP(Y84,Y6:AC83,5,FALSE),0)/1000+ROUND(Z84,3)),ROUND(VLOOKUP(Y84,S6:W105,5,FALSE),0)/1000+ROUND(Z84,3)),ROUND(VLOOKUP(Y84,M6:Q105,5,FALSE),0)/1000+ROUND(Z84,3)),ROUND(VLOOKUP(Y84,G6:K105,5,FALSE),0)/1000+ROUND(Z84,3)),ROUND(VLOOKUP(Y84,A6:E105,5,FALSE),0)/1000+ROUND(Z84,3)))))</f>
        <v/>
      </c>
      <c r="AC84" s="18" t="str">
        <f>IF(OR(NOT(EXACT(UPPER(Y84),"TBM")),Z84=""),IF(AND(Z84&lt;&gt;"",AA84="",AB84&lt;&gt;""),"",IF(AND(Z84="",AA84&lt;&gt;"",AB84&lt;&gt;""),ROUND(ROUND(AB84,3)-ROUND(AA84,3),3)*1000,IF(AND(Z84&lt;&gt;"",AA84&lt;&gt;"",AB84&lt;&gt;""),ROUND(ROUND(AB83,3)-ROUND(AA84,3),3)*1000,""))),"")</f>
        <v/>
      </c>
      <c r="AD84" s="45" t="str">
        <f>IF(AND(NOT(ISNA(VLOOKUP(Y84,A6:E105,5,FALSE))),Z84="",AA84&lt;&gt;""),ROUND((VLOOKUP(Y84,A6:E105,5,FALSE)-AC84)/1000,3),IF(AND(NOT(ISNA(VLOOKUP(Y84,G6:K105,5,FALSE))),Z84="",AA84&lt;&gt;""),ROUND((VLOOKUP(Y84,G6:K105,5,FALSE)-AC84)/1000,3),IF(AND(NOT(ISNA(VLOOKUP(Y84,M6:Q105,5,FALSE))),Z84="",AA84&lt;&gt;""),ROUND((VLOOKUP(Y84,M6:Q105,5,FALSE)-AC84)/1000,3),IF(AND(NOT(ISNA(VLOOKUP(Y84,S6:W105,5,FALSE))),Z84="",AA84&lt;&gt;""),ROUND((VLOOKUP(Y84,S6:W105,5,FALSE)-AC84)/1000,3),IF(AND(NOT(ISNA(VLOOKUP(Y84,Y6:AC83,5,FALSE))),Z84="",AA84&lt;&gt;""),ROUND((VLOOKUP(Y84,Y6:AC83,5,FALSE)-AC84)/1000,3),"")))))</f>
        <v/>
      </c>
      <c r="AE84" s="19">
        <f>IF(AE83="","",AE83+1)</f>
        <v>578</v>
      </c>
      <c r="AF84" s="39"/>
      <c r="AG84" s="39"/>
      <c r="AH84" s="15" t="str">
        <f>IF(AND(AF84&lt;&gt;"",AG84&lt;&gt;""),ROUND(AF84,3)+ROUND(AH83,3)-ROUND(AG84,3),IF(AND(EXACT(UPPER(AE84),"TBM"),AF84&lt;&gt;""),ROUND(AF84,3),IF(AF84="",AH83,IF(ISNA(VLOOKUP(AE84,A6:E105,5,FALSE)),IF(ISNA(VLOOKUP(AE84,G6:K105,5,FALSE)),IF(ISNA(VLOOKUP(AE84,M6:Q105,5,FALSE)),IF(ISNA(VLOOKUP(AE84,S6:W105,5,FALSE)),IF(ISNA(VLOOKUP(AE84,Y6:AC105,5,FALSE)),IF(ISNA(VLOOKUP(AE84,AE6:AI83,5,FALSE)),"",ROUND(VLOOKUP(AE84,AE6:AI83,5,FALSE),0)/1000+ROUND(AF84,3)),ROUND(VLOOKUP(AE84,Y6:AC105,5,FALSE),0)/1000+ROUND(AF84,3)),ROUND(VLOOKUP(AE84,S6:W105,5,FALSE),0)/1000+ROUND(AF84,3)),ROUND(VLOOKUP(AE84,M6:Q105,5,FALSE),0)/1000+ROUND(AF84,3)),ROUND(VLOOKUP(AE84,G6:K105,5,FALSE),0)/1000+ROUND(AF84,3)),ROUND(VLOOKUP(AE84,A6:E105,5,FALSE),0)/1000+ROUND(AF84,3)))))</f>
        <v/>
      </c>
      <c r="AI84" s="18" t="str">
        <f>IF(OR(NOT(EXACT(UPPER(AE84),"TBM")),AF84=""),IF(AND(AF84&lt;&gt;"",AG84="",AH84&lt;&gt;""),"",IF(AND(AF84="",AG84&lt;&gt;"",AH84&lt;&gt;""),ROUND(ROUND(AH84,3)-ROUND(AG84,3),3)*1000,IF(AND(AF84&lt;&gt;"",AG84&lt;&gt;"",AH84&lt;&gt;""),ROUND(ROUND(AH83,3)-ROUND(AG84,3),3)*1000,""))),"")</f>
        <v/>
      </c>
      <c r="AJ84" s="45" t="str">
        <f>IF(AND(NOT(ISNA(VLOOKUP(AE84,A6:E105,5,FALSE))),AF84="",AG84&lt;&gt;""),ROUND((VLOOKUP(AE84,A6:E105,5,FALSE)-AI84)/1000,3),IF(AND(NOT(ISNA(VLOOKUP(AE84,G6:K105,5,FALSE))),AF84="",AG84&lt;&gt;""),ROUND((VLOOKUP(AE84,G6:K105,5,FALSE)-AI84)/1000,3),IF(AND(NOT(ISNA(VLOOKUP(AE84,M6:Q105,5,FALSE))),AF84="",AG84&lt;&gt;""),ROUND((VLOOKUP(AE84,M6:Q105,5,FALSE)-AI84)/1000,3),IF(AND(NOT(ISNA(VLOOKUP(AE84,S6:W105,5,FALSE))),AF84="",AG84&lt;&gt;""),ROUND((VLOOKUP(AE84,S6:W105,5,FALSE)-AI84)/1000,3),IF(AND(NOT(ISNA(VLOOKUP(AE84,Y6:AC105,5,FALSE))),AF84="",AG84&lt;&gt;""),ROUND((VLOOKUP(AE84,Y6:AC105,5,FALSE)-AI84)/1000,3),IF(AND(NOT(ISNA(VLOOKUP(AE84,AE6:AI83,5,FALSE))),AF84="",AG84&lt;&gt;""),ROUND((VLOOKUP(AE84,AE6:AI83,5,FALSE)-AI84)/1000,3),""))))))</f>
        <v/>
      </c>
      <c r="AK84" s="19">
        <f>IF(AK83="","",AK83+1)</f>
        <v>678</v>
      </c>
      <c r="AL84" s="39"/>
      <c r="AM84" s="39"/>
      <c r="AN84" s="15" t="str">
        <f>IF(AND(AL84&lt;&gt;"",AM84&lt;&gt;""),ROUND(AL84,3)+ROUND(AN83,3)-ROUND(AM84,3),IF(AND(EXACT(UPPER(AK84),"TBM"),AL84&lt;&gt;""),ROUND(AL84,3),IF(AL84="",AN83,IF(ISNA(VLOOKUP(AK84,A6:E105,5,FALSE)),IF(ISNA(VLOOKUP(AK84,G6:K105,5,FALSE)),IF(ISNA(VLOOKUP(AK84,M6:Q105,5,FALSE)),IF(ISNA(VLOOKUP(AK84,S6:W105,5,FALSE)),IF(ISNA(VLOOKUP(AK84,Y6:AC105,5,FALSE)),IF(ISNA(VLOOKUP(AK84,AE6:AI105,5,FALSE)),IF(ISNA(VLOOKUP(AK84,AK6:AO83,5,FALSE)),"",ROUND(VLOOKUP(AK84,AK6:AO83,5,FALSE),0)/1000+ROUND(AL84,3)),ROUND(VLOOKUP(AK84,AE6:AI105,5,FALSE),0)/1000+ROUND(AL84,3)),ROUND(VLOOKUP(AK84,Y6:AC105,5,FALSE),0)/1000+ROUND(AL84,3)),ROUND(VLOOKUP(AK84,S6:W105,5,FALSE),0)/1000+ROUND(AL84,3)),ROUND(VLOOKUP(AK84,M6:Q105,5,FALSE),0)/1000+ROUND(AL84,3)),ROUND(VLOOKUP(AK84,G6:K105,5,FALSE),0)/1000+ROUND(AL84,3)),ROUND(VLOOKUP(AK84,A6:E105,5,FALSE),0)/1000+ROUND(AL84,3)))))</f>
        <v/>
      </c>
      <c r="AO84" s="18" t="str">
        <f>IF(OR(NOT(EXACT(UPPER(AK84),"TBM")),AL84=""),IF(AND(AL84&lt;&gt;"",AM84="",AN84&lt;&gt;""),"",IF(AND(AL84="",AM84&lt;&gt;"",AN84&lt;&gt;""),ROUND(ROUND(AN84,3)-ROUND(AM84,3),3)*1000,IF(AND(AL84&lt;&gt;"",AM84&lt;&gt;"",AN84&lt;&gt;""),ROUND(ROUND(AN83,3)-ROUND(AM84,3),3)*1000,""))),"")</f>
        <v/>
      </c>
      <c r="AP84" s="45" t="str">
        <f>IF(AND(NOT(ISNA(VLOOKUP(AK84,A6:E105,5,FALSE))),AL84="",AM84&lt;&gt;""),ROUND((VLOOKUP(AK84,A6:E105,5,FALSE)-AO84)/1000,3),IF(AND(NOT(ISNA(VLOOKUP(AK84,G6:K105,5,FALSE))),AL84="",AM84&lt;&gt;""),ROUND((VLOOKUP(AK84,G6:K105,5,FALSE)-AO84)/1000,3),IF(AND(NOT(ISNA(VLOOKUP(AK84,M6:Q105,5,FALSE))),AL84="",AM84&lt;&gt;""),ROUND((VLOOKUP(AK84,M6:Q105,5,FALSE)-AO84)/1000,3),IF(AND(NOT(ISNA(VLOOKUP(AK84,S6:W105,5,FALSE))),AL84="",AM84&lt;&gt;""),ROUND((VLOOKUP(AK84,S6:W105,5,FALSE)-AO84)/1000,3),IF(AND(NOT(ISNA(VLOOKUP(AK84,Y6:AC105,5,FALSE))),AL84="",AM84&lt;&gt;""),ROUND((VLOOKUP(AK84,Y6:AC105,5,FALSE)-AO84)/1000,3),IF(AND(NOT(ISNA(VLOOKUP(AK84,AE6:AI105,5,FALSE))),AL84="",AM84&lt;&gt;""),ROUND((VLOOKUP(AK84,AE6:AI105,5,FALSE)-AO84)/1000,3),IF(AND(NOT(ISNA(VLOOKUP(AK84,AK6:AO83,5,FALSE))),AL84="",AM84&lt;&gt;""),ROUND((VLOOKUP(AK84,AK6:AO83,5,FALSE)-AO84)/1000,3),"")))))))</f>
        <v/>
      </c>
      <c r="AQ84" s="19">
        <f>IF(AQ83="","",AQ83+1)</f>
        <v>778</v>
      </c>
      <c r="AR84" s="39"/>
      <c r="AS84" s="39"/>
      <c r="AT84" s="15" t="str">
        <f>IF(AND(AR84&lt;&gt;"",AS84&lt;&gt;""),ROUND(AR84,3)+ROUND(AT83,3)-ROUND(AS84,3),IF(AND(EXACT(UPPER(AQ84),"TBM"),AR84&lt;&gt;""),ROUND(AR84,3),IF(AR84="",AT83,IF(ISNA(VLOOKUP(AQ84,A6:E105,5,FALSE)),IF(ISNA(VLOOKUP(AQ84,G6:K105,5,FALSE)),IF(ISNA(VLOOKUP(AQ84,M6:Q105,5,FALSE)),IF(ISNA(VLOOKUP(AQ84,S6:W105,5,FALSE)),IF(ISNA(VLOOKUP(AQ84,Y6:AC105,5,FALSE)),IF(ISNA(VLOOKUP(AQ84,AE6:AI105,5,FALSE)),IF(ISNA(VLOOKUP(AQ84,AK6:AO105,5,FALSE)),IF(ISNA(VLOOKUP(AQ84,AQ6:AU83,5,FALSE)),"",ROUND(VLOOKUP(AQ84,AQ6:AU83,5,FALSE),0)/1000+ROUND(AR84,3)),ROUND(VLOOKUP(AQ84,AK6:AO105,5,FALSE),0)/1000+ROUND(AR84,3)),ROUND(VLOOKUP(AQ84,AE6:AI105,5,FALSE),0)/1000+ROUND(AR84,3)),ROUND(VLOOKUP(AQ84,Y6:AC105,5,FALSE),0)/1000+ROUND(AR84,3)),ROUND(VLOOKUP(AQ84,S6:W105,5,FALSE),0)/1000+ROUND(AR84,3)),ROUND(VLOOKUP(AQ84,M6:Q105,5,FALSE),0)/1000+ROUND(AR84,3)),ROUND(VLOOKUP(AQ84,G6:K105,5,FALSE),0)/1000+ROUND(AR84,3)),ROUND(VLOOKUP(AQ84,A6:E105,5,FALSE),0)/1000+ROUND(AR84,3)))))</f>
        <v/>
      </c>
      <c r="AU84" s="18" t="str">
        <f>IF(OR(NOT(EXACT(UPPER(AQ84),"TBM")),AR84=""),IF(AND(AR84&lt;&gt;"",AS84="",AT84&lt;&gt;""),"",IF(AND(AR84="",AS84&lt;&gt;"",AT84&lt;&gt;""),ROUND(ROUND(AT84,3)-ROUND(AS84,3),3)*1000,IF(AND(AR84&lt;&gt;"",AS84&lt;&gt;"",AT84&lt;&gt;""),ROUND(ROUND(AT83,3)-ROUND(AS84,3),3)*1000,""))),"")</f>
        <v/>
      </c>
      <c r="AV84" s="45" t="str">
        <f>IF(AND(NOT(ISNA(VLOOKUP(AQ84,A6:E105,5,FALSE))),AR84="",AS84&lt;&gt;""),ROUND((VLOOKUP(AQ84,A6:E105,5,FALSE)-AU84)/1000,3),IF(AND(NOT(ISNA(VLOOKUP(AQ84,G6:K105,5,FALSE))),AR84="",AS84&lt;&gt;""),ROUND((VLOOKUP(AQ84,G6:K105,5,FALSE)-AU84)/1000,3),IF(AND(NOT(ISNA(VLOOKUP(AQ84,M6:Q105,5,FALSE))),AR84="",AS84&lt;&gt;""),ROUND((VLOOKUP(AQ84,M6:Q105,5,FALSE)-AU84)/1000,3),IF(AND(NOT(ISNA(VLOOKUP(AQ84,S6:W105,5,FALSE))),AR84="",AS84&lt;&gt;""),ROUND((VLOOKUP(AQ84,S6:W105,5,FALSE)-AU84)/1000,3),IF(AND(NOT(ISNA(VLOOKUP(AQ84,Y6:AC105,5,FALSE))),AR84="",AS84&lt;&gt;""),ROUND((VLOOKUP(AQ84,Y6:AC105,5,FALSE)-AU84)/1000,3),IF(AND(NOT(ISNA(VLOOKUP(AQ84,AE6:AI105,5,FALSE))),AR84="",AS84&lt;&gt;""),ROUND((VLOOKUP(AQ84,AE6:AI105,5,FALSE)-AU84)/1000,3),IF(AND(NOT(ISNA(VLOOKUP(AQ84,AK6:AO105,5,FALSE))),AR84="",AS84&lt;&gt;""),ROUND((VLOOKUP(AQ84,AK6:AO105,5,FALSE)-AU84)/1000,3),IF(AND(NOT(ISNA(VLOOKUP(AQ84,AQ6:AU83,5,FALSE))),AR84="",AS84&lt;&gt;""),ROUND((VLOOKUP(AQ84,AQ6:AU83,5,FALSE)-AU84)/1000,3),""))))))))</f>
        <v/>
      </c>
      <c r="AW84" s="19">
        <f>IF(AW83="","",AW83+1)</f>
        <v>878</v>
      </c>
      <c r="AX84" s="39"/>
      <c r="AY84" s="39"/>
      <c r="AZ84" s="15" t="str">
        <f>IF(AND(AX84&lt;&gt;"",AY84&lt;&gt;""),ROUND(AX84,3)+ROUND(AZ83,3)-ROUND(AY84,3),IF(AND(EXACT(UPPER(AW84),"TBM"),AX84&lt;&gt;""),ROUND(AX84,3),IF(AX84="",AZ83,IF(ISNA(VLOOKUP(AW84,A6:E105,5,FALSE)),IF(ISNA(VLOOKUP(AW84,G6:K105,5,FALSE)),IF(ISNA(VLOOKUP(AW84,M6:Q105,5,FALSE)),IF(ISNA(VLOOKUP(AW84,S6:W105,5,FALSE)),IF(ISNA(VLOOKUP(AW84,Y6:AC105,5,FALSE)),IF(ISNA(VLOOKUP(AW84,AE6:AI105,5,FALSE)),IF(ISNA(VLOOKUP(AW84,AK6:AO105,5,FALSE)),IF(ISNA(VLOOKUP(AW84,AQ6:AU105,5,FALSE)),IF(ISNA(VLOOKUP(AW84,AW6:BA83,5,FALSE)),"",ROUND(VLOOKUP(AW84,AW6:BA83,5,FALSE),0)/1000+ROUND(AX84,3)),ROUND(VLOOKUP(AW84,AQ6:AU105,5,FALSE),0)/1000+ROUND(AX84,3)),ROUND(VLOOKUP(AW84,AK6:AO105,5,FALSE),0)/1000+ROUND(AX84,3)),ROUND(VLOOKUP(AW84,AE6:AI105,5,FALSE),0)/1000+ROUND(AX84,3)),ROUND(VLOOKUP(AW84,Y6:AC105,5,FALSE),0)/1000+ROUND(AX84,3)),ROUND(VLOOKUP(AW84,S6:W105,5,FALSE),0)/1000+ROUND(AX84,3)),ROUND(VLOOKUP(AW84,M6:Q105,5,FALSE),0)/1000+ROUND(AX84,3)),ROUND(VLOOKUP(AW84,G6:K105,5,FALSE),0)/1000+ROUND(AX84,3)),ROUND(VLOOKUP(AW84,A6:E105,5,FALSE),0)/1000+ROUND(AX84,3)))))</f>
        <v/>
      </c>
      <c r="BA84" s="18" t="str">
        <f>IF(OR(NOT(EXACT(UPPER(AW84),"TBM")),AX84=""),IF(AND(AX84&lt;&gt;"",AY84="",AZ84&lt;&gt;""),"",IF(AND(AX84="",AY84&lt;&gt;"",AZ84&lt;&gt;""),ROUND(ROUND(AZ84,3)-ROUND(AY84,3),3)*1000,IF(AND(AX84&lt;&gt;"",AY84&lt;&gt;"",AZ84&lt;&gt;""),ROUND(ROUND(AZ83,3)-ROUND(AY84,3),3)*1000,""))),"")</f>
        <v/>
      </c>
      <c r="BB84" s="45" t="str">
        <f>IF(AND(NOT(ISNA(VLOOKUP(AW84,A6:E105,5,FALSE))),AX84="",AY84&lt;&gt;""),ROUND((VLOOKUP(AW84,A6:E105,5,FALSE)-BA84)/1000,3),IF(AND(NOT(ISNA(VLOOKUP(AW84,G6:K105,5,FALSE))),AX84="",AY84&lt;&gt;""),ROUND((VLOOKUP(AW84,G6:K105,5,FALSE)-BA84)/1000,3),IF(AND(NOT(ISNA(VLOOKUP(AW84,M6:Q105,5,FALSE))),AX84="",AY84&lt;&gt;""),ROUND((VLOOKUP(AW84,M6:Q105,5,FALSE)-BA84)/1000,3),IF(AND(NOT(ISNA(VLOOKUP(AW84,S6:W105,5,FALSE))),AX84="",AY84&lt;&gt;""),ROUND((VLOOKUP(AW84,S6:W105,5,FALSE)-BA84)/1000,3),IF(AND(NOT(ISNA(VLOOKUP(AW84,Y6:AC105,5,FALSE))),AX84="",AY84&lt;&gt;""),ROUND((VLOOKUP(AW84,Y6:AC105,5,FALSE)-BA84)/1000,3),IF(AND(NOT(ISNA(VLOOKUP(AW84,AE6:AI105,5,FALSE))),AX84="",AY84&lt;&gt;""),ROUND((VLOOKUP(AW84,AE6:AI105,5,FALSE)-BA84)/1000,3),IF(AND(NOT(ISNA(VLOOKUP(AW84,AK6:AO105,5,FALSE))),AX84="",AY84&lt;&gt;""),ROUND((VLOOKUP(AW84,AK6:AO105,5,FALSE)-BA84)/1000,3),IF(AND(NOT(ISNA(VLOOKUP(AW84,AQ6:AU105,5,FALSE))),AX84="",AY84&lt;&gt;""),ROUND((VLOOKUP(AW84,AQ6:AU105,5,FALSE)-BA84)/1000,3),IF(AND(NOT(ISNA(VLOOKUP(AW84,AW6:BA83,5,FALSE))),AX84="",AY84&lt;&gt;""),ROUND((VLOOKUP(AW84,AW6:BA83,5,FALSE)-BA84)/1000,3),"")))))))))</f>
        <v/>
      </c>
      <c r="BC84" s="19">
        <f>IF(BC83="","",BC83+1)</f>
        <v>978</v>
      </c>
      <c r="BD84" s="39"/>
      <c r="BE84" s="39"/>
      <c r="BF84" s="15" t="str">
        <f>IF(AND(BD84&lt;&gt;"",BE84&lt;&gt;""),ROUND(BD84,3)+ROUND(BF83,3)-ROUND(BE84,3),IF(AND(EXACT(UPPER(BC84),"TBM"),BD84&lt;&gt;""),ROUND(BD84,3),IF(BD84="",BF83,IF(ISNA(VLOOKUP(BC84,A6:E105,5,FALSE)),IF(ISNA(VLOOKUP(BC84,G6:K105,5,FALSE)),IF(ISNA(VLOOKUP(BC84,M6:Q105,5,FALSE)),IF(ISNA(VLOOKUP(BC84,S6:W105,5,FALSE)),IF(ISNA(VLOOKUP(BC84,Y6:AC105,5,FALSE)),IF(ISNA(VLOOKUP(BC84,AE6:AI105,5,FALSE)),IF(ISNA(VLOOKUP(BC84,AK6:AO105,5,FALSE)),IF(ISNA(VLOOKUP(BC84,AQ6:AU105,5,FALSE)),IF(ISNA(VLOOKUP(BC84,AW6:BA105,5,FALSE)),IF(ISNA(VLOOKUP(BC84,BC6:BG83,5,FALSE)),"",ROUND(VLOOKUP(BC84,BC6:BG83,5,FALSE),0)/1000+ROUND(BD84,3)),ROUND(VLOOKUP(BC84,AW6:BA105,5,FALSE),0)/1000+ROUND(BD84,3)),ROUND(VLOOKUP(BC84,AQ6:AU105,5,FALSE),0)/1000+ROUND(BD84,3)),ROUND(VLOOKUP(BC84,AK6:AO105,5,FALSE),0)/1000+ROUND(BD84,3)),ROUND(VLOOKUP(BC84,AE6:AI105,5,FALSE),0)/1000+ROUND(BD84,3)),ROUND(VLOOKUP(BC84,Y6:AC105,5,FALSE),0)/1000+ROUND(BD84,3)),ROUND(VLOOKUP(BC84,S6:W105,5,FALSE),0)/1000+ROUND(BD84,3)),ROUND(VLOOKUP(BC84,M6:Q105,5,FALSE),0)/1000+ROUND(BD84,3)),ROUND(VLOOKUP(BC84,G6:K105,5,FALSE),0)/1000+ROUND(BD84,3)),ROUND(VLOOKUP(BC84,A6:E105,5,FALSE),0)/1000+ROUND(BD84,3)))))</f>
        <v/>
      </c>
      <c r="BG84" s="18" t="str">
        <f>IF(OR(NOT(EXACT(UPPER(BC84),"TBM")),BD84=""),IF(AND(BD84&lt;&gt;"",BE84="",BF84&lt;&gt;""),"",IF(AND(BD84="",BE84&lt;&gt;"",BF84&lt;&gt;""),ROUND(ROUND(BF84,3)-ROUND(BE84,3),3)*1000,IF(AND(BD84&lt;&gt;"",BE84&lt;&gt;"",BF84&lt;&gt;""),ROUND(ROUND(BF83,3)-ROUND(BE84,3),3)*1000,""))),"")</f>
        <v/>
      </c>
      <c r="BH84" s="45" t="str">
        <f>IF(AND(NOT(ISNA(VLOOKUP(BC84,A6:E105,5,FALSE))),BD84="",BE84&lt;&gt;""),ROUND((VLOOKUP(BC84,A6:E105,5,FALSE)-BG84)/1000,3),IF(AND(NOT(ISNA(VLOOKUP(BC84,G6:K105,5,FALSE))),BD84="",BE84&lt;&gt;""),ROUND((VLOOKUP(BC84,G6:K105,5,FALSE)-BG84)/1000,3),IF(AND(NOT(ISNA(VLOOKUP(BC84,M6:Q105,5,FALSE))),BD84="",BE84&lt;&gt;""),ROUND((VLOOKUP(BC84,M6:Q105,5,FALSE)-BG84)/1000,3),IF(AND(NOT(ISNA(VLOOKUP(BC84,S6:W105,5,FALSE))),BD84="",BE84&lt;&gt;""),ROUND((VLOOKUP(BC84,S6:W105,5,FALSE)-BG84)/1000,3),IF(AND(NOT(ISNA(VLOOKUP(BC84,Y6:AC105,5,FALSE))),BD84="",BE84&lt;&gt;""),ROUND((VLOOKUP(BC84,Y6:AC105,5,FALSE)-BG84)/1000,3),IF(AND(NOT(ISNA(VLOOKUP(BC84,AE6:AI105,5,FALSE))),BD84="",BE84&lt;&gt;""),ROUND((VLOOKUP(BC84,AE6:AI105,5,FALSE)-BG84)/1000,3),IF(AND(NOT(ISNA(VLOOKUP(BC84,AK6:AO105,5,FALSE))),BD84="",BE84&lt;&gt;""),ROUND((VLOOKUP(BC84,AK6:AO105,5,FALSE)-BG84)/1000,3),IF(AND(NOT(ISNA(VLOOKUP(BC84,AQ6:AU105,5,FALSE))),BD84="",BE84&lt;&gt;""),ROUND((VLOOKUP(BC84,AQ6:AU105,5,FALSE)-BG84)/1000,3),IF(AND(NOT(ISNA(VLOOKUP(BC84,AW6:BA105,5,FALSE))),BD84="",BE84&lt;&gt;""),ROUND((VLOOKUP(BC84,AW6:BA105,5,FALSE)-BG84)/1000,3),IF(AND(NOT(ISNA(VLOOKUP(BC84,BC6:BG83,5,FALSE))),BD84="",BE84&lt;&gt;""),ROUND((VLOOKUP(BC84,BC6:BG83,5,FALSE)-BG84)/1000,3),""))))))))))</f>
        <v/>
      </c>
    </row>
    <row r="85" spans="1:60" x14ac:dyDescent="0.25">
      <c r="A85" s="81">
        <f t="shared" si="9"/>
        <v>79</v>
      </c>
      <c r="B85" s="82"/>
      <c r="C85" s="82"/>
      <c r="D85" s="83" t="str">
        <f>IF(AND(B85&lt;&gt;"",C85&lt;&gt;""),ROUND(B85,3)+ROUND(D84,3)-ROUND(C85,3),IF(AND(EXACT(UPPER(A85),"TBM"),B85&lt;&gt;""),ROUND(B85,3),IF(B85="",D84,IF(ISNA(VLOOKUP(A85,A6:E84,5,FALSE)),"",ROUND(VLOOKUP(A85,A6:E84,5,FALSE),0)/1000+ROUND(B85,3)))))</f>
        <v/>
      </c>
      <c r="E85" s="88" t="str">
        <f t="shared" si="6"/>
        <v/>
      </c>
      <c r="F85" s="85" t="str">
        <f>IF(AND(NOT(ISNA(VLOOKUP(A85,A6:E84,5,FALSE))),B85="",C85&lt;&gt;""),ROUND((VLOOKUP(A85,A6:E84,5,FALSE)-E85)/1000,3),"")</f>
        <v/>
      </c>
      <c r="G85" s="81">
        <f t="shared" si="7"/>
        <v>179</v>
      </c>
      <c r="H85" s="82"/>
      <c r="I85" s="82"/>
      <c r="J85" s="83" t="str">
        <f>IF(AND(H85&lt;&gt;"",I85&lt;&gt;""),ROUND(H85,3)+ROUND(J84,3)-ROUND(I85,3),IF(AND(EXACT(UPPER(G85),"TBM"),H85&lt;&gt;""),ROUND(H85,3),IF(H85="",J84,IF(ISNA(VLOOKUP(G85,A6:E105,5,FALSE)),IF(ISNA(VLOOKUP(G85,G6:K84,5,FALSE)),"",ROUND(VLOOKUP(G85,G6:K84,5,FALSE),0)/1000+ROUND(H85,3)),ROUND(VLOOKUP(G85,A6:E105,5,FALSE),0)/1000+ROUND(H85,3)))))</f>
        <v/>
      </c>
      <c r="K85" s="95" t="str">
        <f t="shared" si="8"/>
        <v/>
      </c>
      <c r="L85" s="85" t="str">
        <f>IF(AND(NOT(ISNA(VLOOKUP(G85,A6:E105,5,FALSE))),H85="",I85&lt;&gt;""),ROUND((VLOOKUP(G85,A6:E105,5,FALSE)-K85)/1000,3),IF(AND(NOT(ISNA(VLOOKUP(G85,G6:K84,5,FALSE))),H85="",I85&lt;&gt;""),ROUND((VLOOKUP(G85,G6:K84,5,FALSE)-K85)/1000,3),""))</f>
        <v/>
      </c>
      <c r="M85" s="81">
        <f>IF(M84="","",M84+1)</f>
        <v>279</v>
      </c>
      <c r="N85" s="82"/>
      <c r="O85" s="82"/>
      <c r="P85" s="83" t="str">
        <f>IF(AND(N85&lt;&gt;"",O85&lt;&gt;""),ROUND(N85,3)+ROUND(P84,3)-ROUND(O85,3),IF(AND(EXACT(UPPER(M85),"TBM"),N85&lt;&gt;""),ROUND(N85,3),IF(N85="",P84,IF(ISNA(VLOOKUP(M85,A6:E105,5,FALSE)),IF(ISNA(VLOOKUP(M85,G6:K105,5,FALSE)),IF(ISNA(VLOOKUP(M85,M6:Q84,5,FALSE)),"",ROUND(VLOOKUP(M85,M6:Q84,5,FALSE),0)/1000+ROUND(N85,3)),ROUND(VLOOKUP(M85,G6:K105,5,FALSE),0)/1000+ROUND(N85,3)),ROUND(VLOOKUP(M85,A6:E105,5,FALSE),0)/1000+ROUND(N85,3)))))</f>
        <v/>
      </c>
      <c r="Q85" s="95" t="str">
        <f>IF(OR(NOT(EXACT(UPPER(M85),"TBM")),N85=""),IF(AND(N85&lt;&gt;"",O85="",P85&lt;&gt;""),"",IF(AND(N85="",O85&lt;&gt;"",P85&lt;&gt;""),ROUND(ROUND(P85,3)-ROUND(O85,3),3)*1000,IF(AND(N85&lt;&gt;"",O85&lt;&gt;"",P85&lt;&gt;""),ROUND(ROUND(P84,3)-ROUND(O85,3),3)*1000,""))),"")</f>
        <v/>
      </c>
      <c r="R85" s="85" t="str">
        <f>IF(AND(NOT(ISNA(VLOOKUP(M85,A6:E105,5,FALSE))),N85="",O85&lt;&gt;""),ROUND((VLOOKUP(M85,A6:E105,5,FALSE)-Q85)/1000,3),IF(AND(NOT(ISNA(VLOOKUP(M85,G6:K105,5,FALSE))),N85="",O85&lt;&gt;""),ROUND((VLOOKUP(M85,G6:K105,5,FALSE)-Q85)/1000,3),IF(AND(NOT(ISNA(VLOOKUP(M85,M6:Q84,5,FALSE))),N85="",O85&lt;&gt;""),ROUND((VLOOKUP(M85,M6:Q84,5,FALSE)-Q85)/1000,3),"")))</f>
        <v/>
      </c>
      <c r="S85" s="81">
        <f>IF(S84="","",S84+1)</f>
        <v>379</v>
      </c>
      <c r="T85" s="82"/>
      <c r="U85" s="82"/>
      <c r="V85" s="83" t="str">
        <f>IF(AND(T85&lt;&gt;"",U85&lt;&gt;""),ROUND(T85,3)+ROUND(V84,3)-ROUND(U85,3),IF(AND(EXACT(UPPER(S85),"TBM"),T85&lt;&gt;""),ROUND(T85,3),IF(T85="",V84,IF(ISNA(VLOOKUP(S85,A6:E105,5,FALSE)),IF(ISNA(VLOOKUP(S85,G6:K105,5,FALSE)),IF(ISNA(VLOOKUP(S85,M6:Q105,5,FALSE)),IF(ISNA(VLOOKUP(S85,S6:W84,5,FALSE)),"",ROUND(VLOOKUP(S85,S6:W84,5,FALSE),0)/1000+ROUND(T85,3)),ROUND(VLOOKUP(S85,M6:Q105,5,FALSE),0)/1000+ROUND(T85,3)),ROUND(VLOOKUP(S85,G6:K105,5,FALSE),0)/1000+ROUND(T85,3)),ROUND(VLOOKUP(S85,A6:E105,5,FALSE),0)/1000+ROUND(T85,3)))))</f>
        <v/>
      </c>
      <c r="W85" s="95" t="str">
        <f>IF(OR(NOT(EXACT(UPPER(S85),"TBM")),T85=""),IF(AND(T85&lt;&gt;"",U85="",V85&lt;&gt;""),"",IF(AND(T85="",U85&lt;&gt;"",V85&lt;&gt;""),ROUND(ROUND(V85,3)-ROUND(U85,3),3)*1000,IF(AND(T85&lt;&gt;"",U85&lt;&gt;"",V85&lt;&gt;""),ROUND(ROUND(V84,3)-ROUND(U85,3),3)*1000,""))),"")</f>
        <v/>
      </c>
      <c r="X85" s="85" t="str">
        <f>IF(AND(NOT(ISNA(VLOOKUP(S85,A6:E105,5,FALSE))),T85="",U85&lt;&gt;""),ROUND((VLOOKUP(S85,A6:E105,5,FALSE)-W85)/1000,3),IF(AND(NOT(ISNA(VLOOKUP(S85,G6:K105,5,FALSE))),T85="",U85&lt;&gt;""),ROUND((VLOOKUP(S85,G6:K105,5,FALSE)-W85)/1000,3),IF(AND(NOT(ISNA(VLOOKUP(S85,M6:Q105,5,FALSE))),T85="",U85&lt;&gt;""),ROUND((VLOOKUP(S85,M6:Q105,5,FALSE)-W85)/1000,3),IF(AND(NOT(ISNA(VLOOKUP(S85,S6:W84,5,FALSE))),T85="",U85&lt;&gt;""),ROUND((VLOOKUP(S85,S6:W84,5,FALSE)-W85)/1000,3),""))))</f>
        <v/>
      </c>
      <c r="Y85" s="81">
        <f>IF(Y84="","",Y84+1)</f>
        <v>479</v>
      </c>
      <c r="Z85" s="82"/>
      <c r="AA85" s="82"/>
      <c r="AB85" s="83" t="str">
        <f>IF(AND(Z85&lt;&gt;"",AA85&lt;&gt;""),ROUND(Z85,3)+ROUND(AB84,3)-ROUND(AA85,3),IF(AND(EXACT(UPPER(Y85),"TBM"),Z85&lt;&gt;""),ROUND(Z85,3),IF(Z85="",AB84,IF(ISNA(VLOOKUP(Y85,A6:E105,5,FALSE)),IF(ISNA(VLOOKUP(Y85,G6:K105,5,FALSE)),IF(ISNA(VLOOKUP(Y85,M6:Q105,5,FALSE)),IF(ISNA(VLOOKUP(Y85,S6:W105,5,FALSE)),IF(ISNA(VLOOKUP(Y85,Y6:AC84,5,FALSE)),"",ROUND(VLOOKUP(Y85,Y6:AC84,5,FALSE),0)/1000+ROUND(Z85,3)),ROUND(VLOOKUP(Y85,S6:W105,5,FALSE),0)/1000+ROUND(Z85,3)),ROUND(VLOOKUP(Y85,M6:Q105,5,FALSE),0)/1000+ROUND(Z85,3)),ROUND(VLOOKUP(Y85,G6:K105,5,FALSE),0)/1000+ROUND(Z85,3)),ROUND(VLOOKUP(Y85,A6:E105,5,FALSE),0)/1000+ROUND(Z85,3)))))</f>
        <v/>
      </c>
      <c r="AC85" s="95" t="str">
        <f>IF(OR(NOT(EXACT(UPPER(Y85),"TBM")),Z85=""),IF(AND(Z85&lt;&gt;"",AA85="",AB85&lt;&gt;""),"",IF(AND(Z85="",AA85&lt;&gt;"",AB85&lt;&gt;""),ROUND(ROUND(AB85,3)-ROUND(AA85,3),3)*1000,IF(AND(Z85&lt;&gt;"",AA85&lt;&gt;"",AB85&lt;&gt;""),ROUND(ROUND(AB84,3)-ROUND(AA85,3),3)*1000,""))),"")</f>
        <v/>
      </c>
      <c r="AD85" s="85" t="str">
        <f>IF(AND(NOT(ISNA(VLOOKUP(Y85,A6:E105,5,FALSE))),Z85="",AA85&lt;&gt;""),ROUND((VLOOKUP(Y85,A6:E105,5,FALSE)-AC85)/1000,3),IF(AND(NOT(ISNA(VLOOKUP(Y85,G6:K105,5,FALSE))),Z85="",AA85&lt;&gt;""),ROUND((VLOOKUP(Y85,G6:K105,5,FALSE)-AC85)/1000,3),IF(AND(NOT(ISNA(VLOOKUP(Y85,M6:Q105,5,FALSE))),Z85="",AA85&lt;&gt;""),ROUND((VLOOKUP(Y85,M6:Q105,5,FALSE)-AC85)/1000,3),IF(AND(NOT(ISNA(VLOOKUP(Y85,S6:W105,5,FALSE))),Z85="",AA85&lt;&gt;""),ROUND((VLOOKUP(Y85,S6:W105,5,FALSE)-AC85)/1000,3),IF(AND(NOT(ISNA(VLOOKUP(Y85,Y6:AC84,5,FALSE))),Z85="",AA85&lt;&gt;""),ROUND((VLOOKUP(Y85,Y6:AC84,5,FALSE)-AC85)/1000,3),"")))))</f>
        <v/>
      </c>
      <c r="AE85" s="81">
        <f>IF(AE84="","",AE84+1)</f>
        <v>579</v>
      </c>
      <c r="AF85" s="82"/>
      <c r="AG85" s="82"/>
      <c r="AH85" s="83" t="str">
        <f>IF(AND(AF85&lt;&gt;"",AG85&lt;&gt;""),ROUND(AF85,3)+ROUND(AH84,3)-ROUND(AG85,3),IF(AND(EXACT(UPPER(AE85),"TBM"),AF85&lt;&gt;""),ROUND(AF85,3),IF(AF85="",AH84,IF(ISNA(VLOOKUP(AE85,A6:E105,5,FALSE)),IF(ISNA(VLOOKUP(AE85,G6:K105,5,FALSE)),IF(ISNA(VLOOKUP(AE85,M6:Q105,5,FALSE)),IF(ISNA(VLOOKUP(AE85,S6:W105,5,FALSE)),IF(ISNA(VLOOKUP(AE85,Y6:AC105,5,FALSE)),IF(ISNA(VLOOKUP(AE85,AE6:AI84,5,FALSE)),"",ROUND(VLOOKUP(AE85,AE6:AI84,5,FALSE),0)/1000+ROUND(AF85,3)),ROUND(VLOOKUP(AE85,Y6:AC105,5,FALSE),0)/1000+ROUND(AF85,3)),ROUND(VLOOKUP(AE85,S6:W105,5,FALSE),0)/1000+ROUND(AF85,3)),ROUND(VLOOKUP(AE85,M6:Q105,5,FALSE),0)/1000+ROUND(AF85,3)),ROUND(VLOOKUP(AE85,G6:K105,5,FALSE),0)/1000+ROUND(AF85,3)),ROUND(VLOOKUP(AE85,A6:E105,5,FALSE),0)/1000+ROUND(AF85,3)))))</f>
        <v/>
      </c>
      <c r="AI85" s="95" t="str">
        <f>IF(OR(NOT(EXACT(UPPER(AE85),"TBM")),AF85=""),IF(AND(AF85&lt;&gt;"",AG85="",AH85&lt;&gt;""),"",IF(AND(AF85="",AG85&lt;&gt;"",AH85&lt;&gt;""),ROUND(ROUND(AH85,3)-ROUND(AG85,3),3)*1000,IF(AND(AF85&lt;&gt;"",AG85&lt;&gt;"",AH85&lt;&gt;""),ROUND(ROUND(AH84,3)-ROUND(AG85,3),3)*1000,""))),"")</f>
        <v/>
      </c>
      <c r="AJ85" s="85" t="str">
        <f>IF(AND(NOT(ISNA(VLOOKUP(AE85,A6:E105,5,FALSE))),AF85="",AG85&lt;&gt;""),ROUND((VLOOKUP(AE85,A6:E105,5,FALSE)-AI85)/1000,3),IF(AND(NOT(ISNA(VLOOKUP(AE85,G6:K105,5,FALSE))),AF85="",AG85&lt;&gt;""),ROUND((VLOOKUP(AE85,G6:K105,5,FALSE)-AI85)/1000,3),IF(AND(NOT(ISNA(VLOOKUP(AE85,M6:Q105,5,FALSE))),AF85="",AG85&lt;&gt;""),ROUND((VLOOKUP(AE85,M6:Q105,5,FALSE)-AI85)/1000,3),IF(AND(NOT(ISNA(VLOOKUP(AE85,S6:W105,5,FALSE))),AF85="",AG85&lt;&gt;""),ROUND((VLOOKUP(AE85,S6:W105,5,FALSE)-AI85)/1000,3),IF(AND(NOT(ISNA(VLOOKUP(AE85,Y6:AC105,5,FALSE))),AF85="",AG85&lt;&gt;""),ROUND((VLOOKUP(AE85,Y6:AC105,5,FALSE)-AI85)/1000,3),IF(AND(NOT(ISNA(VLOOKUP(AE85,AE6:AI84,5,FALSE))),AF85="",AG85&lt;&gt;""),ROUND((VLOOKUP(AE85,AE6:AI84,5,FALSE)-AI85)/1000,3),""))))))</f>
        <v/>
      </c>
      <c r="AK85" s="81">
        <f>IF(AK84="","",AK84+1)</f>
        <v>679</v>
      </c>
      <c r="AL85" s="82"/>
      <c r="AM85" s="82"/>
      <c r="AN85" s="83" t="str">
        <f>IF(AND(AL85&lt;&gt;"",AM85&lt;&gt;""),ROUND(AL85,3)+ROUND(AN84,3)-ROUND(AM85,3),IF(AND(EXACT(UPPER(AK85),"TBM"),AL85&lt;&gt;""),ROUND(AL85,3),IF(AL85="",AN84,IF(ISNA(VLOOKUP(AK85,A6:E105,5,FALSE)),IF(ISNA(VLOOKUP(AK85,G6:K105,5,FALSE)),IF(ISNA(VLOOKUP(AK85,M6:Q105,5,FALSE)),IF(ISNA(VLOOKUP(AK85,S6:W105,5,FALSE)),IF(ISNA(VLOOKUP(AK85,Y6:AC105,5,FALSE)),IF(ISNA(VLOOKUP(AK85,AE6:AI105,5,FALSE)),IF(ISNA(VLOOKUP(AK85,AK6:AO84,5,FALSE)),"",ROUND(VLOOKUP(AK85,AK6:AO84,5,FALSE),0)/1000+ROUND(AL85,3)),ROUND(VLOOKUP(AK85,AE6:AI105,5,FALSE),0)/1000+ROUND(AL85,3)),ROUND(VLOOKUP(AK85,Y6:AC105,5,FALSE),0)/1000+ROUND(AL85,3)),ROUND(VLOOKUP(AK85,S6:W105,5,FALSE),0)/1000+ROUND(AL85,3)),ROUND(VLOOKUP(AK85,M6:Q105,5,FALSE),0)/1000+ROUND(AL85,3)),ROUND(VLOOKUP(AK85,G6:K105,5,FALSE),0)/1000+ROUND(AL85,3)),ROUND(VLOOKUP(AK85,A6:E105,5,FALSE),0)/1000+ROUND(AL85,3)))))</f>
        <v/>
      </c>
      <c r="AO85" s="95" t="str">
        <f>IF(OR(NOT(EXACT(UPPER(AK85),"TBM")),AL85=""),IF(AND(AL85&lt;&gt;"",AM85="",AN85&lt;&gt;""),"",IF(AND(AL85="",AM85&lt;&gt;"",AN85&lt;&gt;""),ROUND(ROUND(AN85,3)-ROUND(AM85,3),3)*1000,IF(AND(AL85&lt;&gt;"",AM85&lt;&gt;"",AN85&lt;&gt;""),ROUND(ROUND(AN84,3)-ROUND(AM85,3),3)*1000,""))),"")</f>
        <v/>
      </c>
      <c r="AP85" s="85" t="str">
        <f>IF(AND(NOT(ISNA(VLOOKUP(AK85,A6:E105,5,FALSE))),AL85="",AM85&lt;&gt;""),ROUND((VLOOKUP(AK85,A6:E105,5,FALSE)-AO85)/1000,3),IF(AND(NOT(ISNA(VLOOKUP(AK85,G6:K105,5,FALSE))),AL85="",AM85&lt;&gt;""),ROUND((VLOOKUP(AK85,G6:K105,5,FALSE)-AO85)/1000,3),IF(AND(NOT(ISNA(VLOOKUP(AK85,M6:Q105,5,FALSE))),AL85="",AM85&lt;&gt;""),ROUND((VLOOKUP(AK85,M6:Q105,5,FALSE)-AO85)/1000,3),IF(AND(NOT(ISNA(VLOOKUP(AK85,S6:W105,5,FALSE))),AL85="",AM85&lt;&gt;""),ROUND((VLOOKUP(AK85,S6:W105,5,FALSE)-AO85)/1000,3),IF(AND(NOT(ISNA(VLOOKUP(AK85,Y6:AC105,5,FALSE))),AL85="",AM85&lt;&gt;""),ROUND((VLOOKUP(AK85,Y6:AC105,5,FALSE)-AO85)/1000,3),IF(AND(NOT(ISNA(VLOOKUP(AK85,AE6:AI105,5,FALSE))),AL85="",AM85&lt;&gt;""),ROUND((VLOOKUP(AK85,AE6:AI105,5,FALSE)-AO85)/1000,3),IF(AND(NOT(ISNA(VLOOKUP(AK85,AK6:AO84,5,FALSE))),AL85="",AM85&lt;&gt;""),ROUND((VLOOKUP(AK85,AK6:AO84,5,FALSE)-AO85)/1000,3),"")))))))</f>
        <v/>
      </c>
      <c r="AQ85" s="81">
        <f>IF(AQ84="","",AQ84+1)</f>
        <v>779</v>
      </c>
      <c r="AR85" s="82"/>
      <c r="AS85" s="82"/>
      <c r="AT85" s="83" t="str">
        <f>IF(AND(AR85&lt;&gt;"",AS85&lt;&gt;""),ROUND(AR85,3)+ROUND(AT84,3)-ROUND(AS85,3),IF(AND(EXACT(UPPER(AQ85),"TBM"),AR85&lt;&gt;""),ROUND(AR85,3),IF(AR85="",AT84,IF(ISNA(VLOOKUP(AQ85,A6:E105,5,FALSE)),IF(ISNA(VLOOKUP(AQ85,G6:K105,5,FALSE)),IF(ISNA(VLOOKUP(AQ85,M6:Q105,5,FALSE)),IF(ISNA(VLOOKUP(AQ85,S6:W105,5,FALSE)),IF(ISNA(VLOOKUP(AQ85,Y6:AC105,5,FALSE)),IF(ISNA(VLOOKUP(AQ85,AE6:AI105,5,FALSE)),IF(ISNA(VLOOKUP(AQ85,AK6:AO105,5,FALSE)),IF(ISNA(VLOOKUP(AQ85,AQ6:AU84,5,FALSE)),"",ROUND(VLOOKUP(AQ85,AQ6:AU84,5,FALSE),0)/1000+ROUND(AR85,3)),ROUND(VLOOKUP(AQ85,AK6:AO105,5,FALSE),0)/1000+ROUND(AR85,3)),ROUND(VLOOKUP(AQ85,AE6:AI105,5,FALSE),0)/1000+ROUND(AR85,3)),ROUND(VLOOKUP(AQ85,Y6:AC105,5,FALSE),0)/1000+ROUND(AR85,3)),ROUND(VLOOKUP(AQ85,S6:W105,5,FALSE),0)/1000+ROUND(AR85,3)),ROUND(VLOOKUP(AQ85,M6:Q105,5,FALSE),0)/1000+ROUND(AR85,3)),ROUND(VLOOKUP(AQ85,G6:K105,5,FALSE),0)/1000+ROUND(AR85,3)),ROUND(VLOOKUP(AQ85,A6:E105,5,FALSE),0)/1000+ROUND(AR85,3)))))</f>
        <v/>
      </c>
      <c r="AU85" s="95" t="str">
        <f>IF(OR(NOT(EXACT(UPPER(AQ85),"TBM")),AR85=""),IF(AND(AR85&lt;&gt;"",AS85="",AT85&lt;&gt;""),"",IF(AND(AR85="",AS85&lt;&gt;"",AT85&lt;&gt;""),ROUND(ROUND(AT85,3)-ROUND(AS85,3),3)*1000,IF(AND(AR85&lt;&gt;"",AS85&lt;&gt;"",AT85&lt;&gt;""),ROUND(ROUND(AT84,3)-ROUND(AS85,3),3)*1000,""))),"")</f>
        <v/>
      </c>
      <c r="AV85" s="85" t="str">
        <f>IF(AND(NOT(ISNA(VLOOKUP(AQ85,A6:E105,5,FALSE))),AR85="",AS85&lt;&gt;""),ROUND((VLOOKUP(AQ85,A6:E105,5,FALSE)-AU85)/1000,3),IF(AND(NOT(ISNA(VLOOKUP(AQ85,G6:K105,5,FALSE))),AR85="",AS85&lt;&gt;""),ROUND((VLOOKUP(AQ85,G6:K105,5,FALSE)-AU85)/1000,3),IF(AND(NOT(ISNA(VLOOKUP(AQ85,M6:Q105,5,FALSE))),AR85="",AS85&lt;&gt;""),ROUND((VLOOKUP(AQ85,M6:Q105,5,FALSE)-AU85)/1000,3),IF(AND(NOT(ISNA(VLOOKUP(AQ85,S6:W105,5,FALSE))),AR85="",AS85&lt;&gt;""),ROUND((VLOOKUP(AQ85,S6:W105,5,FALSE)-AU85)/1000,3),IF(AND(NOT(ISNA(VLOOKUP(AQ85,Y6:AC105,5,FALSE))),AR85="",AS85&lt;&gt;""),ROUND((VLOOKUP(AQ85,Y6:AC105,5,FALSE)-AU85)/1000,3),IF(AND(NOT(ISNA(VLOOKUP(AQ85,AE6:AI105,5,FALSE))),AR85="",AS85&lt;&gt;""),ROUND((VLOOKUP(AQ85,AE6:AI105,5,FALSE)-AU85)/1000,3),IF(AND(NOT(ISNA(VLOOKUP(AQ85,AK6:AO105,5,FALSE))),AR85="",AS85&lt;&gt;""),ROUND((VLOOKUP(AQ85,AK6:AO105,5,FALSE)-AU85)/1000,3),IF(AND(NOT(ISNA(VLOOKUP(AQ85,AQ6:AU84,5,FALSE))),AR85="",AS85&lt;&gt;""),ROUND((VLOOKUP(AQ85,AQ6:AU84,5,FALSE)-AU85)/1000,3),""))))))))</f>
        <v/>
      </c>
      <c r="AW85" s="81">
        <f>IF(AW84="","",AW84+1)</f>
        <v>879</v>
      </c>
      <c r="AX85" s="82"/>
      <c r="AY85" s="82"/>
      <c r="AZ85" s="83" t="str">
        <f>IF(AND(AX85&lt;&gt;"",AY85&lt;&gt;""),ROUND(AX85,3)+ROUND(AZ84,3)-ROUND(AY85,3),IF(AND(EXACT(UPPER(AW85),"TBM"),AX85&lt;&gt;""),ROUND(AX85,3),IF(AX85="",AZ84,IF(ISNA(VLOOKUP(AW85,A6:E105,5,FALSE)),IF(ISNA(VLOOKUP(AW85,G6:K105,5,FALSE)),IF(ISNA(VLOOKUP(AW85,M6:Q105,5,FALSE)),IF(ISNA(VLOOKUP(AW85,S6:W105,5,FALSE)),IF(ISNA(VLOOKUP(AW85,Y6:AC105,5,FALSE)),IF(ISNA(VLOOKUP(AW85,AE6:AI105,5,FALSE)),IF(ISNA(VLOOKUP(AW85,AK6:AO105,5,FALSE)),IF(ISNA(VLOOKUP(AW85,AQ6:AU105,5,FALSE)),IF(ISNA(VLOOKUP(AW85,AW6:BA84,5,FALSE)),"",ROUND(VLOOKUP(AW85,AW6:BA84,5,FALSE),0)/1000+ROUND(AX85,3)),ROUND(VLOOKUP(AW85,AQ6:AU105,5,FALSE),0)/1000+ROUND(AX85,3)),ROUND(VLOOKUP(AW85,AK6:AO105,5,FALSE),0)/1000+ROUND(AX85,3)),ROUND(VLOOKUP(AW85,AE6:AI105,5,FALSE),0)/1000+ROUND(AX85,3)),ROUND(VLOOKUP(AW85,Y6:AC105,5,FALSE),0)/1000+ROUND(AX85,3)),ROUND(VLOOKUP(AW85,S6:W105,5,FALSE),0)/1000+ROUND(AX85,3)),ROUND(VLOOKUP(AW85,M6:Q105,5,FALSE),0)/1000+ROUND(AX85,3)),ROUND(VLOOKUP(AW85,G6:K105,5,FALSE),0)/1000+ROUND(AX85,3)),ROUND(VLOOKUP(AW85,A6:E105,5,FALSE),0)/1000+ROUND(AX85,3)))))</f>
        <v/>
      </c>
      <c r="BA85" s="95" t="str">
        <f>IF(OR(NOT(EXACT(UPPER(AW85),"TBM")),AX85=""),IF(AND(AX85&lt;&gt;"",AY85="",AZ85&lt;&gt;""),"",IF(AND(AX85="",AY85&lt;&gt;"",AZ85&lt;&gt;""),ROUND(ROUND(AZ85,3)-ROUND(AY85,3),3)*1000,IF(AND(AX85&lt;&gt;"",AY85&lt;&gt;"",AZ85&lt;&gt;""),ROUND(ROUND(AZ84,3)-ROUND(AY85,3),3)*1000,""))),"")</f>
        <v/>
      </c>
      <c r="BB85" s="85" t="str">
        <f>IF(AND(NOT(ISNA(VLOOKUP(AW85,A6:E105,5,FALSE))),AX85="",AY85&lt;&gt;""),ROUND((VLOOKUP(AW85,A6:E105,5,FALSE)-BA85)/1000,3),IF(AND(NOT(ISNA(VLOOKUP(AW85,G6:K105,5,FALSE))),AX85="",AY85&lt;&gt;""),ROUND((VLOOKUP(AW85,G6:K105,5,FALSE)-BA85)/1000,3),IF(AND(NOT(ISNA(VLOOKUP(AW85,M6:Q105,5,FALSE))),AX85="",AY85&lt;&gt;""),ROUND((VLOOKUP(AW85,M6:Q105,5,FALSE)-BA85)/1000,3),IF(AND(NOT(ISNA(VLOOKUP(AW85,S6:W105,5,FALSE))),AX85="",AY85&lt;&gt;""),ROUND((VLOOKUP(AW85,S6:W105,5,FALSE)-BA85)/1000,3),IF(AND(NOT(ISNA(VLOOKUP(AW85,Y6:AC105,5,FALSE))),AX85="",AY85&lt;&gt;""),ROUND((VLOOKUP(AW85,Y6:AC105,5,FALSE)-BA85)/1000,3),IF(AND(NOT(ISNA(VLOOKUP(AW85,AE6:AI105,5,FALSE))),AX85="",AY85&lt;&gt;""),ROUND((VLOOKUP(AW85,AE6:AI105,5,FALSE)-BA85)/1000,3),IF(AND(NOT(ISNA(VLOOKUP(AW85,AK6:AO105,5,FALSE))),AX85="",AY85&lt;&gt;""),ROUND((VLOOKUP(AW85,AK6:AO105,5,FALSE)-BA85)/1000,3),IF(AND(NOT(ISNA(VLOOKUP(AW85,AQ6:AU105,5,FALSE))),AX85="",AY85&lt;&gt;""),ROUND((VLOOKUP(AW85,AQ6:AU105,5,FALSE)-BA85)/1000,3),IF(AND(NOT(ISNA(VLOOKUP(AW85,AW6:BA84,5,FALSE))),AX85="",AY85&lt;&gt;""),ROUND((VLOOKUP(AW85,AW6:BA84,5,FALSE)-BA85)/1000,3),"")))))))))</f>
        <v/>
      </c>
      <c r="BC85" s="81">
        <f>IF(BC84="","",BC84+1)</f>
        <v>979</v>
      </c>
      <c r="BD85" s="82"/>
      <c r="BE85" s="82"/>
      <c r="BF85" s="83" t="str">
        <f>IF(AND(BD85&lt;&gt;"",BE85&lt;&gt;""),ROUND(BD85,3)+ROUND(BF84,3)-ROUND(BE85,3),IF(AND(EXACT(UPPER(BC85),"TBM"),BD85&lt;&gt;""),ROUND(BD85,3),IF(BD85="",BF84,IF(ISNA(VLOOKUP(BC85,A6:E105,5,FALSE)),IF(ISNA(VLOOKUP(BC85,G6:K105,5,FALSE)),IF(ISNA(VLOOKUP(BC85,M6:Q105,5,FALSE)),IF(ISNA(VLOOKUP(BC85,S6:W105,5,FALSE)),IF(ISNA(VLOOKUP(BC85,Y6:AC105,5,FALSE)),IF(ISNA(VLOOKUP(BC85,AE6:AI105,5,FALSE)),IF(ISNA(VLOOKUP(BC85,AK6:AO105,5,FALSE)),IF(ISNA(VLOOKUP(BC85,AQ6:AU105,5,FALSE)),IF(ISNA(VLOOKUP(BC85,AW6:BA105,5,FALSE)),IF(ISNA(VLOOKUP(BC85,BC6:BG84,5,FALSE)),"",ROUND(VLOOKUP(BC85,BC6:BG84,5,FALSE),0)/1000+ROUND(BD85,3)),ROUND(VLOOKUP(BC85,AW6:BA105,5,FALSE),0)/1000+ROUND(BD85,3)),ROUND(VLOOKUP(BC85,AQ6:AU105,5,FALSE),0)/1000+ROUND(BD85,3)),ROUND(VLOOKUP(BC85,AK6:AO105,5,FALSE),0)/1000+ROUND(BD85,3)),ROUND(VLOOKUP(BC85,AE6:AI105,5,FALSE),0)/1000+ROUND(BD85,3)),ROUND(VLOOKUP(BC85,Y6:AC105,5,FALSE),0)/1000+ROUND(BD85,3)),ROUND(VLOOKUP(BC85,S6:W105,5,FALSE),0)/1000+ROUND(BD85,3)),ROUND(VLOOKUP(BC85,M6:Q105,5,FALSE),0)/1000+ROUND(BD85,3)),ROUND(VLOOKUP(BC85,G6:K105,5,FALSE),0)/1000+ROUND(BD85,3)),ROUND(VLOOKUP(BC85,A6:E105,5,FALSE),0)/1000+ROUND(BD85,3)))))</f>
        <v/>
      </c>
      <c r="BG85" s="95" t="str">
        <f>IF(OR(NOT(EXACT(UPPER(BC85),"TBM")),BD85=""),IF(AND(BD85&lt;&gt;"",BE85="",BF85&lt;&gt;""),"",IF(AND(BD85="",BE85&lt;&gt;"",BF85&lt;&gt;""),ROUND(ROUND(BF85,3)-ROUND(BE85,3),3)*1000,IF(AND(BD85&lt;&gt;"",BE85&lt;&gt;"",BF85&lt;&gt;""),ROUND(ROUND(BF84,3)-ROUND(BE85,3),3)*1000,""))),"")</f>
        <v/>
      </c>
      <c r="BH85" s="85" t="str">
        <f>IF(AND(NOT(ISNA(VLOOKUP(BC85,A6:E105,5,FALSE))),BD85="",BE85&lt;&gt;""),ROUND((VLOOKUP(BC85,A6:E105,5,FALSE)-BG85)/1000,3),IF(AND(NOT(ISNA(VLOOKUP(BC85,G6:K105,5,FALSE))),BD85="",BE85&lt;&gt;""),ROUND((VLOOKUP(BC85,G6:K105,5,FALSE)-BG85)/1000,3),IF(AND(NOT(ISNA(VLOOKUP(BC85,M6:Q105,5,FALSE))),BD85="",BE85&lt;&gt;""),ROUND((VLOOKUP(BC85,M6:Q105,5,FALSE)-BG85)/1000,3),IF(AND(NOT(ISNA(VLOOKUP(BC85,S6:W105,5,FALSE))),BD85="",BE85&lt;&gt;""),ROUND((VLOOKUP(BC85,S6:W105,5,FALSE)-BG85)/1000,3),IF(AND(NOT(ISNA(VLOOKUP(BC85,Y6:AC105,5,FALSE))),BD85="",BE85&lt;&gt;""),ROUND((VLOOKUP(BC85,Y6:AC105,5,FALSE)-BG85)/1000,3),IF(AND(NOT(ISNA(VLOOKUP(BC85,AE6:AI105,5,FALSE))),BD85="",BE85&lt;&gt;""),ROUND((VLOOKUP(BC85,AE6:AI105,5,FALSE)-BG85)/1000,3),IF(AND(NOT(ISNA(VLOOKUP(BC85,AK6:AO105,5,FALSE))),BD85="",BE85&lt;&gt;""),ROUND((VLOOKUP(BC85,AK6:AO105,5,FALSE)-BG85)/1000,3),IF(AND(NOT(ISNA(VLOOKUP(BC85,AQ6:AU105,5,FALSE))),BD85="",BE85&lt;&gt;""),ROUND((VLOOKUP(BC85,AQ6:AU105,5,FALSE)-BG85)/1000,3),IF(AND(NOT(ISNA(VLOOKUP(BC85,AW6:BA105,5,FALSE))),BD85="",BE85&lt;&gt;""),ROUND((VLOOKUP(BC85,AW6:BA105,5,FALSE)-BG85)/1000,3),IF(AND(NOT(ISNA(VLOOKUP(BC85,BC6:BG84,5,FALSE))),BD85="",BE85&lt;&gt;""),ROUND((VLOOKUP(BC85,BC6:BG84,5,FALSE)-BG85)/1000,3),""))))))))))</f>
        <v/>
      </c>
    </row>
    <row r="86" spans="1:60" x14ac:dyDescent="0.25">
      <c r="A86" s="64">
        <f t="shared" si="9"/>
        <v>80</v>
      </c>
      <c r="B86" s="38"/>
      <c r="C86" s="38"/>
      <c r="D86" s="17" t="str">
        <f>IF(AND(B86&lt;&gt;"",C86&lt;&gt;""),ROUND(B86,3)+ROUND(D85,3)-ROUND(C86,3),IF(AND(EXACT(UPPER(A86),"TBM"),B86&lt;&gt;""),ROUND(B86,3),IF(B86="",D85,IF(ISNA(VLOOKUP(A86,A6:E85,5,FALSE)),"",ROUND(VLOOKUP(A86,A6:E85,5,FALSE),0)/1000+ROUND(B86,3)))))</f>
        <v/>
      </c>
      <c r="E86" s="65" t="str">
        <f t="shared" si="6"/>
        <v/>
      </c>
      <c r="F86" s="66" t="str">
        <f>IF(AND(NOT(ISNA(VLOOKUP(A86,A6:E85,5,FALSE))),B86="",C86&lt;&gt;""),ROUND((VLOOKUP(A86,A6:E85,5,FALSE)-E86)/1000,3),"")</f>
        <v/>
      </c>
      <c r="G86" s="64">
        <f t="shared" si="7"/>
        <v>180</v>
      </c>
      <c r="H86" s="38"/>
      <c r="I86" s="38"/>
      <c r="J86" s="17" t="str">
        <f>IF(AND(H86&lt;&gt;"",I86&lt;&gt;""),ROUND(H86,3)+ROUND(J85,3)-ROUND(I86,3),IF(AND(EXACT(UPPER(G86),"TBM"),H86&lt;&gt;""),ROUND(H86,3),IF(H86="",J85,IF(ISNA(VLOOKUP(G86,A6:E105,5,FALSE)),IF(ISNA(VLOOKUP(G86,G6:K85,5,FALSE)),"",ROUND(VLOOKUP(G86,G6:K85,5,FALSE),0)/1000+ROUND(H86,3)),ROUND(VLOOKUP(G86,A6:E105,5,FALSE),0)/1000+ROUND(H86,3)))))</f>
        <v/>
      </c>
      <c r="K86" s="18" t="str">
        <f t="shared" si="8"/>
        <v/>
      </c>
      <c r="L86" s="66" t="str">
        <f>IF(AND(NOT(ISNA(VLOOKUP(G86,A6:E105,5,FALSE))),H86="",I86&lt;&gt;""),ROUND((VLOOKUP(G86,A6:E105,5,FALSE)-K86)/1000,3),IF(AND(NOT(ISNA(VLOOKUP(G86,G6:K85,5,FALSE))),H86="",I86&lt;&gt;""),ROUND((VLOOKUP(G86,G6:K85,5,FALSE)-K86)/1000,3),""))</f>
        <v/>
      </c>
      <c r="M86" s="64">
        <f>IF(M85="","",M85+1)</f>
        <v>280</v>
      </c>
      <c r="N86" s="38"/>
      <c r="O86" s="38"/>
      <c r="P86" s="17" t="str">
        <f>IF(AND(N86&lt;&gt;"",O86&lt;&gt;""),ROUND(N86,3)+ROUND(P85,3)-ROUND(O86,3),IF(AND(EXACT(UPPER(M86),"TBM"),N86&lt;&gt;""),ROUND(N86,3),IF(N86="",P85,IF(ISNA(VLOOKUP(M86,A6:E105,5,FALSE)),IF(ISNA(VLOOKUP(M86,G6:K105,5,FALSE)),IF(ISNA(VLOOKUP(M86,M6:Q85,5,FALSE)),"",ROUND(VLOOKUP(M86,M6:Q85,5,FALSE),0)/1000+ROUND(N86,3)),ROUND(VLOOKUP(M86,G6:K105,5,FALSE),0)/1000+ROUND(N86,3)),ROUND(VLOOKUP(M86,A6:E105,5,FALSE),0)/1000+ROUND(N86,3)))))</f>
        <v/>
      </c>
      <c r="Q86" s="18" t="str">
        <f>IF(OR(NOT(EXACT(UPPER(M86),"TBM")),N86=""),IF(AND(N86&lt;&gt;"",O86="",P86&lt;&gt;""),"",IF(AND(N86="",O86&lt;&gt;"",P86&lt;&gt;""),ROUND(ROUND(P86,3)-ROUND(O86,3),3)*1000,IF(AND(N86&lt;&gt;"",O86&lt;&gt;"",P86&lt;&gt;""),ROUND(ROUND(P85,3)-ROUND(O86,3),3)*1000,""))),"")</f>
        <v/>
      </c>
      <c r="R86" s="66" t="str">
        <f>IF(AND(NOT(ISNA(VLOOKUP(M86,A6:E105,5,FALSE))),N86="",O86&lt;&gt;""),ROUND((VLOOKUP(M86,A6:E105,5,FALSE)-Q86)/1000,3),IF(AND(NOT(ISNA(VLOOKUP(M86,G6:K105,5,FALSE))),N86="",O86&lt;&gt;""),ROUND((VLOOKUP(M86,G6:K105,5,FALSE)-Q86)/1000,3),IF(AND(NOT(ISNA(VLOOKUP(M86,M6:Q85,5,FALSE))),N86="",O86&lt;&gt;""),ROUND((VLOOKUP(M86,M6:Q85,5,FALSE)-Q86)/1000,3),"")))</f>
        <v/>
      </c>
      <c r="S86" s="64">
        <f>IF(S85="","",S85+1)</f>
        <v>380</v>
      </c>
      <c r="T86" s="38"/>
      <c r="U86" s="38"/>
      <c r="V86" s="17" t="str">
        <f>IF(AND(T86&lt;&gt;"",U86&lt;&gt;""),ROUND(T86,3)+ROUND(V85,3)-ROUND(U86,3),IF(AND(EXACT(UPPER(S86),"TBM"),T86&lt;&gt;""),ROUND(T86,3),IF(T86="",V85,IF(ISNA(VLOOKUP(S86,A6:E105,5,FALSE)),IF(ISNA(VLOOKUP(S86,G6:K105,5,FALSE)),IF(ISNA(VLOOKUP(S86,M6:Q105,5,FALSE)),IF(ISNA(VLOOKUP(S86,S6:W85,5,FALSE)),"",ROUND(VLOOKUP(S86,S6:W85,5,FALSE),0)/1000+ROUND(T86,3)),ROUND(VLOOKUP(S86,M6:Q105,5,FALSE),0)/1000+ROUND(T86,3)),ROUND(VLOOKUP(S86,G6:K105,5,FALSE),0)/1000+ROUND(T86,3)),ROUND(VLOOKUP(S86,A6:E105,5,FALSE),0)/1000+ROUND(T86,3)))))</f>
        <v/>
      </c>
      <c r="W86" s="18" t="str">
        <f>IF(OR(NOT(EXACT(UPPER(S86),"TBM")),T86=""),IF(AND(T86&lt;&gt;"",U86="",V86&lt;&gt;""),"",IF(AND(T86="",U86&lt;&gt;"",V86&lt;&gt;""),ROUND(ROUND(V86,3)-ROUND(U86,3),3)*1000,IF(AND(T86&lt;&gt;"",U86&lt;&gt;"",V86&lt;&gt;""),ROUND(ROUND(V85,3)-ROUND(U86,3),3)*1000,""))),"")</f>
        <v/>
      </c>
      <c r="X86" s="66" t="str">
        <f>IF(AND(NOT(ISNA(VLOOKUP(S86,A6:E105,5,FALSE))),T86="",U86&lt;&gt;""),ROUND((VLOOKUP(S86,A6:E105,5,FALSE)-W86)/1000,3),IF(AND(NOT(ISNA(VLOOKUP(S86,G6:K105,5,FALSE))),T86="",U86&lt;&gt;""),ROUND((VLOOKUP(S86,G6:K105,5,FALSE)-W86)/1000,3),IF(AND(NOT(ISNA(VLOOKUP(S86,M6:Q105,5,FALSE))),T86="",U86&lt;&gt;""),ROUND((VLOOKUP(S86,M6:Q105,5,FALSE)-W86)/1000,3),IF(AND(NOT(ISNA(VLOOKUP(S86,S6:W85,5,FALSE))),T86="",U86&lt;&gt;""),ROUND((VLOOKUP(S86,S6:W85,5,FALSE)-W86)/1000,3),""))))</f>
        <v/>
      </c>
      <c r="Y86" s="64">
        <f>IF(Y85="","",Y85+1)</f>
        <v>480</v>
      </c>
      <c r="Z86" s="38"/>
      <c r="AA86" s="38"/>
      <c r="AB86" s="17" t="str">
        <f>IF(AND(Z86&lt;&gt;"",AA86&lt;&gt;""),ROUND(Z86,3)+ROUND(AB85,3)-ROUND(AA86,3),IF(AND(EXACT(UPPER(Y86),"TBM"),Z86&lt;&gt;""),ROUND(Z86,3),IF(Z86="",AB85,IF(ISNA(VLOOKUP(Y86,A6:E105,5,FALSE)),IF(ISNA(VLOOKUP(Y86,G6:K105,5,FALSE)),IF(ISNA(VLOOKUP(Y86,M6:Q105,5,FALSE)),IF(ISNA(VLOOKUP(Y86,S6:W105,5,FALSE)),IF(ISNA(VLOOKUP(Y86,Y6:AC85,5,FALSE)),"",ROUND(VLOOKUP(Y86,Y6:AC85,5,FALSE),0)/1000+ROUND(Z86,3)),ROUND(VLOOKUP(Y86,S6:W105,5,FALSE),0)/1000+ROUND(Z86,3)),ROUND(VLOOKUP(Y86,M6:Q105,5,FALSE),0)/1000+ROUND(Z86,3)),ROUND(VLOOKUP(Y86,G6:K105,5,FALSE),0)/1000+ROUND(Z86,3)),ROUND(VLOOKUP(Y86,A6:E105,5,FALSE),0)/1000+ROUND(Z86,3)))))</f>
        <v/>
      </c>
      <c r="AC86" s="18" t="str">
        <f>IF(OR(NOT(EXACT(UPPER(Y86),"TBM")),Z86=""),IF(AND(Z86&lt;&gt;"",AA86="",AB86&lt;&gt;""),"",IF(AND(Z86="",AA86&lt;&gt;"",AB86&lt;&gt;""),ROUND(ROUND(AB86,3)-ROUND(AA86,3),3)*1000,IF(AND(Z86&lt;&gt;"",AA86&lt;&gt;"",AB86&lt;&gt;""),ROUND(ROUND(AB85,3)-ROUND(AA86,3),3)*1000,""))),"")</f>
        <v/>
      </c>
      <c r="AD86" s="66" t="str">
        <f>IF(AND(NOT(ISNA(VLOOKUP(Y86,A6:E105,5,FALSE))),Z86="",AA86&lt;&gt;""),ROUND((VLOOKUP(Y86,A6:E105,5,FALSE)-AC86)/1000,3),IF(AND(NOT(ISNA(VLOOKUP(Y86,G6:K105,5,FALSE))),Z86="",AA86&lt;&gt;""),ROUND((VLOOKUP(Y86,G6:K105,5,FALSE)-AC86)/1000,3),IF(AND(NOT(ISNA(VLOOKUP(Y86,M6:Q105,5,FALSE))),Z86="",AA86&lt;&gt;""),ROUND((VLOOKUP(Y86,M6:Q105,5,FALSE)-AC86)/1000,3),IF(AND(NOT(ISNA(VLOOKUP(Y86,S6:W105,5,FALSE))),Z86="",AA86&lt;&gt;""),ROUND((VLOOKUP(Y86,S6:W105,5,FALSE)-AC86)/1000,3),IF(AND(NOT(ISNA(VLOOKUP(Y86,Y6:AC85,5,FALSE))),Z86="",AA86&lt;&gt;""),ROUND((VLOOKUP(Y86,Y6:AC85,5,FALSE)-AC86)/1000,3),"")))))</f>
        <v/>
      </c>
      <c r="AE86" s="64">
        <f>IF(AE85="","",AE85+1)</f>
        <v>580</v>
      </c>
      <c r="AF86" s="38"/>
      <c r="AG86" s="38"/>
      <c r="AH86" s="17" t="str">
        <f>IF(AND(AF86&lt;&gt;"",AG86&lt;&gt;""),ROUND(AF86,3)+ROUND(AH85,3)-ROUND(AG86,3),IF(AND(EXACT(UPPER(AE86),"TBM"),AF86&lt;&gt;""),ROUND(AF86,3),IF(AF86="",AH85,IF(ISNA(VLOOKUP(AE86,A6:E105,5,FALSE)),IF(ISNA(VLOOKUP(AE86,G6:K105,5,FALSE)),IF(ISNA(VLOOKUP(AE86,M6:Q105,5,FALSE)),IF(ISNA(VLOOKUP(AE86,S6:W105,5,FALSE)),IF(ISNA(VLOOKUP(AE86,Y6:AC105,5,FALSE)),IF(ISNA(VLOOKUP(AE86,AE6:AI85,5,FALSE)),"",ROUND(VLOOKUP(AE86,AE6:AI85,5,FALSE),0)/1000+ROUND(AF86,3)),ROUND(VLOOKUP(AE86,Y6:AC105,5,FALSE),0)/1000+ROUND(AF86,3)),ROUND(VLOOKUP(AE86,S6:W105,5,FALSE),0)/1000+ROUND(AF86,3)),ROUND(VLOOKUP(AE86,M6:Q105,5,FALSE),0)/1000+ROUND(AF86,3)),ROUND(VLOOKUP(AE86,G6:K105,5,FALSE),0)/1000+ROUND(AF86,3)),ROUND(VLOOKUP(AE86,A6:E105,5,FALSE),0)/1000+ROUND(AF86,3)))))</f>
        <v/>
      </c>
      <c r="AI86" s="18" t="str">
        <f>IF(OR(NOT(EXACT(UPPER(AE86),"TBM")),AF86=""),IF(AND(AF86&lt;&gt;"",AG86="",AH86&lt;&gt;""),"",IF(AND(AF86="",AG86&lt;&gt;"",AH86&lt;&gt;""),ROUND(ROUND(AH86,3)-ROUND(AG86,3),3)*1000,IF(AND(AF86&lt;&gt;"",AG86&lt;&gt;"",AH86&lt;&gt;""),ROUND(ROUND(AH85,3)-ROUND(AG86,3),3)*1000,""))),"")</f>
        <v/>
      </c>
      <c r="AJ86" s="66" t="str">
        <f>IF(AND(NOT(ISNA(VLOOKUP(AE86,A6:E105,5,FALSE))),AF86="",AG86&lt;&gt;""),ROUND((VLOOKUP(AE86,A6:E105,5,FALSE)-AI86)/1000,3),IF(AND(NOT(ISNA(VLOOKUP(AE86,G6:K105,5,FALSE))),AF86="",AG86&lt;&gt;""),ROUND((VLOOKUP(AE86,G6:K105,5,FALSE)-AI86)/1000,3),IF(AND(NOT(ISNA(VLOOKUP(AE86,M6:Q105,5,FALSE))),AF86="",AG86&lt;&gt;""),ROUND((VLOOKUP(AE86,M6:Q105,5,FALSE)-AI86)/1000,3),IF(AND(NOT(ISNA(VLOOKUP(AE86,S6:W105,5,FALSE))),AF86="",AG86&lt;&gt;""),ROUND((VLOOKUP(AE86,S6:W105,5,FALSE)-AI86)/1000,3),IF(AND(NOT(ISNA(VLOOKUP(AE86,Y6:AC105,5,FALSE))),AF86="",AG86&lt;&gt;""),ROUND((VLOOKUP(AE86,Y6:AC105,5,FALSE)-AI86)/1000,3),IF(AND(NOT(ISNA(VLOOKUP(AE86,AE6:AI85,5,FALSE))),AF86="",AG86&lt;&gt;""),ROUND((VLOOKUP(AE86,AE6:AI85,5,FALSE)-AI86)/1000,3),""))))))</f>
        <v/>
      </c>
      <c r="AK86" s="64">
        <f>IF(AK85="","",AK85+1)</f>
        <v>680</v>
      </c>
      <c r="AL86" s="38"/>
      <c r="AM86" s="38"/>
      <c r="AN86" s="17" t="str">
        <f>IF(AND(AL86&lt;&gt;"",AM86&lt;&gt;""),ROUND(AL86,3)+ROUND(AN85,3)-ROUND(AM86,3),IF(AND(EXACT(UPPER(AK86),"TBM"),AL86&lt;&gt;""),ROUND(AL86,3),IF(AL86="",AN85,IF(ISNA(VLOOKUP(AK86,A6:E105,5,FALSE)),IF(ISNA(VLOOKUP(AK86,G6:K105,5,FALSE)),IF(ISNA(VLOOKUP(AK86,M6:Q105,5,FALSE)),IF(ISNA(VLOOKUP(AK86,S6:W105,5,FALSE)),IF(ISNA(VLOOKUP(AK86,Y6:AC105,5,FALSE)),IF(ISNA(VLOOKUP(AK86,AE6:AI105,5,FALSE)),IF(ISNA(VLOOKUP(AK86,AK6:AO85,5,FALSE)),"",ROUND(VLOOKUP(AK86,AK6:AO85,5,FALSE),0)/1000+ROUND(AL86,3)),ROUND(VLOOKUP(AK86,AE6:AI105,5,FALSE),0)/1000+ROUND(AL86,3)),ROUND(VLOOKUP(AK86,Y6:AC105,5,FALSE),0)/1000+ROUND(AL86,3)),ROUND(VLOOKUP(AK86,S6:W105,5,FALSE),0)/1000+ROUND(AL86,3)),ROUND(VLOOKUP(AK86,M6:Q105,5,FALSE),0)/1000+ROUND(AL86,3)),ROUND(VLOOKUP(AK86,G6:K105,5,FALSE),0)/1000+ROUND(AL86,3)),ROUND(VLOOKUP(AK86,A6:E105,5,FALSE),0)/1000+ROUND(AL86,3)))))</f>
        <v/>
      </c>
      <c r="AO86" s="18" t="str">
        <f>IF(OR(NOT(EXACT(UPPER(AK86),"TBM")),AL86=""),IF(AND(AL86&lt;&gt;"",AM86="",AN86&lt;&gt;""),"",IF(AND(AL86="",AM86&lt;&gt;"",AN86&lt;&gt;""),ROUND(ROUND(AN86,3)-ROUND(AM86,3),3)*1000,IF(AND(AL86&lt;&gt;"",AM86&lt;&gt;"",AN86&lt;&gt;""),ROUND(ROUND(AN85,3)-ROUND(AM86,3),3)*1000,""))),"")</f>
        <v/>
      </c>
      <c r="AP86" s="66" t="str">
        <f>IF(AND(NOT(ISNA(VLOOKUP(AK86,A6:E105,5,FALSE))),AL86="",AM86&lt;&gt;""),ROUND((VLOOKUP(AK86,A6:E105,5,FALSE)-AO86)/1000,3),IF(AND(NOT(ISNA(VLOOKUP(AK86,G6:K105,5,FALSE))),AL86="",AM86&lt;&gt;""),ROUND((VLOOKUP(AK86,G6:K105,5,FALSE)-AO86)/1000,3),IF(AND(NOT(ISNA(VLOOKUP(AK86,M6:Q105,5,FALSE))),AL86="",AM86&lt;&gt;""),ROUND((VLOOKUP(AK86,M6:Q105,5,FALSE)-AO86)/1000,3),IF(AND(NOT(ISNA(VLOOKUP(AK86,S6:W105,5,FALSE))),AL86="",AM86&lt;&gt;""),ROUND((VLOOKUP(AK86,S6:W105,5,FALSE)-AO86)/1000,3),IF(AND(NOT(ISNA(VLOOKUP(AK86,Y6:AC105,5,FALSE))),AL86="",AM86&lt;&gt;""),ROUND((VLOOKUP(AK86,Y6:AC105,5,FALSE)-AO86)/1000,3),IF(AND(NOT(ISNA(VLOOKUP(AK86,AE6:AI105,5,FALSE))),AL86="",AM86&lt;&gt;""),ROUND((VLOOKUP(AK86,AE6:AI105,5,FALSE)-AO86)/1000,3),IF(AND(NOT(ISNA(VLOOKUP(AK86,AK6:AO85,5,FALSE))),AL86="",AM86&lt;&gt;""),ROUND((VLOOKUP(AK86,AK6:AO85,5,FALSE)-AO86)/1000,3),"")))))))</f>
        <v/>
      </c>
      <c r="AQ86" s="64">
        <f>IF(AQ85="","",AQ85+1)</f>
        <v>780</v>
      </c>
      <c r="AR86" s="38"/>
      <c r="AS86" s="38"/>
      <c r="AT86" s="17" t="str">
        <f>IF(AND(AR86&lt;&gt;"",AS86&lt;&gt;""),ROUND(AR86,3)+ROUND(AT85,3)-ROUND(AS86,3),IF(AND(EXACT(UPPER(AQ86),"TBM"),AR86&lt;&gt;""),ROUND(AR86,3),IF(AR86="",AT85,IF(ISNA(VLOOKUP(AQ86,A6:E105,5,FALSE)),IF(ISNA(VLOOKUP(AQ86,G6:K105,5,FALSE)),IF(ISNA(VLOOKUP(AQ86,M6:Q105,5,FALSE)),IF(ISNA(VLOOKUP(AQ86,S6:W105,5,FALSE)),IF(ISNA(VLOOKUP(AQ86,Y6:AC105,5,FALSE)),IF(ISNA(VLOOKUP(AQ86,AE6:AI105,5,FALSE)),IF(ISNA(VLOOKUP(AQ86,AK6:AO105,5,FALSE)),IF(ISNA(VLOOKUP(AQ86,AQ6:AU85,5,FALSE)),"",ROUND(VLOOKUP(AQ86,AQ6:AU85,5,FALSE),0)/1000+ROUND(AR86,3)),ROUND(VLOOKUP(AQ86,AK6:AO105,5,FALSE),0)/1000+ROUND(AR86,3)),ROUND(VLOOKUP(AQ86,AE6:AI105,5,FALSE),0)/1000+ROUND(AR86,3)),ROUND(VLOOKUP(AQ86,Y6:AC105,5,FALSE),0)/1000+ROUND(AR86,3)),ROUND(VLOOKUP(AQ86,S6:W105,5,FALSE),0)/1000+ROUND(AR86,3)),ROUND(VLOOKUP(AQ86,M6:Q105,5,FALSE),0)/1000+ROUND(AR86,3)),ROUND(VLOOKUP(AQ86,G6:K105,5,FALSE),0)/1000+ROUND(AR86,3)),ROUND(VLOOKUP(AQ86,A6:E105,5,FALSE),0)/1000+ROUND(AR86,3)))))</f>
        <v/>
      </c>
      <c r="AU86" s="18" t="str">
        <f>IF(OR(NOT(EXACT(UPPER(AQ86),"TBM")),AR86=""),IF(AND(AR86&lt;&gt;"",AS86="",AT86&lt;&gt;""),"",IF(AND(AR86="",AS86&lt;&gt;"",AT86&lt;&gt;""),ROUND(ROUND(AT86,3)-ROUND(AS86,3),3)*1000,IF(AND(AR86&lt;&gt;"",AS86&lt;&gt;"",AT86&lt;&gt;""),ROUND(ROUND(AT85,3)-ROUND(AS86,3),3)*1000,""))),"")</f>
        <v/>
      </c>
      <c r="AV86" s="66" t="str">
        <f>IF(AND(NOT(ISNA(VLOOKUP(AQ86,A6:E105,5,FALSE))),AR86="",AS86&lt;&gt;""),ROUND((VLOOKUP(AQ86,A6:E105,5,FALSE)-AU86)/1000,3),IF(AND(NOT(ISNA(VLOOKUP(AQ86,G6:K105,5,FALSE))),AR86="",AS86&lt;&gt;""),ROUND((VLOOKUP(AQ86,G6:K105,5,FALSE)-AU86)/1000,3),IF(AND(NOT(ISNA(VLOOKUP(AQ86,M6:Q105,5,FALSE))),AR86="",AS86&lt;&gt;""),ROUND((VLOOKUP(AQ86,M6:Q105,5,FALSE)-AU86)/1000,3),IF(AND(NOT(ISNA(VLOOKUP(AQ86,S6:W105,5,FALSE))),AR86="",AS86&lt;&gt;""),ROUND((VLOOKUP(AQ86,S6:W105,5,FALSE)-AU86)/1000,3),IF(AND(NOT(ISNA(VLOOKUP(AQ86,Y6:AC105,5,FALSE))),AR86="",AS86&lt;&gt;""),ROUND((VLOOKUP(AQ86,Y6:AC105,5,FALSE)-AU86)/1000,3),IF(AND(NOT(ISNA(VLOOKUP(AQ86,AE6:AI105,5,FALSE))),AR86="",AS86&lt;&gt;""),ROUND((VLOOKUP(AQ86,AE6:AI105,5,FALSE)-AU86)/1000,3),IF(AND(NOT(ISNA(VLOOKUP(AQ86,AK6:AO105,5,FALSE))),AR86="",AS86&lt;&gt;""),ROUND((VLOOKUP(AQ86,AK6:AO105,5,FALSE)-AU86)/1000,3),IF(AND(NOT(ISNA(VLOOKUP(AQ86,AQ6:AU85,5,FALSE))),AR86="",AS86&lt;&gt;""),ROUND((VLOOKUP(AQ86,AQ6:AU85,5,FALSE)-AU86)/1000,3),""))))))))</f>
        <v/>
      </c>
      <c r="AW86" s="64">
        <f>IF(AW85="","",AW85+1)</f>
        <v>880</v>
      </c>
      <c r="AX86" s="38"/>
      <c r="AY86" s="38"/>
      <c r="AZ86" s="17" t="str">
        <f>IF(AND(AX86&lt;&gt;"",AY86&lt;&gt;""),ROUND(AX86,3)+ROUND(AZ85,3)-ROUND(AY86,3),IF(AND(EXACT(UPPER(AW86),"TBM"),AX86&lt;&gt;""),ROUND(AX86,3),IF(AX86="",AZ85,IF(ISNA(VLOOKUP(AW86,A6:E105,5,FALSE)),IF(ISNA(VLOOKUP(AW86,G6:K105,5,FALSE)),IF(ISNA(VLOOKUP(AW86,M6:Q105,5,FALSE)),IF(ISNA(VLOOKUP(AW86,S6:W105,5,FALSE)),IF(ISNA(VLOOKUP(AW86,Y6:AC105,5,FALSE)),IF(ISNA(VLOOKUP(AW86,AE6:AI105,5,FALSE)),IF(ISNA(VLOOKUP(AW86,AK6:AO105,5,FALSE)),IF(ISNA(VLOOKUP(AW86,AQ6:AU105,5,FALSE)),IF(ISNA(VLOOKUP(AW86,AW6:BA85,5,FALSE)),"",ROUND(VLOOKUP(AW86,AW6:BA85,5,FALSE),0)/1000+ROUND(AX86,3)),ROUND(VLOOKUP(AW86,AQ6:AU105,5,FALSE),0)/1000+ROUND(AX86,3)),ROUND(VLOOKUP(AW86,AK6:AO105,5,FALSE),0)/1000+ROUND(AX86,3)),ROUND(VLOOKUP(AW86,AE6:AI105,5,FALSE),0)/1000+ROUND(AX86,3)),ROUND(VLOOKUP(AW86,Y6:AC105,5,FALSE),0)/1000+ROUND(AX86,3)),ROUND(VLOOKUP(AW86,S6:W105,5,FALSE),0)/1000+ROUND(AX86,3)),ROUND(VLOOKUP(AW86,M6:Q105,5,FALSE),0)/1000+ROUND(AX86,3)),ROUND(VLOOKUP(AW86,G6:K105,5,FALSE),0)/1000+ROUND(AX86,3)),ROUND(VLOOKUP(AW86,A6:E105,5,FALSE),0)/1000+ROUND(AX86,3)))))</f>
        <v/>
      </c>
      <c r="BA86" s="18" t="str">
        <f>IF(OR(NOT(EXACT(UPPER(AW86),"TBM")),AX86=""),IF(AND(AX86&lt;&gt;"",AY86="",AZ86&lt;&gt;""),"",IF(AND(AX86="",AY86&lt;&gt;"",AZ86&lt;&gt;""),ROUND(ROUND(AZ86,3)-ROUND(AY86,3),3)*1000,IF(AND(AX86&lt;&gt;"",AY86&lt;&gt;"",AZ86&lt;&gt;""),ROUND(ROUND(AZ85,3)-ROUND(AY86,3),3)*1000,""))),"")</f>
        <v/>
      </c>
      <c r="BB86" s="66" t="str">
        <f>IF(AND(NOT(ISNA(VLOOKUP(AW86,A6:E105,5,FALSE))),AX86="",AY86&lt;&gt;""),ROUND((VLOOKUP(AW86,A6:E105,5,FALSE)-BA86)/1000,3),IF(AND(NOT(ISNA(VLOOKUP(AW86,G6:K105,5,FALSE))),AX86="",AY86&lt;&gt;""),ROUND((VLOOKUP(AW86,G6:K105,5,FALSE)-BA86)/1000,3),IF(AND(NOT(ISNA(VLOOKUP(AW86,M6:Q105,5,FALSE))),AX86="",AY86&lt;&gt;""),ROUND((VLOOKUP(AW86,M6:Q105,5,FALSE)-BA86)/1000,3),IF(AND(NOT(ISNA(VLOOKUP(AW86,S6:W105,5,FALSE))),AX86="",AY86&lt;&gt;""),ROUND((VLOOKUP(AW86,S6:W105,5,FALSE)-BA86)/1000,3),IF(AND(NOT(ISNA(VLOOKUP(AW86,Y6:AC105,5,FALSE))),AX86="",AY86&lt;&gt;""),ROUND((VLOOKUP(AW86,Y6:AC105,5,FALSE)-BA86)/1000,3),IF(AND(NOT(ISNA(VLOOKUP(AW86,AE6:AI105,5,FALSE))),AX86="",AY86&lt;&gt;""),ROUND((VLOOKUP(AW86,AE6:AI105,5,FALSE)-BA86)/1000,3),IF(AND(NOT(ISNA(VLOOKUP(AW86,AK6:AO105,5,FALSE))),AX86="",AY86&lt;&gt;""),ROUND((VLOOKUP(AW86,AK6:AO105,5,FALSE)-BA86)/1000,3),IF(AND(NOT(ISNA(VLOOKUP(AW86,AQ6:AU105,5,FALSE))),AX86="",AY86&lt;&gt;""),ROUND((VLOOKUP(AW86,AQ6:AU105,5,FALSE)-BA86)/1000,3),IF(AND(NOT(ISNA(VLOOKUP(AW86,AW6:BA85,5,FALSE))),AX86="",AY86&lt;&gt;""),ROUND((VLOOKUP(AW86,AW6:BA85,5,FALSE)-BA86)/1000,3),"")))))))))</f>
        <v/>
      </c>
      <c r="BC86" s="64">
        <f>IF(BC85="","",BC85+1)</f>
        <v>980</v>
      </c>
      <c r="BD86" s="38"/>
      <c r="BE86" s="38"/>
      <c r="BF86" s="17" t="str">
        <f>IF(AND(BD86&lt;&gt;"",BE86&lt;&gt;""),ROUND(BD86,3)+ROUND(BF85,3)-ROUND(BE86,3),IF(AND(EXACT(UPPER(BC86),"TBM"),BD86&lt;&gt;""),ROUND(BD86,3),IF(BD86="",BF85,IF(ISNA(VLOOKUP(BC86,A6:E105,5,FALSE)),IF(ISNA(VLOOKUP(BC86,G6:K105,5,FALSE)),IF(ISNA(VLOOKUP(BC86,M6:Q105,5,FALSE)),IF(ISNA(VLOOKUP(BC86,S6:W105,5,FALSE)),IF(ISNA(VLOOKUP(BC86,Y6:AC105,5,FALSE)),IF(ISNA(VLOOKUP(BC86,AE6:AI105,5,FALSE)),IF(ISNA(VLOOKUP(BC86,AK6:AO105,5,FALSE)),IF(ISNA(VLOOKUP(BC86,AQ6:AU105,5,FALSE)),IF(ISNA(VLOOKUP(BC86,AW6:BA105,5,FALSE)),IF(ISNA(VLOOKUP(BC86,BC6:BG85,5,FALSE)),"",ROUND(VLOOKUP(BC86,BC6:BG85,5,FALSE),0)/1000+ROUND(BD86,3)),ROUND(VLOOKUP(BC86,AW6:BA105,5,FALSE),0)/1000+ROUND(BD86,3)),ROUND(VLOOKUP(BC86,AQ6:AU105,5,FALSE),0)/1000+ROUND(BD86,3)),ROUND(VLOOKUP(BC86,AK6:AO105,5,FALSE),0)/1000+ROUND(BD86,3)),ROUND(VLOOKUP(BC86,AE6:AI105,5,FALSE),0)/1000+ROUND(BD86,3)),ROUND(VLOOKUP(BC86,Y6:AC105,5,FALSE),0)/1000+ROUND(BD86,3)),ROUND(VLOOKUP(BC86,S6:W105,5,FALSE),0)/1000+ROUND(BD86,3)),ROUND(VLOOKUP(BC86,M6:Q105,5,FALSE),0)/1000+ROUND(BD86,3)),ROUND(VLOOKUP(BC86,G6:K105,5,FALSE),0)/1000+ROUND(BD86,3)),ROUND(VLOOKUP(BC86,A6:E105,5,FALSE),0)/1000+ROUND(BD86,3)))))</f>
        <v/>
      </c>
      <c r="BG86" s="18" t="str">
        <f>IF(OR(NOT(EXACT(UPPER(BC86),"TBM")),BD86=""),IF(AND(BD86&lt;&gt;"",BE86="",BF86&lt;&gt;""),"",IF(AND(BD86="",BE86&lt;&gt;"",BF86&lt;&gt;""),ROUND(ROUND(BF86,3)-ROUND(BE86,3),3)*1000,IF(AND(BD86&lt;&gt;"",BE86&lt;&gt;"",BF86&lt;&gt;""),ROUND(ROUND(BF85,3)-ROUND(BE86,3),3)*1000,""))),"")</f>
        <v/>
      </c>
      <c r="BH86" s="66" t="str">
        <f>IF(AND(NOT(ISNA(VLOOKUP(BC86,A6:E105,5,FALSE))),BD86="",BE86&lt;&gt;""),ROUND((VLOOKUP(BC86,A6:E105,5,FALSE)-BG86)/1000,3),IF(AND(NOT(ISNA(VLOOKUP(BC86,G6:K105,5,FALSE))),BD86="",BE86&lt;&gt;""),ROUND((VLOOKUP(BC86,G6:K105,5,FALSE)-BG86)/1000,3),IF(AND(NOT(ISNA(VLOOKUP(BC86,M6:Q105,5,FALSE))),BD86="",BE86&lt;&gt;""),ROUND((VLOOKUP(BC86,M6:Q105,5,FALSE)-BG86)/1000,3),IF(AND(NOT(ISNA(VLOOKUP(BC86,S6:W105,5,FALSE))),BD86="",BE86&lt;&gt;""),ROUND((VLOOKUP(BC86,S6:W105,5,FALSE)-BG86)/1000,3),IF(AND(NOT(ISNA(VLOOKUP(BC86,Y6:AC105,5,FALSE))),BD86="",BE86&lt;&gt;""),ROUND((VLOOKUP(BC86,Y6:AC105,5,FALSE)-BG86)/1000,3),IF(AND(NOT(ISNA(VLOOKUP(BC86,AE6:AI105,5,FALSE))),BD86="",BE86&lt;&gt;""),ROUND((VLOOKUP(BC86,AE6:AI105,5,FALSE)-BG86)/1000,3),IF(AND(NOT(ISNA(VLOOKUP(BC86,AK6:AO105,5,FALSE))),BD86="",BE86&lt;&gt;""),ROUND((VLOOKUP(BC86,AK6:AO105,5,FALSE)-BG86)/1000,3),IF(AND(NOT(ISNA(VLOOKUP(BC86,AQ6:AU105,5,FALSE))),BD86="",BE86&lt;&gt;""),ROUND((VLOOKUP(BC86,AQ6:AU105,5,FALSE)-BG86)/1000,3),IF(AND(NOT(ISNA(VLOOKUP(BC86,AW6:BA105,5,FALSE))),BD86="",BE86&lt;&gt;""),ROUND((VLOOKUP(BC86,AW6:BA105,5,FALSE)-BG86)/1000,3),IF(AND(NOT(ISNA(VLOOKUP(BC86,BC6:BG85,5,FALSE))),BD86="",BE86&lt;&gt;""),ROUND((VLOOKUP(BC86,BC6:BG85,5,FALSE)-BG86)/1000,3),""))))))))))</f>
        <v/>
      </c>
    </row>
    <row r="87" spans="1:60" x14ac:dyDescent="0.25">
      <c r="A87" s="19">
        <f t="shared" si="9"/>
        <v>81</v>
      </c>
      <c r="B87" s="39"/>
      <c r="C87" s="39"/>
      <c r="D87" s="15" t="str">
        <f>IF(AND(B87&lt;&gt;"",C87&lt;&gt;""),ROUND(B87,3)+ROUND(D86,3)-ROUND(C87,3),IF(AND(EXACT(UPPER(A87),"TBM"),B87&lt;&gt;""),ROUND(B87,3),IF(B87="",D86,IF(ISNA(VLOOKUP(A87,A6:E86,5,FALSE)),"",ROUND(VLOOKUP(A87,A6:E86,5,FALSE),0)/1000+ROUND(B87,3)))))</f>
        <v/>
      </c>
      <c r="E87" s="21" t="str">
        <f t="shared" si="6"/>
        <v/>
      </c>
      <c r="F87" s="45" t="str">
        <f>IF(AND(NOT(ISNA(VLOOKUP(A87,A6:E86,5,FALSE))),B87="",C87&lt;&gt;""),ROUND((VLOOKUP(A87,A6:E86,5,FALSE)-E87)/1000,3),"")</f>
        <v/>
      </c>
      <c r="G87" s="19">
        <f t="shared" si="7"/>
        <v>181</v>
      </c>
      <c r="H87" s="39"/>
      <c r="I87" s="39"/>
      <c r="J87" s="15" t="str">
        <f>IF(AND(H87&lt;&gt;"",I87&lt;&gt;""),ROUND(H87,3)+ROUND(J86,3)-ROUND(I87,3),IF(AND(EXACT(UPPER(G87),"TBM"),H87&lt;&gt;""),ROUND(H87,3),IF(H87="",J86,IF(ISNA(VLOOKUP(G87,A6:E105,5,FALSE)),IF(ISNA(VLOOKUP(G87,G6:K86,5,FALSE)),"",ROUND(VLOOKUP(G87,G6:K86,5,FALSE),0)/1000+ROUND(H87,3)),ROUND(VLOOKUP(G87,A6:E105,5,FALSE),0)/1000+ROUND(H87,3)))))</f>
        <v/>
      </c>
      <c r="K87" s="18" t="str">
        <f t="shared" si="8"/>
        <v/>
      </c>
      <c r="L87" s="45" t="str">
        <f>IF(AND(NOT(ISNA(VLOOKUP(G87,A6:E105,5,FALSE))),H87="",I87&lt;&gt;""),ROUND((VLOOKUP(G87,A6:E105,5,FALSE)-K87)/1000,3),IF(AND(NOT(ISNA(VLOOKUP(G87,G6:K86,5,FALSE))),H87="",I87&lt;&gt;""),ROUND((VLOOKUP(G87,G6:K86,5,FALSE)-K87)/1000,3),""))</f>
        <v/>
      </c>
      <c r="M87" s="19">
        <f>IF(M86="","",M86+1)</f>
        <v>281</v>
      </c>
      <c r="N87" s="39"/>
      <c r="O87" s="39"/>
      <c r="P87" s="15" t="str">
        <f>IF(AND(N87&lt;&gt;"",O87&lt;&gt;""),ROUND(N87,3)+ROUND(P86,3)-ROUND(O87,3),IF(AND(EXACT(UPPER(M87),"TBM"),N87&lt;&gt;""),ROUND(N87,3),IF(N87="",P86,IF(ISNA(VLOOKUP(M87,A6:E105,5,FALSE)),IF(ISNA(VLOOKUP(M87,G6:K105,5,FALSE)),IF(ISNA(VLOOKUP(M87,M6:Q86,5,FALSE)),"",ROUND(VLOOKUP(M87,M6:Q86,5,FALSE),0)/1000+ROUND(N87,3)),ROUND(VLOOKUP(M87,G6:K105,5,FALSE),0)/1000+ROUND(N87,3)),ROUND(VLOOKUP(M87,A6:E105,5,FALSE),0)/1000+ROUND(N87,3)))))</f>
        <v/>
      </c>
      <c r="Q87" s="18" t="str">
        <f>IF(OR(NOT(EXACT(UPPER(M87),"TBM")),N87=""),IF(AND(N87&lt;&gt;"",O87="",P87&lt;&gt;""),"",IF(AND(N87="",O87&lt;&gt;"",P87&lt;&gt;""),ROUND(ROUND(P87,3)-ROUND(O87,3),3)*1000,IF(AND(N87&lt;&gt;"",O87&lt;&gt;"",P87&lt;&gt;""),ROUND(ROUND(P86,3)-ROUND(O87,3),3)*1000,""))),"")</f>
        <v/>
      </c>
      <c r="R87" s="45" t="str">
        <f>IF(AND(NOT(ISNA(VLOOKUP(M87,A6:E105,5,FALSE))),N87="",O87&lt;&gt;""),ROUND((VLOOKUP(M87,A6:E105,5,FALSE)-Q87)/1000,3),IF(AND(NOT(ISNA(VLOOKUP(M87,G6:K105,5,FALSE))),N87="",O87&lt;&gt;""),ROUND((VLOOKUP(M87,G6:K105,5,FALSE)-Q87)/1000,3),IF(AND(NOT(ISNA(VLOOKUP(M87,M6:Q86,5,FALSE))),N87="",O87&lt;&gt;""),ROUND((VLOOKUP(M87,M6:Q86,5,FALSE)-Q87)/1000,3),"")))</f>
        <v/>
      </c>
      <c r="S87" s="19">
        <f>IF(S86="","",S86+1)</f>
        <v>381</v>
      </c>
      <c r="T87" s="39"/>
      <c r="U87" s="39"/>
      <c r="V87" s="15" t="str">
        <f>IF(AND(T87&lt;&gt;"",U87&lt;&gt;""),ROUND(T87,3)+ROUND(V86,3)-ROUND(U87,3),IF(AND(EXACT(UPPER(S87),"TBM"),T87&lt;&gt;""),ROUND(T87,3),IF(T87="",V86,IF(ISNA(VLOOKUP(S87,A6:E105,5,FALSE)),IF(ISNA(VLOOKUP(S87,G6:K105,5,FALSE)),IF(ISNA(VLOOKUP(S87,M6:Q105,5,FALSE)),IF(ISNA(VLOOKUP(S87,S6:W86,5,FALSE)),"",ROUND(VLOOKUP(S87,S6:W86,5,FALSE),0)/1000+ROUND(T87,3)),ROUND(VLOOKUP(S87,M6:Q105,5,FALSE),0)/1000+ROUND(T87,3)),ROUND(VLOOKUP(S87,G6:K105,5,FALSE),0)/1000+ROUND(T87,3)),ROUND(VLOOKUP(S87,A6:E105,5,FALSE),0)/1000+ROUND(T87,3)))))</f>
        <v/>
      </c>
      <c r="W87" s="18" t="str">
        <f>IF(OR(NOT(EXACT(UPPER(S87),"TBM")),T87=""),IF(AND(T87&lt;&gt;"",U87="",V87&lt;&gt;""),"",IF(AND(T87="",U87&lt;&gt;"",V87&lt;&gt;""),ROUND(ROUND(V87,3)-ROUND(U87,3),3)*1000,IF(AND(T87&lt;&gt;"",U87&lt;&gt;"",V87&lt;&gt;""),ROUND(ROUND(V86,3)-ROUND(U87,3),3)*1000,""))),"")</f>
        <v/>
      </c>
      <c r="X87" s="45" t="str">
        <f>IF(AND(NOT(ISNA(VLOOKUP(S87,A6:E105,5,FALSE))),T87="",U87&lt;&gt;""),ROUND((VLOOKUP(S87,A6:E105,5,FALSE)-W87)/1000,3),IF(AND(NOT(ISNA(VLOOKUP(S87,G6:K105,5,FALSE))),T87="",U87&lt;&gt;""),ROUND((VLOOKUP(S87,G6:K105,5,FALSE)-W87)/1000,3),IF(AND(NOT(ISNA(VLOOKUP(S87,M6:Q105,5,FALSE))),T87="",U87&lt;&gt;""),ROUND((VLOOKUP(S87,M6:Q105,5,FALSE)-W87)/1000,3),IF(AND(NOT(ISNA(VLOOKUP(S87,S6:W86,5,FALSE))),T87="",U87&lt;&gt;""),ROUND((VLOOKUP(S87,S6:W86,5,FALSE)-W87)/1000,3),""))))</f>
        <v/>
      </c>
      <c r="Y87" s="19">
        <f>IF(Y86="","",Y86+1)</f>
        <v>481</v>
      </c>
      <c r="Z87" s="39"/>
      <c r="AA87" s="39"/>
      <c r="AB87" s="15" t="str">
        <f>IF(AND(Z87&lt;&gt;"",AA87&lt;&gt;""),ROUND(Z87,3)+ROUND(AB86,3)-ROUND(AA87,3),IF(AND(EXACT(UPPER(Y87),"TBM"),Z87&lt;&gt;""),ROUND(Z87,3),IF(Z87="",AB86,IF(ISNA(VLOOKUP(Y87,A6:E105,5,FALSE)),IF(ISNA(VLOOKUP(Y87,G6:K105,5,FALSE)),IF(ISNA(VLOOKUP(Y87,M6:Q105,5,FALSE)),IF(ISNA(VLOOKUP(Y87,S6:W105,5,FALSE)),IF(ISNA(VLOOKUP(Y87,Y6:AC86,5,FALSE)),"",ROUND(VLOOKUP(Y87,Y6:AC86,5,FALSE),0)/1000+ROUND(Z87,3)),ROUND(VLOOKUP(Y87,S6:W105,5,FALSE),0)/1000+ROUND(Z87,3)),ROUND(VLOOKUP(Y87,M6:Q105,5,FALSE),0)/1000+ROUND(Z87,3)),ROUND(VLOOKUP(Y87,G6:K105,5,FALSE),0)/1000+ROUND(Z87,3)),ROUND(VLOOKUP(Y87,A6:E105,5,FALSE),0)/1000+ROUND(Z87,3)))))</f>
        <v/>
      </c>
      <c r="AC87" s="18" t="str">
        <f>IF(OR(NOT(EXACT(UPPER(Y87),"TBM")),Z87=""),IF(AND(Z87&lt;&gt;"",AA87="",AB87&lt;&gt;""),"",IF(AND(Z87="",AA87&lt;&gt;"",AB87&lt;&gt;""),ROUND(ROUND(AB87,3)-ROUND(AA87,3),3)*1000,IF(AND(Z87&lt;&gt;"",AA87&lt;&gt;"",AB87&lt;&gt;""),ROUND(ROUND(AB86,3)-ROUND(AA87,3),3)*1000,""))),"")</f>
        <v/>
      </c>
      <c r="AD87" s="45" t="str">
        <f>IF(AND(NOT(ISNA(VLOOKUP(Y87,A6:E105,5,FALSE))),Z87="",AA87&lt;&gt;""),ROUND((VLOOKUP(Y87,A6:E105,5,FALSE)-AC87)/1000,3),IF(AND(NOT(ISNA(VLOOKUP(Y87,G6:K105,5,FALSE))),Z87="",AA87&lt;&gt;""),ROUND((VLOOKUP(Y87,G6:K105,5,FALSE)-AC87)/1000,3),IF(AND(NOT(ISNA(VLOOKUP(Y87,M6:Q105,5,FALSE))),Z87="",AA87&lt;&gt;""),ROUND((VLOOKUP(Y87,M6:Q105,5,FALSE)-AC87)/1000,3),IF(AND(NOT(ISNA(VLOOKUP(Y87,S6:W105,5,FALSE))),Z87="",AA87&lt;&gt;""),ROUND((VLOOKUP(Y87,S6:W105,5,FALSE)-AC87)/1000,3),IF(AND(NOT(ISNA(VLOOKUP(Y87,Y6:AC86,5,FALSE))),Z87="",AA87&lt;&gt;""),ROUND((VLOOKUP(Y87,Y6:AC86,5,FALSE)-AC87)/1000,3),"")))))</f>
        <v/>
      </c>
      <c r="AE87" s="19">
        <f>IF(AE86="","",AE86+1)</f>
        <v>581</v>
      </c>
      <c r="AF87" s="39"/>
      <c r="AG87" s="39"/>
      <c r="AH87" s="15" t="str">
        <f>IF(AND(AF87&lt;&gt;"",AG87&lt;&gt;""),ROUND(AF87,3)+ROUND(AH86,3)-ROUND(AG87,3),IF(AND(EXACT(UPPER(AE87),"TBM"),AF87&lt;&gt;""),ROUND(AF87,3),IF(AF87="",AH86,IF(ISNA(VLOOKUP(AE87,A6:E105,5,FALSE)),IF(ISNA(VLOOKUP(AE87,G6:K105,5,FALSE)),IF(ISNA(VLOOKUP(AE87,M6:Q105,5,FALSE)),IF(ISNA(VLOOKUP(AE87,S6:W105,5,FALSE)),IF(ISNA(VLOOKUP(AE87,Y6:AC105,5,FALSE)),IF(ISNA(VLOOKUP(AE87,AE6:AI86,5,FALSE)),"",ROUND(VLOOKUP(AE87,AE6:AI86,5,FALSE),0)/1000+ROUND(AF87,3)),ROUND(VLOOKUP(AE87,Y6:AC105,5,FALSE),0)/1000+ROUND(AF87,3)),ROUND(VLOOKUP(AE87,S6:W105,5,FALSE),0)/1000+ROUND(AF87,3)),ROUND(VLOOKUP(AE87,M6:Q105,5,FALSE),0)/1000+ROUND(AF87,3)),ROUND(VLOOKUP(AE87,G6:K105,5,FALSE),0)/1000+ROUND(AF87,3)),ROUND(VLOOKUP(AE87,A6:E105,5,FALSE),0)/1000+ROUND(AF87,3)))))</f>
        <v/>
      </c>
      <c r="AI87" s="18" t="str">
        <f>IF(OR(NOT(EXACT(UPPER(AE87),"TBM")),AF87=""),IF(AND(AF87&lt;&gt;"",AG87="",AH87&lt;&gt;""),"",IF(AND(AF87="",AG87&lt;&gt;"",AH87&lt;&gt;""),ROUND(ROUND(AH87,3)-ROUND(AG87,3),3)*1000,IF(AND(AF87&lt;&gt;"",AG87&lt;&gt;"",AH87&lt;&gt;""),ROUND(ROUND(AH86,3)-ROUND(AG87,3),3)*1000,""))),"")</f>
        <v/>
      </c>
      <c r="AJ87" s="45" t="str">
        <f>IF(AND(NOT(ISNA(VLOOKUP(AE87,A6:E105,5,FALSE))),AF87="",AG87&lt;&gt;""),ROUND((VLOOKUP(AE87,A6:E105,5,FALSE)-AI87)/1000,3),IF(AND(NOT(ISNA(VLOOKUP(AE87,G6:K105,5,FALSE))),AF87="",AG87&lt;&gt;""),ROUND((VLOOKUP(AE87,G6:K105,5,FALSE)-AI87)/1000,3),IF(AND(NOT(ISNA(VLOOKUP(AE87,M6:Q105,5,FALSE))),AF87="",AG87&lt;&gt;""),ROUND((VLOOKUP(AE87,M6:Q105,5,FALSE)-AI87)/1000,3),IF(AND(NOT(ISNA(VLOOKUP(AE87,S6:W105,5,FALSE))),AF87="",AG87&lt;&gt;""),ROUND((VLOOKUP(AE87,S6:W105,5,FALSE)-AI87)/1000,3),IF(AND(NOT(ISNA(VLOOKUP(AE87,Y6:AC105,5,FALSE))),AF87="",AG87&lt;&gt;""),ROUND((VLOOKUP(AE87,Y6:AC105,5,FALSE)-AI87)/1000,3),IF(AND(NOT(ISNA(VLOOKUP(AE87,AE6:AI86,5,FALSE))),AF87="",AG87&lt;&gt;""),ROUND((VLOOKUP(AE87,AE6:AI86,5,FALSE)-AI87)/1000,3),""))))))</f>
        <v/>
      </c>
      <c r="AK87" s="19">
        <f>IF(AK86="","",AK86+1)</f>
        <v>681</v>
      </c>
      <c r="AL87" s="39"/>
      <c r="AM87" s="39"/>
      <c r="AN87" s="15" t="str">
        <f>IF(AND(AL87&lt;&gt;"",AM87&lt;&gt;""),ROUND(AL87,3)+ROUND(AN86,3)-ROUND(AM87,3),IF(AND(EXACT(UPPER(AK87),"TBM"),AL87&lt;&gt;""),ROUND(AL87,3),IF(AL87="",AN86,IF(ISNA(VLOOKUP(AK87,A6:E105,5,FALSE)),IF(ISNA(VLOOKUP(AK87,G6:K105,5,FALSE)),IF(ISNA(VLOOKUP(AK87,M6:Q105,5,FALSE)),IF(ISNA(VLOOKUP(AK87,S6:W105,5,FALSE)),IF(ISNA(VLOOKUP(AK87,Y6:AC105,5,FALSE)),IF(ISNA(VLOOKUP(AK87,AE6:AI105,5,FALSE)),IF(ISNA(VLOOKUP(AK87,AK6:AO86,5,FALSE)),"",ROUND(VLOOKUP(AK87,AK6:AO86,5,FALSE),0)/1000+ROUND(AL87,3)),ROUND(VLOOKUP(AK87,AE6:AI105,5,FALSE),0)/1000+ROUND(AL87,3)),ROUND(VLOOKUP(AK87,Y6:AC105,5,FALSE),0)/1000+ROUND(AL87,3)),ROUND(VLOOKUP(AK87,S6:W105,5,FALSE),0)/1000+ROUND(AL87,3)),ROUND(VLOOKUP(AK87,M6:Q105,5,FALSE),0)/1000+ROUND(AL87,3)),ROUND(VLOOKUP(AK87,G6:K105,5,FALSE),0)/1000+ROUND(AL87,3)),ROUND(VLOOKUP(AK87,A6:E105,5,FALSE),0)/1000+ROUND(AL87,3)))))</f>
        <v/>
      </c>
      <c r="AO87" s="18" t="str">
        <f>IF(OR(NOT(EXACT(UPPER(AK87),"TBM")),AL87=""),IF(AND(AL87&lt;&gt;"",AM87="",AN87&lt;&gt;""),"",IF(AND(AL87="",AM87&lt;&gt;"",AN87&lt;&gt;""),ROUND(ROUND(AN87,3)-ROUND(AM87,3),3)*1000,IF(AND(AL87&lt;&gt;"",AM87&lt;&gt;"",AN87&lt;&gt;""),ROUND(ROUND(AN86,3)-ROUND(AM87,3),3)*1000,""))),"")</f>
        <v/>
      </c>
      <c r="AP87" s="45" t="str">
        <f>IF(AND(NOT(ISNA(VLOOKUP(AK87,A6:E105,5,FALSE))),AL87="",AM87&lt;&gt;""),ROUND((VLOOKUP(AK87,A6:E105,5,FALSE)-AO87)/1000,3),IF(AND(NOT(ISNA(VLOOKUP(AK87,G6:K105,5,FALSE))),AL87="",AM87&lt;&gt;""),ROUND((VLOOKUP(AK87,G6:K105,5,FALSE)-AO87)/1000,3),IF(AND(NOT(ISNA(VLOOKUP(AK87,M6:Q105,5,FALSE))),AL87="",AM87&lt;&gt;""),ROUND((VLOOKUP(AK87,M6:Q105,5,FALSE)-AO87)/1000,3),IF(AND(NOT(ISNA(VLOOKUP(AK87,S6:W105,5,FALSE))),AL87="",AM87&lt;&gt;""),ROUND((VLOOKUP(AK87,S6:W105,5,FALSE)-AO87)/1000,3),IF(AND(NOT(ISNA(VLOOKUP(AK87,Y6:AC105,5,FALSE))),AL87="",AM87&lt;&gt;""),ROUND((VLOOKUP(AK87,Y6:AC105,5,FALSE)-AO87)/1000,3),IF(AND(NOT(ISNA(VLOOKUP(AK87,AE6:AI105,5,FALSE))),AL87="",AM87&lt;&gt;""),ROUND((VLOOKUP(AK87,AE6:AI105,5,FALSE)-AO87)/1000,3),IF(AND(NOT(ISNA(VLOOKUP(AK87,AK6:AO86,5,FALSE))),AL87="",AM87&lt;&gt;""),ROUND((VLOOKUP(AK87,AK6:AO86,5,FALSE)-AO87)/1000,3),"")))))))</f>
        <v/>
      </c>
      <c r="AQ87" s="19">
        <f>IF(AQ86="","",AQ86+1)</f>
        <v>781</v>
      </c>
      <c r="AR87" s="39"/>
      <c r="AS87" s="39"/>
      <c r="AT87" s="15" t="str">
        <f>IF(AND(AR87&lt;&gt;"",AS87&lt;&gt;""),ROUND(AR87,3)+ROUND(AT86,3)-ROUND(AS87,3),IF(AND(EXACT(UPPER(AQ87),"TBM"),AR87&lt;&gt;""),ROUND(AR87,3),IF(AR87="",AT86,IF(ISNA(VLOOKUP(AQ87,A6:E105,5,FALSE)),IF(ISNA(VLOOKUP(AQ87,G6:K105,5,FALSE)),IF(ISNA(VLOOKUP(AQ87,M6:Q105,5,FALSE)),IF(ISNA(VLOOKUP(AQ87,S6:W105,5,FALSE)),IF(ISNA(VLOOKUP(AQ87,Y6:AC105,5,FALSE)),IF(ISNA(VLOOKUP(AQ87,AE6:AI105,5,FALSE)),IF(ISNA(VLOOKUP(AQ87,AK6:AO105,5,FALSE)),IF(ISNA(VLOOKUP(AQ87,AQ6:AU86,5,FALSE)),"",ROUND(VLOOKUP(AQ87,AQ6:AU86,5,FALSE),0)/1000+ROUND(AR87,3)),ROUND(VLOOKUP(AQ87,AK6:AO105,5,FALSE),0)/1000+ROUND(AR87,3)),ROUND(VLOOKUP(AQ87,AE6:AI105,5,FALSE),0)/1000+ROUND(AR87,3)),ROUND(VLOOKUP(AQ87,Y6:AC105,5,FALSE),0)/1000+ROUND(AR87,3)),ROUND(VLOOKUP(AQ87,S6:W105,5,FALSE),0)/1000+ROUND(AR87,3)),ROUND(VLOOKUP(AQ87,M6:Q105,5,FALSE),0)/1000+ROUND(AR87,3)),ROUND(VLOOKUP(AQ87,G6:K105,5,FALSE),0)/1000+ROUND(AR87,3)),ROUND(VLOOKUP(AQ87,A6:E105,5,FALSE),0)/1000+ROUND(AR87,3)))))</f>
        <v/>
      </c>
      <c r="AU87" s="18" t="str">
        <f>IF(OR(NOT(EXACT(UPPER(AQ87),"TBM")),AR87=""),IF(AND(AR87&lt;&gt;"",AS87="",AT87&lt;&gt;""),"",IF(AND(AR87="",AS87&lt;&gt;"",AT87&lt;&gt;""),ROUND(ROUND(AT87,3)-ROUND(AS87,3),3)*1000,IF(AND(AR87&lt;&gt;"",AS87&lt;&gt;"",AT87&lt;&gt;""),ROUND(ROUND(AT86,3)-ROUND(AS87,3),3)*1000,""))),"")</f>
        <v/>
      </c>
      <c r="AV87" s="45" t="str">
        <f>IF(AND(NOT(ISNA(VLOOKUP(AQ87,A6:E105,5,FALSE))),AR87="",AS87&lt;&gt;""),ROUND((VLOOKUP(AQ87,A6:E105,5,FALSE)-AU87)/1000,3),IF(AND(NOT(ISNA(VLOOKUP(AQ87,G6:K105,5,FALSE))),AR87="",AS87&lt;&gt;""),ROUND((VLOOKUP(AQ87,G6:K105,5,FALSE)-AU87)/1000,3),IF(AND(NOT(ISNA(VLOOKUP(AQ87,M6:Q105,5,FALSE))),AR87="",AS87&lt;&gt;""),ROUND((VLOOKUP(AQ87,M6:Q105,5,FALSE)-AU87)/1000,3),IF(AND(NOT(ISNA(VLOOKUP(AQ87,S6:W105,5,FALSE))),AR87="",AS87&lt;&gt;""),ROUND((VLOOKUP(AQ87,S6:W105,5,FALSE)-AU87)/1000,3),IF(AND(NOT(ISNA(VLOOKUP(AQ87,Y6:AC105,5,FALSE))),AR87="",AS87&lt;&gt;""),ROUND((VLOOKUP(AQ87,Y6:AC105,5,FALSE)-AU87)/1000,3),IF(AND(NOT(ISNA(VLOOKUP(AQ87,AE6:AI105,5,FALSE))),AR87="",AS87&lt;&gt;""),ROUND((VLOOKUP(AQ87,AE6:AI105,5,FALSE)-AU87)/1000,3),IF(AND(NOT(ISNA(VLOOKUP(AQ87,AK6:AO105,5,FALSE))),AR87="",AS87&lt;&gt;""),ROUND((VLOOKUP(AQ87,AK6:AO105,5,FALSE)-AU87)/1000,3),IF(AND(NOT(ISNA(VLOOKUP(AQ87,AQ6:AU86,5,FALSE))),AR87="",AS87&lt;&gt;""),ROUND((VLOOKUP(AQ87,AQ6:AU86,5,FALSE)-AU87)/1000,3),""))))))))</f>
        <v/>
      </c>
      <c r="AW87" s="19">
        <f>IF(AW86="","",AW86+1)</f>
        <v>881</v>
      </c>
      <c r="AX87" s="39"/>
      <c r="AY87" s="39"/>
      <c r="AZ87" s="15" t="str">
        <f>IF(AND(AX87&lt;&gt;"",AY87&lt;&gt;""),ROUND(AX87,3)+ROUND(AZ86,3)-ROUND(AY87,3),IF(AND(EXACT(UPPER(AW87),"TBM"),AX87&lt;&gt;""),ROUND(AX87,3),IF(AX87="",AZ86,IF(ISNA(VLOOKUP(AW87,A6:E105,5,FALSE)),IF(ISNA(VLOOKUP(AW87,G6:K105,5,FALSE)),IF(ISNA(VLOOKUP(AW87,M6:Q105,5,FALSE)),IF(ISNA(VLOOKUP(AW87,S6:W105,5,FALSE)),IF(ISNA(VLOOKUP(AW87,Y6:AC105,5,FALSE)),IF(ISNA(VLOOKUP(AW87,AE6:AI105,5,FALSE)),IF(ISNA(VLOOKUP(AW87,AK6:AO105,5,FALSE)),IF(ISNA(VLOOKUP(AW87,AQ6:AU105,5,FALSE)),IF(ISNA(VLOOKUP(AW87,AW6:BA86,5,FALSE)),"",ROUND(VLOOKUP(AW87,AW6:BA86,5,FALSE),0)/1000+ROUND(AX87,3)),ROUND(VLOOKUP(AW87,AQ6:AU105,5,FALSE),0)/1000+ROUND(AX87,3)),ROUND(VLOOKUP(AW87,AK6:AO105,5,FALSE),0)/1000+ROUND(AX87,3)),ROUND(VLOOKUP(AW87,AE6:AI105,5,FALSE),0)/1000+ROUND(AX87,3)),ROUND(VLOOKUP(AW87,Y6:AC105,5,FALSE),0)/1000+ROUND(AX87,3)),ROUND(VLOOKUP(AW87,S6:W105,5,FALSE),0)/1000+ROUND(AX87,3)),ROUND(VLOOKUP(AW87,M6:Q105,5,FALSE),0)/1000+ROUND(AX87,3)),ROUND(VLOOKUP(AW87,G6:K105,5,FALSE),0)/1000+ROUND(AX87,3)),ROUND(VLOOKUP(AW87,A6:E105,5,FALSE),0)/1000+ROUND(AX87,3)))))</f>
        <v/>
      </c>
      <c r="BA87" s="18" t="str">
        <f>IF(OR(NOT(EXACT(UPPER(AW87),"TBM")),AX87=""),IF(AND(AX87&lt;&gt;"",AY87="",AZ87&lt;&gt;""),"",IF(AND(AX87="",AY87&lt;&gt;"",AZ87&lt;&gt;""),ROUND(ROUND(AZ87,3)-ROUND(AY87,3),3)*1000,IF(AND(AX87&lt;&gt;"",AY87&lt;&gt;"",AZ87&lt;&gt;""),ROUND(ROUND(AZ86,3)-ROUND(AY87,3),3)*1000,""))),"")</f>
        <v/>
      </c>
      <c r="BB87" s="45" t="str">
        <f>IF(AND(NOT(ISNA(VLOOKUP(AW87,A6:E105,5,FALSE))),AX87="",AY87&lt;&gt;""),ROUND((VLOOKUP(AW87,A6:E105,5,FALSE)-BA87)/1000,3),IF(AND(NOT(ISNA(VLOOKUP(AW87,G6:K105,5,FALSE))),AX87="",AY87&lt;&gt;""),ROUND((VLOOKUP(AW87,G6:K105,5,FALSE)-BA87)/1000,3),IF(AND(NOT(ISNA(VLOOKUP(AW87,M6:Q105,5,FALSE))),AX87="",AY87&lt;&gt;""),ROUND((VLOOKUP(AW87,M6:Q105,5,FALSE)-BA87)/1000,3),IF(AND(NOT(ISNA(VLOOKUP(AW87,S6:W105,5,FALSE))),AX87="",AY87&lt;&gt;""),ROUND((VLOOKUP(AW87,S6:W105,5,FALSE)-BA87)/1000,3),IF(AND(NOT(ISNA(VLOOKUP(AW87,Y6:AC105,5,FALSE))),AX87="",AY87&lt;&gt;""),ROUND((VLOOKUP(AW87,Y6:AC105,5,FALSE)-BA87)/1000,3),IF(AND(NOT(ISNA(VLOOKUP(AW87,AE6:AI105,5,FALSE))),AX87="",AY87&lt;&gt;""),ROUND((VLOOKUP(AW87,AE6:AI105,5,FALSE)-BA87)/1000,3),IF(AND(NOT(ISNA(VLOOKUP(AW87,AK6:AO105,5,FALSE))),AX87="",AY87&lt;&gt;""),ROUND((VLOOKUP(AW87,AK6:AO105,5,FALSE)-BA87)/1000,3),IF(AND(NOT(ISNA(VLOOKUP(AW87,AQ6:AU105,5,FALSE))),AX87="",AY87&lt;&gt;""),ROUND((VLOOKUP(AW87,AQ6:AU105,5,FALSE)-BA87)/1000,3),IF(AND(NOT(ISNA(VLOOKUP(AW87,AW6:BA86,5,FALSE))),AX87="",AY87&lt;&gt;""),ROUND((VLOOKUP(AW87,AW6:BA86,5,FALSE)-BA87)/1000,3),"")))))))))</f>
        <v/>
      </c>
      <c r="BC87" s="19">
        <f>IF(BC86="","",BC86+1)</f>
        <v>981</v>
      </c>
      <c r="BD87" s="39"/>
      <c r="BE87" s="39"/>
      <c r="BF87" s="15" t="str">
        <f>IF(AND(BD87&lt;&gt;"",BE87&lt;&gt;""),ROUND(BD87,3)+ROUND(BF86,3)-ROUND(BE87,3),IF(AND(EXACT(UPPER(BC87),"TBM"),BD87&lt;&gt;""),ROUND(BD87,3),IF(BD87="",BF86,IF(ISNA(VLOOKUP(BC87,A6:E105,5,FALSE)),IF(ISNA(VLOOKUP(BC87,G6:K105,5,FALSE)),IF(ISNA(VLOOKUP(BC87,M6:Q105,5,FALSE)),IF(ISNA(VLOOKUP(BC87,S6:W105,5,FALSE)),IF(ISNA(VLOOKUP(BC87,Y6:AC105,5,FALSE)),IF(ISNA(VLOOKUP(BC87,AE6:AI105,5,FALSE)),IF(ISNA(VLOOKUP(BC87,AK6:AO105,5,FALSE)),IF(ISNA(VLOOKUP(BC87,AQ6:AU105,5,FALSE)),IF(ISNA(VLOOKUP(BC87,AW6:BA105,5,FALSE)),IF(ISNA(VLOOKUP(BC87,BC6:BG86,5,FALSE)),"",ROUND(VLOOKUP(BC87,BC6:BG86,5,FALSE),0)/1000+ROUND(BD87,3)),ROUND(VLOOKUP(BC87,AW6:BA105,5,FALSE),0)/1000+ROUND(BD87,3)),ROUND(VLOOKUP(BC87,AQ6:AU105,5,FALSE),0)/1000+ROUND(BD87,3)),ROUND(VLOOKUP(BC87,AK6:AO105,5,FALSE),0)/1000+ROUND(BD87,3)),ROUND(VLOOKUP(BC87,AE6:AI105,5,FALSE),0)/1000+ROUND(BD87,3)),ROUND(VLOOKUP(BC87,Y6:AC105,5,FALSE),0)/1000+ROUND(BD87,3)),ROUND(VLOOKUP(BC87,S6:W105,5,FALSE),0)/1000+ROUND(BD87,3)),ROUND(VLOOKUP(BC87,M6:Q105,5,FALSE),0)/1000+ROUND(BD87,3)),ROUND(VLOOKUP(BC87,G6:K105,5,FALSE),0)/1000+ROUND(BD87,3)),ROUND(VLOOKUP(BC87,A6:E105,5,FALSE),0)/1000+ROUND(BD87,3)))))</f>
        <v/>
      </c>
      <c r="BG87" s="18" t="str">
        <f>IF(OR(NOT(EXACT(UPPER(BC87),"TBM")),BD87=""),IF(AND(BD87&lt;&gt;"",BE87="",BF87&lt;&gt;""),"",IF(AND(BD87="",BE87&lt;&gt;"",BF87&lt;&gt;""),ROUND(ROUND(BF87,3)-ROUND(BE87,3),3)*1000,IF(AND(BD87&lt;&gt;"",BE87&lt;&gt;"",BF87&lt;&gt;""),ROUND(ROUND(BF86,3)-ROUND(BE87,3),3)*1000,""))),"")</f>
        <v/>
      </c>
      <c r="BH87" s="45" t="str">
        <f>IF(AND(NOT(ISNA(VLOOKUP(BC87,A6:E105,5,FALSE))),BD87="",BE87&lt;&gt;""),ROUND((VLOOKUP(BC87,A6:E105,5,FALSE)-BG87)/1000,3),IF(AND(NOT(ISNA(VLOOKUP(BC87,G6:K105,5,FALSE))),BD87="",BE87&lt;&gt;""),ROUND((VLOOKUP(BC87,G6:K105,5,FALSE)-BG87)/1000,3),IF(AND(NOT(ISNA(VLOOKUP(BC87,M6:Q105,5,FALSE))),BD87="",BE87&lt;&gt;""),ROUND((VLOOKUP(BC87,M6:Q105,5,FALSE)-BG87)/1000,3),IF(AND(NOT(ISNA(VLOOKUP(BC87,S6:W105,5,FALSE))),BD87="",BE87&lt;&gt;""),ROUND((VLOOKUP(BC87,S6:W105,5,FALSE)-BG87)/1000,3),IF(AND(NOT(ISNA(VLOOKUP(BC87,Y6:AC105,5,FALSE))),BD87="",BE87&lt;&gt;""),ROUND((VLOOKUP(BC87,Y6:AC105,5,FALSE)-BG87)/1000,3),IF(AND(NOT(ISNA(VLOOKUP(BC87,AE6:AI105,5,FALSE))),BD87="",BE87&lt;&gt;""),ROUND((VLOOKUP(BC87,AE6:AI105,5,FALSE)-BG87)/1000,3),IF(AND(NOT(ISNA(VLOOKUP(BC87,AK6:AO105,5,FALSE))),BD87="",BE87&lt;&gt;""),ROUND((VLOOKUP(BC87,AK6:AO105,5,FALSE)-BG87)/1000,3),IF(AND(NOT(ISNA(VLOOKUP(BC87,AQ6:AU105,5,FALSE))),BD87="",BE87&lt;&gt;""),ROUND((VLOOKUP(BC87,AQ6:AU105,5,FALSE)-BG87)/1000,3),IF(AND(NOT(ISNA(VLOOKUP(BC87,AW6:BA105,5,FALSE))),BD87="",BE87&lt;&gt;""),ROUND((VLOOKUP(BC87,AW6:BA105,5,FALSE)-BG87)/1000,3),IF(AND(NOT(ISNA(VLOOKUP(BC87,BC6:BG86,5,FALSE))),BD87="",BE87&lt;&gt;""),ROUND((VLOOKUP(BC87,BC6:BG86,5,FALSE)-BG87)/1000,3),""))))))))))</f>
        <v/>
      </c>
    </row>
    <row r="88" spans="1:60" x14ac:dyDescent="0.25">
      <c r="A88" s="19">
        <f t="shared" si="9"/>
        <v>82</v>
      </c>
      <c r="B88" s="39"/>
      <c r="C88" s="39"/>
      <c r="D88" s="15" t="str">
        <f>IF(AND(B88&lt;&gt;"",C88&lt;&gt;""),ROUND(B88,3)+ROUND(D87,3)-ROUND(C88,3),IF(AND(EXACT(UPPER(A88),"TBM"),B88&lt;&gt;""),ROUND(B88,3),IF(B88="",D87,IF(ISNA(VLOOKUP(A88,A6:E87,5,FALSE)),"",ROUND(VLOOKUP(A88,A6:E87,5,FALSE),0)/1000+ROUND(B88,3)))))</f>
        <v/>
      </c>
      <c r="E88" s="21" t="str">
        <f t="shared" si="6"/>
        <v/>
      </c>
      <c r="F88" s="45" t="str">
        <f>IF(AND(NOT(ISNA(VLOOKUP(A88,A6:E87,5,FALSE))),B88="",C88&lt;&gt;""),ROUND((VLOOKUP(A88,A6:E87,5,FALSE)-E88)/1000,3),"")</f>
        <v/>
      </c>
      <c r="G88" s="19">
        <f t="shared" si="7"/>
        <v>182</v>
      </c>
      <c r="H88" s="39"/>
      <c r="I88" s="39"/>
      <c r="J88" s="15" t="str">
        <f>IF(AND(H88&lt;&gt;"",I88&lt;&gt;""),ROUND(H88,3)+ROUND(J87,3)-ROUND(I88,3),IF(AND(EXACT(UPPER(G88),"TBM"),H88&lt;&gt;""),ROUND(H88,3),IF(H88="",J87,IF(ISNA(VLOOKUP(G88,A6:E105,5,FALSE)),IF(ISNA(VLOOKUP(G88,G6:K87,5,FALSE)),"",ROUND(VLOOKUP(G88,G6:K87,5,FALSE),0)/1000+ROUND(H88,3)),ROUND(VLOOKUP(G88,A6:E105,5,FALSE),0)/1000+ROUND(H88,3)))))</f>
        <v/>
      </c>
      <c r="K88" s="18" t="str">
        <f t="shared" si="8"/>
        <v/>
      </c>
      <c r="L88" s="45" t="str">
        <f>IF(AND(NOT(ISNA(VLOOKUP(G88,A6:E105,5,FALSE))),H88="",I88&lt;&gt;""),ROUND((VLOOKUP(G88,A6:E105,5,FALSE)-K88)/1000,3),IF(AND(NOT(ISNA(VLOOKUP(G88,G6:K87,5,FALSE))),H88="",I88&lt;&gt;""),ROUND((VLOOKUP(G88,G6:K87,5,FALSE)-K88)/1000,3),""))</f>
        <v/>
      </c>
      <c r="M88" s="19">
        <f>IF(M87="","",M87+1)</f>
        <v>282</v>
      </c>
      <c r="N88" s="39"/>
      <c r="O88" s="39"/>
      <c r="P88" s="15" t="str">
        <f>IF(AND(N88&lt;&gt;"",O88&lt;&gt;""),ROUND(N88,3)+ROUND(P87,3)-ROUND(O88,3),IF(AND(EXACT(UPPER(M88),"TBM"),N88&lt;&gt;""),ROUND(N88,3),IF(N88="",P87,IF(ISNA(VLOOKUP(M88,A6:E105,5,FALSE)),IF(ISNA(VLOOKUP(M88,G6:K105,5,FALSE)),IF(ISNA(VLOOKUP(M88,M6:Q87,5,FALSE)),"",ROUND(VLOOKUP(M88,M6:Q87,5,FALSE),0)/1000+ROUND(N88,3)),ROUND(VLOOKUP(M88,G6:K105,5,FALSE),0)/1000+ROUND(N88,3)),ROUND(VLOOKUP(M88,A6:E105,5,FALSE),0)/1000+ROUND(N88,3)))))</f>
        <v/>
      </c>
      <c r="Q88" s="18" t="str">
        <f>IF(OR(NOT(EXACT(UPPER(M88),"TBM")),N88=""),IF(AND(N88&lt;&gt;"",O88="",P88&lt;&gt;""),"",IF(AND(N88="",O88&lt;&gt;"",P88&lt;&gt;""),ROUND(ROUND(P88,3)-ROUND(O88,3),3)*1000,IF(AND(N88&lt;&gt;"",O88&lt;&gt;"",P88&lt;&gt;""),ROUND(ROUND(P87,3)-ROUND(O88,3),3)*1000,""))),"")</f>
        <v/>
      </c>
      <c r="R88" s="45" t="str">
        <f>IF(AND(NOT(ISNA(VLOOKUP(M88,A6:E105,5,FALSE))),N88="",O88&lt;&gt;""),ROUND((VLOOKUP(M88,A6:E105,5,FALSE)-Q88)/1000,3),IF(AND(NOT(ISNA(VLOOKUP(M88,G6:K105,5,FALSE))),N88="",O88&lt;&gt;""),ROUND((VLOOKUP(M88,G6:K105,5,FALSE)-Q88)/1000,3),IF(AND(NOT(ISNA(VLOOKUP(M88,M6:Q87,5,FALSE))),N88="",O88&lt;&gt;""),ROUND((VLOOKUP(M88,M6:Q87,5,FALSE)-Q88)/1000,3),"")))</f>
        <v/>
      </c>
      <c r="S88" s="19">
        <f>IF(S87="","",S87+1)</f>
        <v>382</v>
      </c>
      <c r="T88" s="39"/>
      <c r="U88" s="39"/>
      <c r="V88" s="15" t="str">
        <f>IF(AND(T88&lt;&gt;"",U88&lt;&gt;""),ROUND(T88,3)+ROUND(V87,3)-ROUND(U88,3),IF(AND(EXACT(UPPER(S88),"TBM"),T88&lt;&gt;""),ROUND(T88,3),IF(T88="",V87,IF(ISNA(VLOOKUP(S88,A6:E105,5,FALSE)),IF(ISNA(VLOOKUP(S88,G6:K105,5,FALSE)),IF(ISNA(VLOOKUP(S88,M6:Q105,5,FALSE)),IF(ISNA(VLOOKUP(S88,S6:W87,5,FALSE)),"",ROUND(VLOOKUP(S88,S6:W87,5,FALSE),0)/1000+ROUND(T88,3)),ROUND(VLOOKUP(S88,M6:Q105,5,FALSE),0)/1000+ROUND(T88,3)),ROUND(VLOOKUP(S88,G6:K105,5,FALSE),0)/1000+ROUND(T88,3)),ROUND(VLOOKUP(S88,A6:E105,5,FALSE),0)/1000+ROUND(T88,3)))))</f>
        <v/>
      </c>
      <c r="W88" s="18" t="str">
        <f>IF(OR(NOT(EXACT(UPPER(S88),"TBM")),T88=""),IF(AND(T88&lt;&gt;"",U88="",V88&lt;&gt;""),"",IF(AND(T88="",U88&lt;&gt;"",V88&lt;&gt;""),ROUND(ROUND(V88,3)-ROUND(U88,3),3)*1000,IF(AND(T88&lt;&gt;"",U88&lt;&gt;"",V88&lt;&gt;""),ROUND(ROUND(V87,3)-ROUND(U88,3),3)*1000,""))),"")</f>
        <v/>
      </c>
      <c r="X88" s="45" t="str">
        <f>IF(AND(NOT(ISNA(VLOOKUP(S88,A6:E105,5,FALSE))),T88="",U88&lt;&gt;""),ROUND((VLOOKUP(S88,A6:E105,5,FALSE)-W88)/1000,3),IF(AND(NOT(ISNA(VLOOKUP(S88,G6:K105,5,FALSE))),T88="",U88&lt;&gt;""),ROUND((VLOOKUP(S88,G6:K105,5,FALSE)-W88)/1000,3),IF(AND(NOT(ISNA(VLOOKUP(S88,M6:Q105,5,FALSE))),T88="",U88&lt;&gt;""),ROUND((VLOOKUP(S88,M6:Q105,5,FALSE)-W88)/1000,3),IF(AND(NOT(ISNA(VLOOKUP(S88,S6:W87,5,FALSE))),T88="",U88&lt;&gt;""),ROUND((VLOOKUP(S88,S6:W87,5,FALSE)-W88)/1000,3),""))))</f>
        <v/>
      </c>
      <c r="Y88" s="19">
        <f>IF(Y87="","",Y87+1)</f>
        <v>482</v>
      </c>
      <c r="Z88" s="39"/>
      <c r="AA88" s="39"/>
      <c r="AB88" s="15" t="str">
        <f>IF(AND(Z88&lt;&gt;"",AA88&lt;&gt;""),ROUND(Z88,3)+ROUND(AB87,3)-ROUND(AA88,3),IF(AND(EXACT(UPPER(Y88),"TBM"),Z88&lt;&gt;""),ROUND(Z88,3),IF(Z88="",AB87,IF(ISNA(VLOOKUP(Y88,A6:E105,5,FALSE)),IF(ISNA(VLOOKUP(Y88,G6:K105,5,FALSE)),IF(ISNA(VLOOKUP(Y88,M6:Q105,5,FALSE)),IF(ISNA(VLOOKUP(Y88,S6:W105,5,FALSE)),IF(ISNA(VLOOKUP(Y88,Y6:AC87,5,FALSE)),"",ROUND(VLOOKUP(Y88,Y6:AC87,5,FALSE),0)/1000+ROUND(Z88,3)),ROUND(VLOOKUP(Y88,S6:W105,5,FALSE),0)/1000+ROUND(Z88,3)),ROUND(VLOOKUP(Y88,M6:Q105,5,FALSE),0)/1000+ROUND(Z88,3)),ROUND(VLOOKUP(Y88,G6:K105,5,FALSE),0)/1000+ROUND(Z88,3)),ROUND(VLOOKUP(Y88,A6:E105,5,FALSE),0)/1000+ROUND(Z88,3)))))</f>
        <v/>
      </c>
      <c r="AC88" s="18" t="str">
        <f>IF(OR(NOT(EXACT(UPPER(Y88),"TBM")),Z88=""),IF(AND(Z88&lt;&gt;"",AA88="",AB88&lt;&gt;""),"",IF(AND(Z88="",AA88&lt;&gt;"",AB88&lt;&gt;""),ROUND(ROUND(AB88,3)-ROUND(AA88,3),3)*1000,IF(AND(Z88&lt;&gt;"",AA88&lt;&gt;"",AB88&lt;&gt;""),ROUND(ROUND(AB87,3)-ROUND(AA88,3),3)*1000,""))),"")</f>
        <v/>
      </c>
      <c r="AD88" s="45" t="str">
        <f>IF(AND(NOT(ISNA(VLOOKUP(Y88,A6:E105,5,FALSE))),Z88="",AA88&lt;&gt;""),ROUND((VLOOKUP(Y88,A6:E105,5,FALSE)-AC88)/1000,3),IF(AND(NOT(ISNA(VLOOKUP(Y88,G6:K105,5,FALSE))),Z88="",AA88&lt;&gt;""),ROUND((VLOOKUP(Y88,G6:K105,5,FALSE)-AC88)/1000,3),IF(AND(NOT(ISNA(VLOOKUP(Y88,M6:Q105,5,FALSE))),Z88="",AA88&lt;&gt;""),ROUND((VLOOKUP(Y88,M6:Q105,5,FALSE)-AC88)/1000,3),IF(AND(NOT(ISNA(VLOOKUP(Y88,S6:W105,5,FALSE))),Z88="",AA88&lt;&gt;""),ROUND((VLOOKUP(Y88,S6:W105,5,FALSE)-AC88)/1000,3),IF(AND(NOT(ISNA(VLOOKUP(Y88,Y6:AC87,5,FALSE))),Z88="",AA88&lt;&gt;""),ROUND((VLOOKUP(Y88,Y6:AC87,5,FALSE)-AC88)/1000,3),"")))))</f>
        <v/>
      </c>
      <c r="AE88" s="19">
        <f>IF(AE87="","",AE87+1)</f>
        <v>582</v>
      </c>
      <c r="AF88" s="39"/>
      <c r="AG88" s="39"/>
      <c r="AH88" s="15" t="str">
        <f>IF(AND(AF88&lt;&gt;"",AG88&lt;&gt;""),ROUND(AF88,3)+ROUND(AH87,3)-ROUND(AG88,3),IF(AND(EXACT(UPPER(AE88),"TBM"),AF88&lt;&gt;""),ROUND(AF88,3),IF(AF88="",AH87,IF(ISNA(VLOOKUP(AE88,A6:E105,5,FALSE)),IF(ISNA(VLOOKUP(AE88,G6:K105,5,FALSE)),IF(ISNA(VLOOKUP(AE88,M6:Q105,5,FALSE)),IF(ISNA(VLOOKUP(AE88,S6:W105,5,FALSE)),IF(ISNA(VLOOKUP(AE88,Y6:AC105,5,FALSE)),IF(ISNA(VLOOKUP(AE88,AE6:AI87,5,FALSE)),"",ROUND(VLOOKUP(AE88,AE6:AI87,5,FALSE),0)/1000+ROUND(AF88,3)),ROUND(VLOOKUP(AE88,Y6:AC105,5,FALSE),0)/1000+ROUND(AF88,3)),ROUND(VLOOKUP(AE88,S6:W105,5,FALSE),0)/1000+ROUND(AF88,3)),ROUND(VLOOKUP(AE88,M6:Q105,5,FALSE),0)/1000+ROUND(AF88,3)),ROUND(VLOOKUP(AE88,G6:K105,5,FALSE),0)/1000+ROUND(AF88,3)),ROUND(VLOOKUP(AE88,A6:E105,5,FALSE),0)/1000+ROUND(AF88,3)))))</f>
        <v/>
      </c>
      <c r="AI88" s="18" t="str">
        <f>IF(OR(NOT(EXACT(UPPER(AE88),"TBM")),AF88=""),IF(AND(AF88&lt;&gt;"",AG88="",AH88&lt;&gt;""),"",IF(AND(AF88="",AG88&lt;&gt;"",AH88&lt;&gt;""),ROUND(ROUND(AH88,3)-ROUND(AG88,3),3)*1000,IF(AND(AF88&lt;&gt;"",AG88&lt;&gt;"",AH88&lt;&gt;""),ROUND(ROUND(AH87,3)-ROUND(AG88,3),3)*1000,""))),"")</f>
        <v/>
      </c>
      <c r="AJ88" s="45" t="str">
        <f>IF(AND(NOT(ISNA(VLOOKUP(AE88,A6:E105,5,FALSE))),AF88="",AG88&lt;&gt;""),ROUND((VLOOKUP(AE88,A6:E105,5,FALSE)-AI88)/1000,3),IF(AND(NOT(ISNA(VLOOKUP(AE88,G6:K105,5,FALSE))),AF88="",AG88&lt;&gt;""),ROUND((VLOOKUP(AE88,G6:K105,5,FALSE)-AI88)/1000,3),IF(AND(NOT(ISNA(VLOOKUP(AE88,M6:Q105,5,FALSE))),AF88="",AG88&lt;&gt;""),ROUND((VLOOKUP(AE88,M6:Q105,5,FALSE)-AI88)/1000,3),IF(AND(NOT(ISNA(VLOOKUP(AE88,S6:W105,5,FALSE))),AF88="",AG88&lt;&gt;""),ROUND((VLOOKUP(AE88,S6:W105,5,FALSE)-AI88)/1000,3),IF(AND(NOT(ISNA(VLOOKUP(AE88,Y6:AC105,5,FALSE))),AF88="",AG88&lt;&gt;""),ROUND((VLOOKUP(AE88,Y6:AC105,5,FALSE)-AI88)/1000,3),IF(AND(NOT(ISNA(VLOOKUP(AE88,AE6:AI87,5,FALSE))),AF88="",AG88&lt;&gt;""),ROUND((VLOOKUP(AE88,AE6:AI87,5,FALSE)-AI88)/1000,3),""))))))</f>
        <v/>
      </c>
      <c r="AK88" s="19">
        <f>IF(AK87="","",AK87+1)</f>
        <v>682</v>
      </c>
      <c r="AL88" s="39"/>
      <c r="AM88" s="39"/>
      <c r="AN88" s="15" t="str">
        <f>IF(AND(AL88&lt;&gt;"",AM88&lt;&gt;""),ROUND(AL88,3)+ROUND(AN87,3)-ROUND(AM88,3),IF(AND(EXACT(UPPER(AK88),"TBM"),AL88&lt;&gt;""),ROUND(AL88,3),IF(AL88="",AN87,IF(ISNA(VLOOKUP(AK88,A6:E105,5,FALSE)),IF(ISNA(VLOOKUP(AK88,G6:K105,5,FALSE)),IF(ISNA(VLOOKUP(AK88,M6:Q105,5,FALSE)),IF(ISNA(VLOOKUP(AK88,S6:W105,5,FALSE)),IF(ISNA(VLOOKUP(AK88,Y6:AC105,5,FALSE)),IF(ISNA(VLOOKUP(AK88,AE6:AI105,5,FALSE)),IF(ISNA(VLOOKUP(AK88,AK6:AO87,5,FALSE)),"",ROUND(VLOOKUP(AK88,AK6:AO87,5,FALSE),0)/1000+ROUND(AL88,3)),ROUND(VLOOKUP(AK88,AE6:AI105,5,FALSE),0)/1000+ROUND(AL88,3)),ROUND(VLOOKUP(AK88,Y6:AC105,5,FALSE),0)/1000+ROUND(AL88,3)),ROUND(VLOOKUP(AK88,S6:W105,5,FALSE),0)/1000+ROUND(AL88,3)),ROUND(VLOOKUP(AK88,M6:Q105,5,FALSE),0)/1000+ROUND(AL88,3)),ROUND(VLOOKUP(AK88,G6:K105,5,FALSE),0)/1000+ROUND(AL88,3)),ROUND(VLOOKUP(AK88,A6:E105,5,FALSE),0)/1000+ROUND(AL88,3)))))</f>
        <v/>
      </c>
      <c r="AO88" s="18" t="str">
        <f>IF(OR(NOT(EXACT(UPPER(AK88),"TBM")),AL88=""),IF(AND(AL88&lt;&gt;"",AM88="",AN88&lt;&gt;""),"",IF(AND(AL88="",AM88&lt;&gt;"",AN88&lt;&gt;""),ROUND(ROUND(AN88,3)-ROUND(AM88,3),3)*1000,IF(AND(AL88&lt;&gt;"",AM88&lt;&gt;"",AN88&lt;&gt;""),ROUND(ROUND(AN87,3)-ROUND(AM88,3),3)*1000,""))),"")</f>
        <v/>
      </c>
      <c r="AP88" s="45" t="str">
        <f>IF(AND(NOT(ISNA(VLOOKUP(AK88,A6:E105,5,FALSE))),AL88="",AM88&lt;&gt;""),ROUND((VLOOKUP(AK88,A6:E105,5,FALSE)-AO88)/1000,3),IF(AND(NOT(ISNA(VLOOKUP(AK88,G6:K105,5,FALSE))),AL88="",AM88&lt;&gt;""),ROUND((VLOOKUP(AK88,G6:K105,5,FALSE)-AO88)/1000,3),IF(AND(NOT(ISNA(VLOOKUP(AK88,M6:Q105,5,FALSE))),AL88="",AM88&lt;&gt;""),ROUND((VLOOKUP(AK88,M6:Q105,5,FALSE)-AO88)/1000,3),IF(AND(NOT(ISNA(VLOOKUP(AK88,S6:W105,5,FALSE))),AL88="",AM88&lt;&gt;""),ROUND((VLOOKUP(AK88,S6:W105,5,FALSE)-AO88)/1000,3),IF(AND(NOT(ISNA(VLOOKUP(AK88,Y6:AC105,5,FALSE))),AL88="",AM88&lt;&gt;""),ROUND((VLOOKUP(AK88,Y6:AC105,5,FALSE)-AO88)/1000,3),IF(AND(NOT(ISNA(VLOOKUP(AK88,AE6:AI105,5,FALSE))),AL88="",AM88&lt;&gt;""),ROUND((VLOOKUP(AK88,AE6:AI105,5,FALSE)-AO88)/1000,3),IF(AND(NOT(ISNA(VLOOKUP(AK88,AK6:AO87,5,FALSE))),AL88="",AM88&lt;&gt;""),ROUND((VLOOKUP(AK88,AK6:AO87,5,FALSE)-AO88)/1000,3),"")))))))</f>
        <v/>
      </c>
      <c r="AQ88" s="19">
        <f>IF(AQ87="","",AQ87+1)</f>
        <v>782</v>
      </c>
      <c r="AR88" s="39"/>
      <c r="AS88" s="39"/>
      <c r="AT88" s="15" t="str">
        <f>IF(AND(AR88&lt;&gt;"",AS88&lt;&gt;""),ROUND(AR88,3)+ROUND(AT87,3)-ROUND(AS88,3),IF(AND(EXACT(UPPER(AQ88),"TBM"),AR88&lt;&gt;""),ROUND(AR88,3),IF(AR88="",AT87,IF(ISNA(VLOOKUP(AQ88,A6:E105,5,FALSE)),IF(ISNA(VLOOKUP(AQ88,G6:K105,5,FALSE)),IF(ISNA(VLOOKUP(AQ88,M6:Q105,5,FALSE)),IF(ISNA(VLOOKUP(AQ88,S6:W105,5,FALSE)),IF(ISNA(VLOOKUP(AQ88,Y6:AC105,5,FALSE)),IF(ISNA(VLOOKUP(AQ88,AE6:AI105,5,FALSE)),IF(ISNA(VLOOKUP(AQ88,AK6:AO105,5,FALSE)),IF(ISNA(VLOOKUP(AQ88,AQ6:AU87,5,FALSE)),"",ROUND(VLOOKUP(AQ88,AQ6:AU87,5,FALSE),0)/1000+ROUND(AR88,3)),ROUND(VLOOKUP(AQ88,AK6:AO105,5,FALSE),0)/1000+ROUND(AR88,3)),ROUND(VLOOKUP(AQ88,AE6:AI105,5,FALSE),0)/1000+ROUND(AR88,3)),ROUND(VLOOKUP(AQ88,Y6:AC105,5,FALSE),0)/1000+ROUND(AR88,3)),ROUND(VLOOKUP(AQ88,S6:W105,5,FALSE),0)/1000+ROUND(AR88,3)),ROUND(VLOOKUP(AQ88,M6:Q105,5,FALSE),0)/1000+ROUND(AR88,3)),ROUND(VLOOKUP(AQ88,G6:K105,5,FALSE),0)/1000+ROUND(AR88,3)),ROUND(VLOOKUP(AQ88,A6:E105,5,FALSE),0)/1000+ROUND(AR88,3)))))</f>
        <v/>
      </c>
      <c r="AU88" s="18" t="str">
        <f>IF(OR(NOT(EXACT(UPPER(AQ88),"TBM")),AR88=""),IF(AND(AR88&lt;&gt;"",AS88="",AT88&lt;&gt;""),"",IF(AND(AR88="",AS88&lt;&gt;"",AT88&lt;&gt;""),ROUND(ROUND(AT88,3)-ROUND(AS88,3),3)*1000,IF(AND(AR88&lt;&gt;"",AS88&lt;&gt;"",AT88&lt;&gt;""),ROUND(ROUND(AT87,3)-ROUND(AS88,3),3)*1000,""))),"")</f>
        <v/>
      </c>
      <c r="AV88" s="45" t="str">
        <f>IF(AND(NOT(ISNA(VLOOKUP(AQ88,A6:E105,5,FALSE))),AR88="",AS88&lt;&gt;""),ROUND((VLOOKUP(AQ88,A6:E105,5,FALSE)-AU88)/1000,3),IF(AND(NOT(ISNA(VLOOKUP(AQ88,G6:K105,5,FALSE))),AR88="",AS88&lt;&gt;""),ROUND((VLOOKUP(AQ88,G6:K105,5,FALSE)-AU88)/1000,3),IF(AND(NOT(ISNA(VLOOKUP(AQ88,M6:Q105,5,FALSE))),AR88="",AS88&lt;&gt;""),ROUND((VLOOKUP(AQ88,M6:Q105,5,FALSE)-AU88)/1000,3),IF(AND(NOT(ISNA(VLOOKUP(AQ88,S6:W105,5,FALSE))),AR88="",AS88&lt;&gt;""),ROUND((VLOOKUP(AQ88,S6:W105,5,FALSE)-AU88)/1000,3),IF(AND(NOT(ISNA(VLOOKUP(AQ88,Y6:AC105,5,FALSE))),AR88="",AS88&lt;&gt;""),ROUND((VLOOKUP(AQ88,Y6:AC105,5,FALSE)-AU88)/1000,3),IF(AND(NOT(ISNA(VLOOKUP(AQ88,AE6:AI105,5,FALSE))),AR88="",AS88&lt;&gt;""),ROUND((VLOOKUP(AQ88,AE6:AI105,5,FALSE)-AU88)/1000,3),IF(AND(NOT(ISNA(VLOOKUP(AQ88,AK6:AO105,5,FALSE))),AR88="",AS88&lt;&gt;""),ROUND((VLOOKUP(AQ88,AK6:AO105,5,FALSE)-AU88)/1000,3),IF(AND(NOT(ISNA(VLOOKUP(AQ88,AQ6:AU87,5,FALSE))),AR88="",AS88&lt;&gt;""),ROUND((VLOOKUP(AQ88,AQ6:AU87,5,FALSE)-AU88)/1000,3),""))))))))</f>
        <v/>
      </c>
      <c r="AW88" s="19">
        <f>IF(AW87="","",AW87+1)</f>
        <v>882</v>
      </c>
      <c r="AX88" s="39"/>
      <c r="AY88" s="39"/>
      <c r="AZ88" s="15" t="str">
        <f>IF(AND(AX88&lt;&gt;"",AY88&lt;&gt;""),ROUND(AX88,3)+ROUND(AZ87,3)-ROUND(AY88,3),IF(AND(EXACT(UPPER(AW88),"TBM"),AX88&lt;&gt;""),ROUND(AX88,3),IF(AX88="",AZ87,IF(ISNA(VLOOKUP(AW88,A6:E105,5,FALSE)),IF(ISNA(VLOOKUP(AW88,G6:K105,5,FALSE)),IF(ISNA(VLOOKUP(AW88,M6:Q105,5,FALSE)),IF(ISNA(VLOOKUP(AW88,S6:W105,5,FALSE)),IF(ISNA(VLOOKUP(AW88,Y6:AC105,5,FALSE)),IF(ISNA(VLOOKUP(AW88,AE6:AI105,5,FALSE)),IF(ISNA(VLOOKUP(AW88,AK6:AO105,5,FALSE)),IF(ISNA(VLOOKUP(AW88,AQ6:AU105,5,FALSE)),IF(ISNA(VLOOKUP(AW88,AW6:BA87,5,FALSE)),"",ROUND(VLOOKUP(AW88,AW6:BA87,5,FALSE),0)/1000+ROUND(AX88,3)),ROUND(VLOOKUP(AW88,AQ6:AU105,5,FALSE),0)/1000+ROUND(AX88,3)),ROUND(VLOOKUP(AW88,AK6:AO105,5,FALSE),0)/1000+ROUND(AX88,3)),ROUND(VLOOKUP(AW88,AE6:AI105,5,FALSE),0)/1000+ROUND(AX88,3)),ROUND(VLOOKUP(AW88,Y6:AC105,5,FALSE),0)/1000+ROUND(AX88,3)),ROUND(VLOOKUP(AW88,S6:W105,5,FALSE),0)/1000+ROUND(AX88,3)),ROUND(VLOOKUP(AW88,M6:Q105,5,FALSE),0)/1000+ROUND(AX88,3)),ROUND(VLOOKUP(AW88,G6:K105,5,FALSE),0)/1000+ROUND(AX88,3)),ROUND(VLOOKUP(AW88,A6:E105,5,FALSE),0)/1000+ROUND(AX88,3)))))</f>
        <v/>
      </c>
      <c r="BA88" s="18" t="str">
        <f>IF(OR(NOT(EXACT(UPPER(AW88),"TBM")),AX88=""),IF(AND(AX88&lt;&gt;"",AY88="",AZ88&lt;&gt;""),"",IF(AND(AX88="",AY88&lt;&gt;"",AZ88&lt;&gt;""),ROUND(ROUND(AZ88,3)-ROUND(AY88,3),3)*1000,IF(AND(AX88&lt;&gt;"",AY88&lt;&gt;"",AZ88&lt;&gt;""),ROUND(ROUND(AZ87,3)-ROUND(AY88,3),3)*1000,""))),"")</f>
        <v/>
      </c>
      <c r="BB88" s="45" t="str">
        <f>IF(AND(NOT(ISNA(VLOOKUP(AW88,A6:E105,5,FALSE))),AX88="",AY88&lt;&gt;""),ROUND((VLOOKUP(AW88,A6:E105,5,FALSE)-BA88)/1000,3),IF(AND(NOT(ISNA(VLOOKUP(AW88,G6:K105,5,FALSE))),AX88="",AY88&lt;&gt;""),ROUND((VLOOKUP(AW88,G6:K105,5,FALSE)-BA88)/1000,3),IF(AND(NOT(ISNA(VLOOKUP(AW88,M6:Q105,5,FALSE))),AX88="",AY88&lt;&gt;""),ROUND((VLOOKUP(AW88,M6:Q105,5,FALSE)-BA88)/1000,3),IF(AND(NOT(ISNA(VLOOKUP(AW88,S6:W105,5,FALSE))),AX88="",AY88&lt;&gt;""),ROUND((VLOOKUP(AW88,S6:W105,5,FALSE)-BA88)/1000,3),IF(AND(NOT(ISNA(VLOOKUP(AW88,Y6:AC105,5,FALSE))),AX88="",AY88&lt;&gt;""),ROUND((VLOOKUP(AW88,Y6:AC105,5,FALSE)-BA88)/1000,3),IF(AND(NOT(ISNA(VLOOKUP(AW88,AE6:AI105,5,FALSE))),AX88="",AY88&lt;&gt;""),ROUND((VLOOKUP(AW88,AE6:AI105,5,FALSE)-BA88)/1000,3),IF(AND(NOT(ISNA(VLOOKUP(AW88,AK6:AO105,5,FALSE))),AX88="",AY88&lt;&gt;""),ROUND((VLOOKUP(AW88,AK6:AO105,5,FALSE)-BA88)/1000,3),IF(AND(NOT(ISNA(VLOOKUP(AW88,AQ6:AU105,5,FALSE))),AX88="",AY88&lt;&gt;""),ROUND((VLOOKUP(AW88,AQ6:AU105,5,FALSE)-BA88)/1000,3),IF(AND(NOT(ISNA(VLOOKUP(AW88,AW6:BA87,5,FALSE))),AX88="",AY88&lt;&gt;""),ROUND((VLOOKUP(AW88,AW6:BA87,5,FALSE)-BA88)/1000,3),"")))))))))</f>
        <v/>
      </c>
      <c r="BC88" s="19">
        <f>IF(BC87="","",BC87+1)</f>
        <v>982</v>
      </c>
      <c r="BD88" s="39"/>
      <c r="BE88" s="39"/>
      <c r="BF88" s="15" t="str">
        <f>IF(AND(BD88&lt;&gt;"",BE88&lt;&gt;""),ROUND(BD88,3)+ROUND(BF87,3)-ROUND(BE88,3),IF(AND(EXACT(UPPER(BC88),"TBM"),BD88&lt;&gt;""),ROUND(BD88,3),IF(BD88="",BF87,IF(ISNA(VLOOKUP(BC88,A6:E105,5,FALSE)),IF(ISNA(VLOOKUP(BC88,G6:K105,5,FALSE)),IF(ISNA(VLOOKUP(BC88,M6:Q105,5,FALSE)),IF(ISNA(VLOOKUP(BC88,S6:W105,5,FALSE)),IF(ISNA(VLOOKUP(BC88,Y6:AC105,5,FALSE)),IF(ISNA(VLOOKUP(BC88,AE6:AI105,5,FALSE)),IF(ISNA(VLOOKUP(BC88,AK6:AO105,5,FALSE)),IF(ISNA(VLOOKUP(BC88,AQ6:AU105,5,FALSE)),IF(ISNA(VLOOKUP(BC88,AW6:BA105,5,FALSE)),IF(ISNA(VLOOKUP(BC88,BC6:BG87,5,FALSE)),"",ROUND(VLOOKUP(BC88,BC6:BG87,5,FALSE),0)/1000+ROUND(BD88,3)),ROUND(VLOOKUP(BC88,AW6:BA105,5,FALSE),0)/1000+ROUND(BD88,3)),ROUND(VLOOKUP(BC88,AQ6:AU105,5,FALSE),0)/1000+ROUND(BD88,3)),ROUND(VLOOKUP(BC88,AK6:AO105,5,FALSE),0)/1000+ROUND(BD88,3)),ROUND(VLOOKUP(BC88,AE6:AI105,5,FALSE),0)/1000+ROUND(BD88,3)),ROUND(VLOOKUP(BC88,Y6:AC105,5,FALSE),0)/1000+ROUND(BD88,3)),ROUND(VLOOKUP(BC88,S6:W105,5,FALSE),0)/1000+ROUND(BD88,3)),ROUND(VLOOKUP(BC88,M6:Q105,5,FALSE),0)/1000+ROUND(BD88,3)),ROUND(VLOOKUP(BC88,G6:K105,5,FALSE),0)/1000+ROUND(BD88,3)),ROUND(VLOOKUP(BC88,A6:E105,5,FALSE),0)/1000+ROUND(BD88,3)))))</f>
        <v/>
      </c>
      <c r="BG88" s="18" t="str">
        <f>IF(OR(NOT(EXACT(UPPER(BC88),"TBM")),BD88=""),IF(AND(BD88&lt;&gt;"",BE88="",BF88&lt;&gt;""),"",IF(AND(BD88="",BE88&lt;&gt;"",BF88&lt;&gt;""),ROUND(ROUND(BF88,3)-ROUND(BE88,3),3)*1000,IF(AND(BD88&lt;&gt;"",BE88&lt;&gt;"",BF88&lt;&gt;""),ROUND(ROUND(BF87,3)-ROUND(BE88,3),3)*1000,""))),"")</f>
        <v/>
      </c>
      <c r="BH88" s="45" t="str">
        <f>IF(AND(NOT(ISNA(VLOOKUP(BC88,A6:E105,5,FALSE))),BD88="",BE88&lt;&gt;""),ROUND((VLOOKUP(BC88,A6:E105,5,FALSE)-BG88)/1000,3),IF(AND(NOT(ISNA(VLOOKUP(BC88,G6:K105,5,FALSE))),BD88="",BE88&lt;&gt;""),ROUND((VLOOKUP(BC88,G6:K105,5,FALSE)-BG88)/1000,3),IF(AND(NOT(ISNA(VLOOKUP(BC88,M6:Q105,5,FALSE))),BD88="",BE88&lt;&gt;""),ROUND((VLOOKUP(BC88,M6:Q105,5,FALSE)-BG88)/1000,3),IF(AND(NOT(ISNA(VLOOKUP(BC88,S6:W105,5,FALSE))),BD88="",BE88&lt;&gt;""),ROUND((VLOOKUP(BC88,S6:W105,5,FALSE)-BG88)/1000,3),IF(AND(NOT(ISNA(VLOOKUP(BC88,Y6:AC105,5,FALSE))),BD88="",BE88&lt;&gt;""),ROUND((VLOOKUP(BC88,Y6:AC105,5,FALSE)-BG88)/1000,3),IF(AND(NOT(ISNA(VLOOKUP(BC88,AE6:AI105,5,FALSE))),BD88="",BE88&lt;&gt;""),ROUND((VLOOKUP(BC88,AE6:AI105,5,FALSE)-BG88)/1000,3),IF(AND(NOT(ISNA(VLOOKUP(BC88,AK6:AO105,5,FALSE))),BD88="",BE88&lt;&gt;""),ROUND((VLOOKUP(BC88,AK6:AO105,5,FALSE)-BG88)/1000,3),IF(AND(NOT(ISNA(VLOOKUP(BC88,AQ6:AU105,5,FALSE))),BD88="",BE88&lt;&gt;""),ROUND((VLOOKUP(BC88,AQ6:AU105,5,FALSE)-BG88)/1000,3),IF(AND(NOT(ISNA(VLOOKUP(BC88,AW6:BA105,5,FALSE))),BD88="",BE88&lt;&gt;""),ROUND((VLOOKUP(BC88,AW6:BA105,5,FALSE)-BG88)/1000,3),IF(AND(NOT(ISNA(VLOOKUP(BC88,BC6:BG87,5,FALSE))),BD88="",BE88&lt;&gt;""),ROUND((VLOOKUP(BC88,BC6:BG87,5,FALSE)-BG88)/1000,3),""))))))))))</f>
        <v/>
      </c>
    </row>
    <row r="89" spans="1:60" x14ac:dyDescent="0.25">
      <c r="A89" s="19">
        <f t="shared" si="9"/>
        <v>83</v>
      </c>
      <c r="B89" s="39"/>
      <c r="C89" s="39"/>
      <c r="D89" s="15" t="str">
        <f>IF(AND(B89&lt;&gt;"",C89&lt;&gt;""),ROUND(B89,3)+ROUND(D88,3)-ROUND(C89,3),IF(AND(EXACT(UPPER(A89),"TBM"),B89&lt;&gt;""),ROUND(B89,3),IF(B89="",D88,IF(ISNA(VLOOKUP(A89,A6:E88,5,FALSE)),"",ROUND(VLOOKUP(A89,A6:E88,5,FALSE),0)/1000+ROUND(B89,3)))))</f>
        <v/>
      </c>
      <c r="E89" s="21" t="str">
        <f t="shared" si="6"/>
        <v/>
      </c>
      <c r="F89" s="45" t="str">
        <f>IF(AND(NOT(ISNA(VLOOKUP(A89,A6:E88,5,FALSE))),B89="",C89&lt;&gt;""),ROUND((VLOOKUP(A89,A6:E88,5,FALSE)-E89)/1000,3),"")</f>
        <v/>
      </c>
      <c r="G89" s="19">
        <f t="shared" si="7"/>
        <v>183</v>
      </c>
      <c r="H89" s="39"/>
      <c r="I89" s="39"/>
      <c r="J89" s="15" t="str">
        <f>IF(AND(H89&lt;&gt;"",I89&lt;&gt;""),ROUND(H89,3)+ROUND(J88,3)-ROUND(I89,3),IF(AND(EXACT(UPPER(G89),"TBM"),H89&lt;&gt;""),ROUND(H89,3),IF(H89="",J88,IF(ISNA(VLOOKUP(G89,A6:E105,5,FALSE)),IF(ISNA(VLOOKUP(G89,G6:K88,5,FALSE)),"",ROUND(VLOOKUP(G89,G6:K88,5,FALSE),0)/1000+ROUND(H89,3)),ROUND(VLOOKUP(G89,A6:E105,5,FALSE),0)/1000+ROUND(H89,3)))))</f>
        <v/>
      </c>
      <c r="K89" s="18" t="str">
        <f t="shared" si="8"/>
        <v/>
      </c>
      <c r="L89" s="45" t="str">
        <f>IF(AND(NOT(ISNA(VLOOKUP(G89,A6:E105,5,FALSE))),H89="",I89&lt;&gt;""),ROUND((VLOOKUP(G89,A6:E105,5,FALSE)-K89)/1000,3),IF(AND(NOT(ISNA(VLOOKUP(G89,G6:K88,5,FALSE))),H89="",I89&lt;&gt;""),ROUND((VLOOKUP(G89,G6:K88,5,FALSE)-K89)/1000,3),""))</f>
        <v/>
      </c>
      <c r="M89" s="19">
        <f>IF(M88="","",M88+1)</f>
        <v>283</v>
      </c>
      <c r="N89" s="39"/>
      <c r="O89" s="39"/>
      <c r="P89" s="15" t="str">
        <f>IF(AND(N89&lt;&gt;"",O89&lt;&gt;""),ROUND(N89,3)+ROUND(P88,3)-ROUND(O89,3),IF(AND(EXACT(UPPER(M89),"TBM"),N89&lt;&gt;""),ROUND(N89,3),IF(N89="",P88,IF(ISNA(VLOOKUP(M89,A6:E105,5,FALSE)),IF(ISNA(VLOOKUP(M89,G6:K105,5,FALSE)),IF(ISNA(VLOOKUP(M89,M6:Q88,5,FALSE)),"",ROUND(VLOOKUP(M89,M6:Q88,5,FALSE),0)/1000+ROUND(N89,3)),ROUND(VLOOKUP(M89,G6:K105,5,FALSE),0)/1000+ROUND(N89,3)),ROUND(VLOOKUP(M89,A6:E105,5,FALSE),0)/1000+ROUND(N89,3)))))</f>
        <v/>
      </c>
      <c r="Q89" s="18" t="str">
        <f>IF(OR(NOT(EXACT(UPPER(M89),"TBM")),N89=""),IF(AND(N89&lt;&gt;"",O89="",P89&lt;&gt;""),"",IF(AND(N89="",O89&lt;&gt;"",P89&lt;&gt;""),ROUND(ROUND(P89,3)-ROUND(O89,3),3)*1000,IF(AND(N89&lt;&gt;"",O89&lt;&gt;"",P89&lt;&gt;""),ROUND(ROUND(P88,3)-ROUND(O89,3),3)*1000,""))),"")</f>
        <v/>
      </c>
      <c r="R89" s="45" t="str">
        <f>IF(AND(NOT(ISNA(VLOOKUP(M89,A6:E105,5,FALSE))),N89="",O89&lt;&gt;""),ROUND((VLOOKUP(M89,A6:E105,5,FALSE)-Q89)/1000,3),IF(AND(NOT(ISNA(VLOOKUP(M89,G6:K105,5,FALSE))),N89="",O89&lt;&gt;""),ROUND((VLOOKUP(M89,G6:K105,5,FALSE)-Q89)/1000,3),IF(AND(NOT(ISNA(VLOOKUP(M89,M6:Q88,5,FALSE))),N89="",O89&lt;&gt;""),ROUND((VLOOKUP(M89,M6:Q88,5,FALSE)-Q89)/1000,3),"")))</f>
        <v/>
      </c>
      <c r="S89" s="19">
        <f>IF(S88="","",S88+1)</f>
        <v>383</v>
      </c>
      <c r="T89" s="39"/>
      <c r="U89" s="39"/>
      <c r="V89" s="15" t="str">
        <f>IF(AND(T89&lt;&gt;"",U89&lt;&gt;""),ROUND(T89,3)+ROUND(V88,3)-ROUND(U89,3),IF(AND(EXACT(UPPER(S89),"TBM"),T89&lt;&gt;""),ROUND(T89,3),IF(T89="",V88,IF(ISNA(VLOOKUP(S89,A6:E105,5,FALSE)),IF(ISNA(VLOOKUP(S89,G6:K105,5,FALSE)),IF(ISNA(VLOOKUP(S89,M6:Q105,5,FALSE)),IF(ISNA(VLOOKUP(S89,S6:W88,5,FALSE)),"",ROUND(VLOOKUP(S89,S6:W88,5,FALSE),0)/1000+ROUND(T89,3)),ROUND(VLOOKUP(S89,M6:Q105,5,FALSE),0)/1000+ROUND(T89,3)),ROUND(VLOOKUP(S89,G6:K105,5,FALSE),0)/1000+ROUND(T89,3)),ROUND(VLOOKUP(S89,A6:E105,5,FALSE),0)/1000+ROUND(T89,3)))))</f>
        <v/>
      </c>
      <c r="W89" s="18" t="str">
        <f>IF(OR(NOT(EXACT(UPPER(S89),"TBM")),T89=""),IF(AND(T89&lt;&gt;"",U89="",V89&lt;&gt;""),"",IF(AND(T89="",U89&lt;&gt;"",V89&lt;&gt;""),ROUND(ROUND(V89,3)-ROUND(U89,3),3)*1000,IF(AND(T89&lt;&gt;"",U89&lt;&gt;"",V89&lt;&gt;""),ROUND(ROUND(V88,3)-ROUND(U89,3),3)*1000,""))),"")</f>
        <v/>
      </c>
      <c r="X89" s="45" t="str">
        <f>IF(AND(NOT(ISNA(VLOOKUP(S89,A6:E105,5,FALSE))),T89="",U89&lt;&gt;""),ROUND((VLOOKUP(S89,A6:E105,5,FALSE)-W89)/1000,3),IF(AND(NOT(ISNA(VLOOKUP(S89,G6:K105,5,FALSE))),T89="",U89&lt;&gt;""),ROUND((VLOOKUP(S89,G6:K105,5,FALSE)-W89)/1000,3),IF(AND(NOT(ISNA(VLOOKUP(S89,M6:Q105,5,FALSE))),T89="",U89&lt;&gt;""),ROUND((VLOOKUP(S89,M6:Q105,5,FALSE)-W89)/1000,3),IF(AND(NOT(ISNA(VLOOKUP(S89,S6:W88,5,FALSE))),T89="",U89&lt;&gt;""),ROUND((VLOOKUP(S89,S6:W88,5,FALSE)-W89)/1000,3),""))))</f>
        <v/>
      </c>
      <c r="Y89" s="19">
        <f>IF(Y88="","",Y88+1)</f>
        <v>483</v>
      </c>
      <c r="Z89" s="39"/>
      <c r="AA89" s="39"/>
      <c r="AB89" s="15" t="str">
        <f>IF(AND(Z89&lt;&gt;"",AA89&lt;&gt;""),ROUND(Z89,3)+ROUND(AB88,3)-ROUND(AA89,3),IF(AND(EXACT(UPPER(Y89),"TBM"),Z89&lt;&gt;""),ROUND(Z89,3),IF(Z89="",AB88,IF(ISNA(VLOOKUP(Y89,A6:E105,5,FALSE)),IF(ISNA(VLOOKUP(Y89,G6:K105,5,FALSE)),IF(ISNA(VLOOKUP(Y89,M6:Q105,5,FALSE)),IF(ISNA(VLOOKUP(Y89,S6:W105,5,FALSE)),IF(ISNA(VLOOKUP(Y89,Y6:AC88,5,FALSE)),"",ROUND(VLOOKUP(Y89,Y6:AC88,5,FALSE),0)/1000+ROUND(Z89,3)),ROUND(VLOOKUP(Y89,S6:W105,5,FALSE),0)/1000+ROUND(Z89,3)),ROUND(VLOOKUP(Y89,M6:Q105,5,FALSE),0)/1000+ROUND(Z89,3)),ROUND(VLOOKUP(Y89,G6:K105,5,FALSE),0)/1000+ROUND(Z89,3)),ROUND(VLOOKUP(Y89,A6:E105,5,FALSE),0)/1000+ROUND(Z89,3)))))</f>
        <v/>
      </c>
      <c r="AC89" s="18" t="str">
        <f>IF(OR(NOT(EXACT(UPPER(Y89),"TBM")),Z89=""),IF(AND(Z89&lt;&gt;"",AA89="",AB89&lt;&gt;""),"",IF(AND(Z89="",AA89&lt;&gt;"",AB89&lt;&gt;""),ROUND(ROUND(AB89,3)-ROUND(AA89,3),3)*1000,IF(AND(Z89&lt;&gt;"",AA89&lt;&gt;"",AB89&lt;&gt;""),ROUND(ROUND(AB88,3)-ROUND(AA89,3),3)*1000,""))),"")</f>
        <v/>
      </c>
      <c r="AD89" s="45" t="str">
        <f>IF(AND(NOT(ISNA(VLOOKUP(Y89,A6:E105,5,FALSE))),Z89="",AA89&lt;&gt;""),ROUND((VLOOKUP(Y89,A6:E105,5,FALSE)-AC89)/1000,3),IF(AND(NOT(ISNA(VLOOKUP(Y89,G6:K105,5,FALSE))),Z89="",AA89&lt;&gt;""),ROUND((VLOOKUP(Y89,G6:K105,5,FALSE)-AC89)/1000,3),IF(AND(NOT(ISNA(VLOOKUP(Y89,M6:Q105,5,FALSE))),Z89="",AA89&lt;&gt;""),ROUND((VLOOKUP(Y89,M6:Q105,5,FALSE)-AC89)/1000,3),IF(AND(NOT(ISNA(VLOOKUP(Y89,S6:W105,5,FALSE))),Z89="",AA89&lt;&gt;""),ROUND((VLOOKUP(Y89,S6:W105,5,FALSE)-AC89)/1000,3),IF(AND(NOT(ISNA(VLOOKUP(Y89,Y6:AC88,5,FALSE))),Z89="",AA89&lt;&gt;""),ROUND((VLOOKUP(Y89,Y6:AC88,5,FALSE)-AC89)/1000,3),"")))))</f>
        <v/>
      </c>
      <c r="AE89" s="19">
        <f>IF(AE88="","",AE88+1)</f>
        <v>583</v>
      </c>
      <c r="AF89" s="39"/>
      <c r="AG89" s="39"/>
      <c r="AH89" s="15" t="str">
        <f>IF(AND(AF89&lt;&gt;"",AG89&lt;&gt;""),ROUND(AF89,3)+ROUND(AH88,3)-ROUND(AG89,3),IF(AND(EXACT(UPPER(AE89),"TBM"),AF89&lt;&gt;""),ROUND(AF89,3),IF(AF89="",AH88,IF(ISNA(VLOOKUP(AE89,A6:E105,5,FALSE)),IF(ISNA(VLOOKUP(AE89,G6:K105,5,FALSE)),IF(ISNA(VLOOKUP(AE89,M6:Q105,5,FALSE)),IF(ISNA(VLOOKUP(AE89,S6:W105,5,FALSE)),IF(ISNA(VLOOKUP(AE89,Y6:AC105,5,FALSE)),IF(ISNA(VLOOKUP(AE89,AE6:AI88,5,FALSE)),"",ROUND(VLOOKUP(AE89,AE6:AI88,5,FALSE),0)/1000+ROUND(AF89,3)),ROUND(VLOOKUP(AE89,Y6:AC105,5,FALSE),0)/1000+ROUND(AF89,3)),ROUND(VLOOKUP(AE89,S6:W105,5,FALSE),0)/1000+ROUND(AF89,3)),ROUND(VLOOKUP(AE89,M6:Q105,5,FALSE),0)/1000+ROUND(AF89,3)),ROUND(VLOOKUP(AE89,G6:K105,5,FALSE),0)/1000+ROUND(AF89,3)),ROUND(VLOOKUP(AE89,A6:E105,5,FALSE),0)/1000+ROUND(AF89,3)))))</f>
        <v/>
      </c>
      <c r="AI89" s="18" t="str">
        <f>IF(OR(NOT(EXACT(UPPER(AE89),"TBM")),AF89=""),IF(AND(AF89&lt;&gt;"",AG89="",AH89&lt;&gt;""),"",IF(AND(AF89="",AG89&lt;&gt;"",AH89&lt;&gt;""),ROUND(ROUND(AH89,3)-ROUND(AG89,3),3)*1000,IF(AND(AF89&lt;&gt;"",AG89&lt;&gt;"",AH89&lt;&gt;""),ROUND(ROUND(AH88,3)-ROUND(AG89,3),3)*1000,""))),"")</f>
        <v/>
      </c>
      <c r="AJ89" s="45" t="str">
        <f>IF(AND(NOT(ISNA(VLOOKUP(AE89,A6:E105,5,FALSE))),AF89="",AG89&lt;&gt;""),ROUND((VLOOKUP(AE89,A6:E105,5,FALSE)-AI89)/1000,3),IF(AND(NOT(ISNA(VLOOKUP(AE89,G6:K105,5,FALSE))),AF89="",AG89&lt;&gt;""),ROUND((VLOOKUP(AE89,G6:K105,5,FALSE)-AI89)/1000,3),IF(AND(NOT(ISNA(VLOOKUP(AE89,M6:Q105,5,FALSE))),AF89="",AG89&lt;&gt;""),ROUND((VLOOKUP(AE89,M6:Q105,5,FALSE)-AI89)/1000,3),IF(AND(NOT(ISNA(VLOOKUP(AE89,S6:W105,5,FALSE))),AF89="",AG89&lt;&gt;""),ROUND((VLOOKUP(AE89,S6:W105,5,FALSE)-AI89)/1000,3),IF(AND(NOT(ISNA(VLOOKUP(AE89,Y6:AC105,5,FALSE))),AF89="",AG89&lt;&gt;""),ROUND((VLOOKUP(AE89,Y6:AC105,5,FALSE)-AI89)/1000,3),IF(AND(NOT(ISNA(VLOOKUP(AE89,AE6:AI88,5,FALSE))),AF89="",AG89&lt;&gt;""),ROUND((VLOOKUP(AE89,AE6:AI88,5,FALSE)-AI89)/1000,3),""))))))</f>
        <v/>
      </c>
      <c r="AK89" s="19">
        <f>IF(AK88="","",AK88+1)</f>
        <v>683</v>
      </c>
      <c r="AL89" s="39"/>
      <c r="AM89" s="39"/>
      <c r="AN89" s="15" t="str">
        <f>IF(AND(AL89&lt;&gt;"",AM89&lt;&gt;""),ROUND(AL89,3)+ROUND(AN88,3)-ROUND(AM89,3),IF(AND(EXACT(UPPER(AK89),"TBM"),AL89&lt;&gt;""),ROUND(AL89,3),IF(AL89="",AN88,IF(ISNA(VLOOKUP(AK89,A6:E105,5,FALSE)),IF(ISNA(VLOOKUP(AK89,G6:K105,5,FALSE)),IF(ISNA(VLOOKUP(AK89,M6:Q105,5,FALSE)),IF(ISNA(VLOOKUP(AK89,S6:W105,5,FALSE)),IF(ISNA(VLOOKUP(AK89,Y6:AC105,5,FALSE)),IF(ISNA(VLOOKUP(AK89,AE6:AI105,5,FALSE)),IF(ISNA(VLOOKUP(AK89,AK6:AO88,5,FALSE)),"",ROUND(VLOOKUP(AK89,AK6:AO88,5,FALSE),0)/1000+ROUND(AL89,3)),ROUND(VLOOKUP(AK89,AE6:AI105,5,FALSE),0)/1000+ROUND(AL89,3)),ROUND(VLOOKUP(AK89,Y6:AC105,5,FALSE),0)/1000+ROUND(AL89,3)),ROUND(VLOOKUP(AK89,S6:W105,5,FALSE),0)/1000+ROUND(AL89,3)),ROUND(VLOOKUP(AK89,M6:Q105,5,FALSE),0)/1000+ROUND(AL89,3)),ROUND(VLOOKUP(AK89,G6:K105,5,FALSE),0)/1000+ROUND(AL89,3)),ROUND(VLOOKUP(AK89,A6:E105,5,FALSE),0)/1000+ROUND(AL89,3)))))</f>
        <v/>
      </c>
      <c r="AO89" s="18" t="str">
        <f>IF(OR(NOT(EXACT(UPPER(AK89),"TBM")),AL89=""),IF(AND(AL89&lt;&gt;"",AM89="",AN89&lt;&gt;""),"",IF(AND(AL89="",AM89&lt;&gt;"",AN89&lt;&gt;""),ROUND(ROUND(AN89,3)-ROUND(AM89,3),3)*1000,IF(AND(AL89&lt;&gt;"",AM89&lt;&gt;"",AN89&lt;&gt;""),ROUND(ROUND(AN88,3)-ROUND(AM89,3),3)*1000,""))),"")</f>
        <v/>
      </c>
      <c r="AP89" s="45" t="str">
        <f>IF(AND(NOT(ISNA(VLOOKUP(AK89,A6:E105,5,FALSE))),AL89="",AM89&lt;&gt;""),ROUND((VLOOKUP(AK89,A6:E105,5,FALSE)-AO89)/1000,3),IF(AND(NOT(ISNA(VLOOKUP(AK89,G6:K105,5,FALSE))),AL89="",AM89&lt;&gt;""),ROUND((VLOOKUP(AK89,G6:K105,5,FALSE)-AO89)/1000,3),IF(AND(NOT(ISNA(VLOOKUP(AK89,M6:Q105,5,FALSE))),AL89="",AM89&lt;&gt;""),ROUND((VLOOKUP(AK89,M6:Q105,5,FALSE)-AO89)/1000,3),IF(AND(NOT(ISNA(VLOOKUP(AK89,S6:W105,5,FALSE))),AL89="",AM89&lt;&gt;""),ROUND((VLOOKUP(AK89,S6:W105,5,FALSE)-AO89)/1000,3),IF(AND(NOT(ISNA(VLOOKUP(AK89,Y6:AC105,5,FALSE))),AL89="",AM89&lt;&gt;""),ROUND((VLOOKUP(AK89,Y6:AC105,5,FALSE)-AO89)/1000,3),IF(AND(NOT(ISNA(VLOOKUP(AK89,AE6:AI105,5,FALSE))),AL89="",AM89&lt;&gt;""),ROUND((VLOOKUP(AK89,AE6:AI105,5,FALSE)-AO89)/1000,3),IF(AND(NOT(ISNA(VLOOKUP(AK89,AK6:AO88,5,FALSE))),AL89="",AM89&lt;&gt;""),ROUND((VLOOKUP(AK89,AK6:AO88,5,FALSE)-AO89)/1000,3),"")))))))</f>
        <v/>
      </c>
      <c r="AQ89" s="19">
        <f>IF(AQ88="","",AQ88+1)</f>
        <v>783</v>
      </c>
      <c r="AR89" s="39"/>
      <c r="AS89" s="39"/>
      <c r="AT89" s="15" t="str">
        <f>IF(AND(AR89&lt;&gt;"",AS89&lt;&gt;""),ROUND(AR89,3)+ROUND(AT88,3)-ROUND(AS89,3),IF(AND(EXACT(UPPER(AQ89),"TBM"),AR89&lt;&gt;""),ROUND(AR89,3),IF(AR89="",AT88,IF(ISNA(VLOOKUP(AQ89,A6:E105,5,FALSE)),IF(ISNA(VLOOKUP(AQ89,G6:K105,5,FALSE)),IF(ISNA(VLOOKUP(AQ89,M6:Q105,5,FALSE)),IF(ISNA(VLOOKUP(AQ89,S6:W105,5,FALSE)),IF(ISNA(VLOOKUP(AQ89,Y6:AC105,5,FALSE)),IF(ISNA(VLOOKUP(AQ89,AE6:AI105,5,FALSE)),IF(ISNA(VLOOKUP(AQ89,AK6:AO105,5,FALSE)),IF(ISNA(VLOOKUP(AQ89,AQ6:AU88,5,FALSE)),"",ROUND(VLOOKUP(AQ89,AQ6:AU88,5,FALSE),0)/1000+ROUND(AR89,3)),ROUND(VLOOKUP(AQ89,AK6:AO105,5,FALSE),0)/1000+ROUND(AR89,3)),ROUND(VLOOKUP(AQ89,AE6:AI105,5,FALSE),0)/1000+ROUND(AR89,3)),ROUND(VLOOKUP(AQ89,Y6:AC105,5,FALSE),0)/1000+ROUND(AR89,3)),ROUND(VLOOKUP(AQ89,S6:W105,5,FALSE),0)/1000+ROUND(AR89,3)),ROUND(VLOOKUP(AQ89,M6:Q105,5,FALSE),0)/1000+ROUND(AR89,3)),ROUND(VLOOKUP(AQ89,G6:K105,5,FALSE),0)/1000+ROUND(AR89,3)),ROUND(VLOOKUP(AQ89,A6:E105,5,FALSE),0)/1000+ROUND(AR89,3)))))</f>
        <v/>
      </c>
      <c r="AU89" s="18" t="str">
        <f>IF(OR(NOT(EXACT(UPPER(AQ89),"TBM")),AR89=""),IF(AND(AR89&lt;&gt;"",AS89="",AT89&lt;&gt;""),"",IF(AND(AR89="",AS89&lt;&gt;"",AT89&lt;&gt;""),ROUND(ROUND(AT89,3)-ROUND(AS89,3),3)*1000,IF(AND(AR89&lt;&gt;"",AS89&lt;&gt;"",AT89&lt;&gt;""),ROUND(ROUND(AT88,3)-ROUND(AS89,3),3)*1000,""))),"")</f>
        <v/>
      </c>
      <c r="AV89" s="45" t="str">
        <f>IF(AND(NOT(ISNA(VLOOKUP(AQ89,A6:E105,5,FALSE))),AR89="",AS89&lt;&gt;""),ROUND((VLOOKUP(AQ89,A6:E105,5,FALSE)-AU89)/1000,3),IF(AND(NOT(ISNA(VLOOKUP(AQ89,G6:K105,5,FALSE))),AR89="",AS89&lt;&gt;""),ROUND((VLOOKUP(AQ89,G6:K105,5,FALSE)-AU89)/1000,3),IF(AND(NOT(ISNA(VLOOKUP(AQ89,M6:Q105,5,FALSE))),AR89="",AS89&lt;&gt;""),ROUND((VLOOKUP(AQ89,M6:Q105,5,FALSE)-AU89)/1000,3),IF(AND(NOT(ISNA(VLOOKUP(AQ89,S6:W105,5,FALSE))),AR89="",AS89&lt;&gt;""),ROUND((VLOOKUP(AQ89,S6:W105,5,FALSE)-AU89)/1000,3),IF(AND(NOT(ISNA(VLOOKUP(AQ89,Y6:AC105,5,FALSE))),AR89="",AS89&lt;&gt;""),ROUND((VLOOKUP(AQ89,Y6:AC105,5,FALSE)-AU89)/1000,3),IF(AND(NOT(ISNA(VLOOKUP(AQ89,AE6:AI105,5,FALSE))),AR89="",AS89&lt;&gt;""),ROUND((VLOOKUP(AQ89,AE6:AI105,5,FALSE)-AU89)/1000,3),IF(AND(NOT(ISNA(VLOOKUP(AQ89,AK6:AO105,5,FALSE))),AR89="",AS89&lt;&gt;""),ROUND((VLOOKUP(AQ89,AK6:AO105,5,FALSE)-AU89)/1000,3),IF(AND(NOT(ISNA(VLOOKUP(AQ89,AQ6:AU88,5,FALSE))),AR89="",AS89&lt;&gt;""),ROUND((VLOOKUP(AQ89,AQ6:AU88,5,FALSE)-AU89)/1000,3),""))))))))</f>
        <v/>
      </c>
      <c r="AW89" s="19">
        <f>IF(AW88="","",AW88+1)</f>
        <v>883</v>
      </c>
      <c r="AX89" s="39"/>
      <c r="AY89" s="39"/>
      <c r="AZ89" s="15" t="str">
        <f>IF(AND(AX89&lt;&gt;"",AY89&lt;&gt;""),ROUND(AX89,3)+ROUND(AZ88,3)-ROUND(AY89,3),IF(AND(EXACT(UPPER(AW89),"TBM"),AX89&lt;&gt;""),ROUND(AX89,3),IF(AX89="",AZ88,IF(ISNA(VLOOKUP(AW89,A6:E105,5,FALSE)),IF(ISNA(VLOOKUP(AW89,G6:K105,5,FALSE)),IF(ISNA(VLOOKUP(AW89,M6:Q105,5,FALSE)),IF(ISNA(VLOOKUP(AW89,S6:W105,5,FALSE)),IF(ISNA(VLOOKUP(AW89,Y6:AC105,5,FALSE)),IF(ISNA(VLOOKUP(AW89,AE6:AI105,5,FALSE)),IF(ISNA(VLOOKUP(AW89,AK6:AO105,5,FALSE)),IF(ISNA(VLOOKUP(AW89,AQ6:AU105,5,FALSE)),IF(ISNA(VLOOKUP(AW89,AW6:BA88,5,FALSE)),"",ROUND(VLOOKUP(AW89,AW6:BA88,5,FALSE),0)/1000+ROUND(AX89,3)),ROUND(VLOOKUP(AW89,AQ6:AU105,5,FALSE),0)/1000+ROUND(AX89,3)),ROUND(VLOOKUP(AW89,AK6:AO105,5,FALSE),0)/1000+ROUND(AX89,3)),ROUND(VLOOKUP(AW89,AE6:AI105,5,FALSE),0)/1000+ROUND(AX89,3)),ROUND(VLOOKUP(AW89,Y6:AC105,5,FALSE),0)/1000+ROUND(AX89,3)),ROUND(VLOOKUP(AW89,S6:W105,5,FALSE),0)/1000+ROUND(AX89,3)),ROUND(VLOOKUP(AW89,M6:Q105,5,FALSE),0)/1000+ROUND(AX89,3)),ROUND(VLOOKUP(AW89,G6:K105,5,FALSE),0)/1000+ROUND(AX89,3)),ROUND(VLOOKUP(AW89,A6:E105,5,FALSE),0)/1000+ROUND(AX89,3)))))</f>
        <v/>
      </c>
      <c r="BA89" s="18" t="str">
        <f>IF(OR(NOT(EXACT(UPPER(AW89),"TBM")),AX89=""),IF(AND(AX89&lt;&gt;"",AY89="",AZ89&lt;&gt;""),"",IF(AND(AX89="",AY89&lt;&gt;"",AZ89&lt;&gt;""),ROUND(ROUND(AZ89,3)-ROUND(AY89,3),3)*1000,IF(AND(AX89&lt;&gt;"",AY89&lt;&gt;"",AZ89&lt;&gt;""),ROUND(ROUND(AZ88,3)-ROUND(AY89,3),3)*1000,""))),"")</f>
        <v/>
      </c>
      <c r="BB89" s="45" t="str">
        <f>IF(AND(NOT(ISNA(VLOOKUP(AW89,A6:E105,5,FALSE))),AX89="",AY89&lt;&gt;""),ROUND((VLOOKUP(AW89,A6:E105,5,FALSE)-BA89)/1000,3),IF(AND(NOT(ISNA(VLOOKUP(AW89,G6:K105,5,FALSE))),AX89="",AY89&lt;&gt;""),ROUND((VLOOKUP(AW89,G6:K105,5,FALSE)-BA89)/1000,3),IF(AND(NOT(ISNA(VLOOKUP(AW89,M6:Q105,5,FALSE))),AX89="",AY89&lt;&gt;""),ROUND((VLOOKUP(AW89,M6:Q105,5,FALSE)-BA89)/1000,3),IF(AND(NOT(ISNA(VLOOKUP(AW89,S6:W105,5,FALSE))),AX89="",AY89&lt;&gt;""),ROUND((VLOOKUP(AW89,S6:W105,5,FALSE)-BA89)/1000,3),IF(AND(NOT(ISNA(VLOOKUP(AW89,Y6:AC105,5,FALSE))),AX89="",AY89&lt;&gt;""),ROUND((VLOOKUP(AW89,Y6:AC105,5,FALSE)-BA89)/1000,3),IF(AND(NOT(ISNA(VLOOKUP(AW89,AE6:AI105,5,FALSE))),AX89="",AY89&lt;&gt;""),ROUND((VLOOKUP(AW89,AE6:AI105,5,FALSE)-BA89)/1000,3),IF(AND(NOT(ISNA(VLOOKUP(AW89,AK6:AO105,5,FALSE))),AX89="",AY89&lt;&gt;""),ROUND((VLOOKUP(AW89,AK6:AO105,5,FALSE)-BA89)/1000,3),IF(AND(NOT(ISNA(VLOOKUP(AW89,AQ6:AU105,5,FALSE))),AX89="",AY89&lt;&gt;""),ROUND((VLOOKUP(AW89,AQ6:AU105,5,FALSE)-BA89)/1000,3),IF(AND(NOT(ISNA(VLOOKUP(AW89,AW6:BA88,5,FALSE))),AX89="",AY89&lt;&gt;""),ROUND((VLOOKUP(AW89,AW6:BA88,5,FALSE)-BA89)/1000,3),"")))))))))</f>
        <v/>
      </c>
      <c r="BC89" s="19">
        <f>IF(BC88="","",BC88+1)</f>
        <v>983</v>
      </c>
      <c r="BD89" s="39"/>
      <c r="BE89" s="39"/>
      <c r="BF89" s="15" t="str">
        <f>IF(AND(BD89&lt;&gt;"",BE89&lt;&gt;""),ROUND(BD89,3)+ROUND(BF88,3)-ROUND(BE89,3),IF(AND(EXACT(UPPER(BC89),"TBM"),BD89&lt;&gt;""),ROUND(BD89,3),IF(BD89="",BF88,IF(ISNA(VLOOKUP(BC89,A6:E105,5,FALSE)),IF(ISNA(VLOOKUP(BC89,G6:K105,5,FALSE)),IF(ISNA(VLOOKUP(BC89,M6:Q105,5,FALSE)),IF(ISNA(VLOOKUP(BC89,S6:W105,5,FALSE)),IF(ISNA(VLOOKUP(BC89,Y6:AC105,5,FALSE)),IF(ISNA(VLOOKUP(BC89,AE6:AI105,5,FALSE)),IF(ISNA(VLOOKUP(BC89,AK6:AO105,5,FALSE)),IF(ISNA(VLOOKUP(BC89,AQ6:AU105,5,FALSE)),IF(ISNA(VLOOKUP(BC89,AW6:BA105,5,FALSE)),IF(ISNA(VLOOKUP(BC89,BC6:BG88,5,FALSE)),"",ROUND(VLOOKUP(BC89,BC6:BG88,5,FALSE),0)/1000+ROUND(BD89,3)),ROUND(VLOOKUP(BC89,AW6:BA105,5,FALSE),0)/1000+ROUND(BD89,3)),ROUND(VLOOKUP(BC89,AQ6:AU105,5,FALSE),0)/1000+ROUND(BD89,3)),ROUND(VLOOKUP(BC89,AK6:AO105,5,FALSE),0)/1000+ROUND(BD89,3)),ROUND(VLOOKUP(BC89,AE6:AI105,5,FALSE),0)/1000+ROUND(BD89,3)),ROUND(VLOOKUP(BC89,Y6:AC105,5,FALSE),0)/1000+ROUND(BD89,3)),ROUND(VLOOKUP(BC89,S6:W105,5,FALSE),0)/1000+ROUND(BD89,3)),ROUND(VLOOKUP(BC89,M6:Q105,5,FALSE),0)/1000+ROUND(BD89,3)),ROUND(VLOOKUP(BC89,G6:K105,5,FALSE),0)/1000+ROUND(BD89,3)),ROUND(VLOOKUP(BC89,A6:E105,5,FALSE),0)/1000+ROUND(BD89,3)))))</f>
        <v/>
      </c>
      <c r="BG89" s="18" t="str">
        <f>IF(OR(NOT(EXACT(UPPER(BC89),"TBM")),BD89=""),IF(AND(BD89&lt;&gt;"",BE89="",BF89&lt;&gt;""),"",IF(AND(BD89="",BE89&lt;&gt;"",BF89&lt;&gt;""),ROUND(ROUND(BF89,3)-ROUND(BE89,3),3)*1000,IF(AND(BD89&lt;&gt;"",BE89&lt;&gt;"",BF89&lt;&gt;""),ROUND(ROUND(BF88,3)-ROUND(BE89,3),3)*1000,""))),"")</f>
        <v/>
      </c>
      <c r="BH89" s="45" t="str">
        <f>IF(AND(NOT(ISNA(VLOOKUP(BC89,A6:E105,5,FALSE))),BD89="",BE89&lt;&gt;""),ROUND((VLOOKUP(BC89,A6:E105,5,FALSE)-BG89)/1000,3),IF(AND(NOT(ISNA(VLOOKUP(BC89,G6:K105,5,FALSE))),BD89="",BE89&lt;&gt;""),ROUND((VLOOKUP(BC89,G6:K105,5,FALSE)-BG89)/1000,3),IF(AND(NOT(ISNA(VLOOKUP(BC89,M6:Q105,5,FALSE))),BD89="",BE89&lt;&gt;""),ROUND((VLOOKUP(BC89,M6:Q105,5,FALSE)-BG89)/1000,3),IF(AND(NOT(ISNA(VLOOKUP(BC89,S6:W105,5,FALSE))),BD89="",BE89&lt;&gt;""),ROUND((VLOOKUP(BC89,S6:W105,5,FALSE)-BG89)/1000,3),IF(AND(NOT(ISNA(VLOOKUP(BC89,Y6:AC105,5,FALSE))),BD89="",BE89&lt;&gt;""),ROUND((VLOOKUP(BC89,Y6:AC105,5,FALSE)-BG89)/1000,3),IF(AND(NOT(ISNA(VLOOKUP(BC89,AE6:AI105,5,FALSE))),BD89="",BE89&lt;&gt;""),ROUND((VLOOKUP(BC89,AE6:AI105,5,FALSE)-BG89)/1000,3),IF(AND(NOT(ISNA(VLOOKUP(BC89,AK6:AO105,5,FALSE))),BD89="",BE89&lt;&gt;""),ROUND((VLOOKUP(BC89,AK6:AO105,5,FALSE)-BG89)/1000,3),IF(AND(NOT(ISNA(VLOOKUP(BC89,AQ6:AU105,5,FALSE))),BD89="",BE89&lt;&gt;""),ROUND((VLOOKUP(BC89,AQ6:AU105,5,FALSE)-BG89)/1000,3),IF(AND(NOT(ISNA(VLOOKUP(BC89,AW6:BA105,5,FALSE))),BD89="",BE89&lt;&gt;""),ROUND((VLOOKUP(BC89,AW6:BA105,5,FALSE)-BG89)/1000,3),IF(AND(NOT(ISNA(VLOOKUP(BC89,BC6:BG88,5,FALSE))),BD89="",BE89&lt;&gt;""),ROUND((VLOOKUP(BC89,BC6:BG88,5,FALSE)-BG89)/1000,3),""))))))))))</f>
        <v/>
      </c>
    </row>
    <row r="90" spans="1:60" x14ac:dyDescent="0.25">
      <c r="A90" s="67">
        <f t="shared" si="9"/>
        <v>84</v>
      </c>
      <c r="B90" s="40"/>
      <c r="C90" s="40"/>
      <c r="D90" s="62" t="str">
        <f>IF(AND(B90&lt;&gt;"",C90&lt;&gt;""),ROUND(B90,3)+ROUND(D89,3)-ROUND(C90,3),IF(AND(EXACT(UPPER(A90),"TBM"),B90&lt;&gt;""),ROUND(B90,3),IF(B90="",D89,IF(ISNA(VLOOKUP(A90,A6:E89,5,FALSE)),"",ROUND(VLOOKUP(A90,A6:E89,5,FALSE),0)/1000+ROUND(B90,3)))))</f>
        <v/>
      </c>
      <c r="E90" s="20" t="str">
        <f t="shared" si="6"/>
        <v/>
      </c>
      <c r="F90" s="46" t="str">
        <f>IF(AND(NOT(ISNA(VLOOKUP(A90,A6:E89,5,FALSE))),B90="",C90&lt;&gt;""),ROUND((VLOOKUP(A90,A6:E89,5,FALSE)-E90)/1000,3),"")</f>
        <v/>
      </c>
      <c r="G90" s="67">
        <f t="shared" si="7"/>
        <v>184</v>
      </c>
      <c r="H90" s="40"/>
      <c r="I90" s="40"/>
      <c r="J90" s="62" t="str">
        <f>IF(AND(H90&lt;&gt;"",I90&lt;&gt;""),ROUND(H90,3)+ROUND(J89,3)-ROUND(I90,3),IF(AND(EXACT(UPPER(G90),"TBM"),H90&lt;&gt;""),ROUND(H90,3),IF(H90="",J89,IF(ISNA(VLOOKUP(G90,A6:E105,5,FALSE)),IF(ISNA(VLOOKUP(G90,G6:K89,5,FALSE)),"",ROUND(VLOOKUP(G90,G6:K89,5,FALSE),0)/1000+ROUND(H90,3)),ROUND(VLOOKUP(G90,A6:E105,5,FALSE),0)/1000+ROUND(H90,3)))))</f>
        <v/>
      </c>
      <c r="K90" s="63" t="str">
        <f t="shared" si="8"/>
        <v/>
      </c>
      <c r="L90" s="46" t="str">
        <f>IF(AND(NOT(ISNA(VLOOKUP(G90,A6:E105,5,FALSE))),H90="",I90&lt;&gt;""),ROUND((VLOOKUP(G90,A6:E105,5,FALSE)-K90)/1000,3),IF(AND(NOT(ISNA(VLOOKUP(G90,G6:K89,5,FALSE))),H90="",I90&lt;&gt;""),ROUND((VLOOKUP(G90,G6:K89,5,FALSE)-K90)/1000,3),""))</f>
        <v/>
      </c>
      <c r="M90" s="67">
        <f>IF(M89="","",M89+1)</f>
        <v>284</v>
      </c>
      <c r="N90" s="40"/>
      <c r="O90" s="40"/>
      <c r="P90" s="62" t="str">
        <f>IF(AND(N90&lt;&gt;"",O90&lt;&gt;""),ROUND(N90,3)+ROUND(P89,3)-ROUND(O90,3),IF(AND(EXACT(UPPER(M90),"TBM"),N90&lt;&gt;""),ROUND(N90,3),IF(N90="",P89,IF(ISNA(VLOOKUP(M90,A6:E105,5,FALSE)),IF(ISNA(VLOOKUP(M90,G6:K105,5,FALSE)),IF(ISNA(VLOOKUP(M90,M6:Q89,5,FALSE)),"",ROUND(VLOOKUP(M90,M6:Q89,5,FALSE),0)/1000+ROUND(N90,3)),ROUND(VLOOKUP(M90,G6:K105,5,FALSE),0)/1000+ROUND(N90,3)),ROUND(VLOOKUP(M90,A6:E105,5,FALSE),0)/1000+ROUND(N90,3)))))</f>
        <v/>
      </c>
      <c r="Q90" s="63" t="str">
        <f>IF(OR(NOT(EXACT(UPPER(M90),"TBM")),N90=""),IF(AND(N90&lt;&gt;"",O90="",P90&lt;&gt;""),"",IF(AND(N90="",O90&lt;&gt;"",P90&lt;&gt;""),ROUND(ROUND(P90,3)-ROUND(O90,3),3)*1000,IF(AND(N90&lt;&gt;"",O90&lt;&gt;"",P90&lt;&gt;""),ROUND(ROUND(P89,3)-ROUND(O90,3),3)*1000,""))),"")</f>
        <v/>
      </c>
      <c r="R90" s="46" t="str">
        <f>IF(AND(NOT(ISNA(VLOOKUP(M90,A6:E105,5,FALSE))),N90="",O90&lt;&gt;""),ROUND((VLOOKUP(M90,A6:E105,5,FALSE)-Q90)/1000,3),IF(AND(NOT(ISNA(VLOOKUP(M90,G6:K105,5,FALSE))),N90="",O90&lt;&gt;""),ROUND((VLOOKUP(M90,G6:K105,5,FALSE)-Q90)/1000,3),IF(AND(NOT(ISNA(VLOOKUP(M90,M6:Q89,5,FALSE))),N90="",O90&lt;&gt;""),ROUND((VLOOKUP(M90,M6:Q89,5,FALSE)-Q90)/1000,3),"")))</f>
        <v/>
      </c>
      <c r="S90" s="67">
        <f>IF(S89="","",S89+1)</f>
        <v>384</v>
      </c>
      <c r="T90" s="40"/>
      <c r="U90" s="40"/>
      <c r="V90" s="62" t="str">
        <f>IF(AND(T90&lt;&gt;"",U90&lt;&gt;""),ROUND(T90,3)+ROUND(V89,3)-ROUND(U90,3),IF(AND(EXACT(UPPER(S90),"TBM"),T90&lt;&gt;""),ROUND(T90,3),IF(T90="",V89,IF(ISNA(VLOOKUP(S90,A6:E105,5,FALSE)),IF(ISNA(VLOOKUP(S90,G6:K105,5,FALSE)),IF(ISNA(VLOOKUP(S90,M6:Q105,5,FALSE)),IF(ISNA(VLOOKUP(S90,S6:W89,5,FALSE)),"",ROUND(VLOOKUP(S90,S6:W89,5,FALSE),0)/1000+ROUND(T90,3)),ROUND(VLOOKUP(S90,M6:Q105,5,FALSE),0)/1000+ROUND(T90,3)),ROUND(VLOOKUP(S90,G6:K105,5,FALSE),0)/1000+ROUND(T90,3)),ROUND(VLOOKUP(S90,A6:E105,5,FALSE),0)/1000+ROUND(T90,3)))))</f>
        <v/>
      </c>
      <c r="W90" s="63" t="str">
        <f>IF(OR(NOT(EXACT(UPPER(S90),"TBM")),T90=""),IF(AND(T90&lt;&gt;"",U90="",V90&lt;&gt;""),"",IF(AND(T90="",U90&lt;&gt;"",V90&lt;&gt;""),ROUND(ROUND(V90,3)-ROUND(U90,3),3)*1000,IF(AND(T90&lt;&gt;"",U90&lt;&gt;"",V90&lt;&gt;""),ROUND(ROUND(V89,3)-ROUND(U90,3),3)*1000,""))),"")</f>
        <v/>
      </c>
      <c r="X90" s="46" t="str">
        <f>IF(AND(NOT(ISNA(VLOOKUP(S90,A6:E105,5,FALSE))),T90="",U90&lt;&gt;""),ROUND((VLOOKUP(S90,A6:E105,5,FALSE)-W90)/1000,3),IF(AND(NOT(ISNA(VLOOKUP(S90,G6:K105,5,FALSE))),T90="",U90&lt;&gt;""),ROUND((VLOOKUP(S90,G6:K105,5,FALSE)-W90)/1000,3),IF(AND(NOT(ISNA(VLOOKUP(S90,M6:Q105,5,FALSE))),T90="",U90&lt;&gt;""),ROUND((VLOOKUP(S90,M6:Q105,5,FALSE)-W90)/1000,3),IF(AND(NOT(ISNA(VLOOKUP(S90,S6:W89,5,FALSE))),T90="",U90&lt;&gt;""),ROUND((VLOOKUP(S90,S6:W89,5,FALSE)-W90)/1000,3),""))))</f>
        <v/>
      </c>
      <c r="Y90" s="67">
        <f>IF(Y89="","",Y89+1)</f>
        <v>484</v>
      </c>
      <c r="Z90" s="40"/>
      <c r="AA90" s="40"/>
      <c r="AB90" s="62" t="str">
        <f>IF(AND(Z90&lt;&gt;"",AA90&lt;&gt;""),ROUND(Z90,3)+ROUND(AB89,3)-ROUND(AA90,3),IF(AND(EXACT(UPPER(Y90),"TBM"),Z90&lt;&gt;""),ROUND(Z90,3),IF(Z90="",AB89,IF(ISNA(VLOOKUP(Y90,A6:E105,5,FALSE)),IF(ISNA(VLOOKUP(Y90,G6:K105,5,FALSE)),IF(ISNA(VLOOKUP(Y90,M6:Q105,5,FALSE)),IF(ISNA(VLOOKUP(Y90,S6:W105,5,FALSE)),IF(ISNA(VLOOKUP(Y90,Y6:AC89,5,FALSE)),"",ROUND(VLOOKUP(Y90,Y6:AC89,5,FALSE),0)/1000+ROUND(Z90,3)),ROUND(VLOOKUP(Y90,S6:W105,5,FALSE),0)/1000+ROUND(Z90,3)),ROUND(VLOOKUP(Y90,M6:Q105,5,FALSE),0)/1000+ROUND(Z90,3)),ROUND(VLOOKUP(Y90,G6:K105,5,FALSE),0)/1000+ROUND(Z90,3)),ROUND(VLOOKUP(Y90,A6:E105,5,FALSE),0)/1000+ROUND(Z90,3)))))</f>
        <v/>
      </c>
      <c r="AC90" s="63" t="str">
        <f>IF(OR(NOT(EXACT(UPPER(Y90),"TBM")),Z90=""),IF(AND(Z90&lt;&gt;"",AA90="",AB90&lt;&gt;""),"",IF(AND(Z90="",AA90&lt;&gt;"",AB90&lt;&gt;""),ROUND(ROUND(AB90,3)-ROUND(AA90,3),3)*1000,IF(AND(Z90&lt;&gt;"",AA90&lt;&gt;"",AB90&lt;&gt;""),ROUND(ROUND(AB89,3)-ROUND(AA90,3),3)*1000,""))),"")</f>
        <v/>
      </c>
      <c r="AD90" s="46" t="str">
        <f>IF(AND(NOT(ISNA(VLOOKUP(Y90,A6:E105,5,FALSE))),Z90="",AA90&lt;&gt;""),ROUND((VLOOKUP(Y90,A6:E105,5,FALSE)-AC90)/1000,3),IF(AND(NOT(ISNA(VLOOKUP(Y90,G6:K105,5,FALSE))),Z90="",AA90&lt;&gt;""),ROUND((VLOOKUP(Y90,G6:K105,5,FALSE)-AC90)/1000,3),IF(AND(NOT(ISNA(VLOOKUP(Y90,M6:Q105,5,FALSE))),Z90="",AA90&lt;&gt;""),ROUND((VLOOKUP(Y90,M6:Q105,5,FALSE)-AC90)/1000,3),IF(AND(NOT(ISNA(VLOOKUP(Y90,S6:W105,5,FALSE))),Z90="",AA90&lt;&gt;""),ROUND((VLOOKUP(Y90,S6:W105,5,FALSE)-AC90)/1000,3),IF(AND(NOT(ISNA(VLOOKUP(Y90,Y6:AC89,5,FALSE))),Z90="",AA90&lt;&gt;""),ROUND((VLOOKUP(Y90,Y6:AC89,5,FALSE)-AC90)/1000,3),"")))))</f>
        <v/>
      </c>
      <c r="AE90" s="67">
        <f>IF(AE89="","",AE89+1)</f>
        <v>584</v>
      </c>
      <c r="AF90" s="40"/>
      <c r="AG90" s="40"/>
      <c r="AH90" s="62" t="str">
        <f>IF(AND(AF90&lt;&gt;"",AG90&lt;&gt;""),ROUND(AF90,3)+ROUND(AH89,3)-ROUND(AG90,3),IF(AND(EXACT(UPPER(AE90),"TBM"),AF90&lt;&gt;""),ROUND(AF90,3),IF(AF90="",AH89,IF(ISNA(VLOOKUP(AE90,A6:E105,5,FALSE)),IF(ISNA(VLOOKUP(AE90,G6:K105,5,FALSE)),IF(ISNA(VLOOKUP(AE90,M6:Q105,5,FALSE)),IF(ISNA(VLOOKUP(AE90,S6:W105,5,FALSE)),IF(ISNA(VLOOKUP(AE90,Y6:AC105,5,FALSE)),IF(ISNA(VLOOKUP(AE90,AE6:AI89,5,FALSE)),"",ROUND(VLOOKUP(AE90,AE6:AI89,5,FALSE),0)/1000+ROUND(AF90,3)),ROUND(VLOOKUP(AE90,Y6:AC105,5,FALSE),0)/1000+ROUND(AF90,3)),ROUND(VLOOKUP(AE90,S6:W105,5,FALSE),0)/1000+ROUND(AF90,3)),ROUND(VLOOKUP(AE90,M6:Q105,5,FALSE),0)/1000+ROUND(AF90,3)),ROUND(VLOOKUP(AE90,G6:K105,5,FALSE),0)/1000+ROUND(AF90,3)),ROUND(VLOOKUP(AE90,A6:E105,5,FALSE),0)/1000+ROUND(AF90,3)))))</f>
        <v/>
      </c>
      <c r="AI90" s="63" t="str">
        <f>IF(OR(NOT(EXACT(UPPER(AE90),"TBM")),AF90=""),IF(AND(AF90&lt;&gt;"",AG90="",AH90&lt;&gt;""),"",IF(AND(AF90="",AG90&lt;&gt;"",AH90&lt;&gt;""),ROUND(ROUND(AH90,3)-ROUND(AG90,3),3)*1000,IF(AND(AF90&lt;&gt;"",AG90&lt;&gt;"",AH90&lt;&gt;""),ROUND(ROUND(AH89,3)-ROUND(AG90,3),3)*1000,""))),"")</f>
        <v/>
      </c>
      <c r="AJ90" s="46" t="str">
        <f>IF(AND(NOT(ISNA(VLOOKUP(AE90,A6:E105,5,FALSE))),AF90="",AG90&lt;&gt;""),ROUND((VLOOKUP(AE90,A6:E105,5,FALSE)-AI90)/1000,3),IF(AND(NOT(ISNA(VLOOKUP(AE90,G6:K105,5,FALSE))),AF90="",AG90&lt;&gt;""),ROUND((VLOOKUP(AE90,G6:K105,5,FALSE)-AI90)/1000,3),IF(AND(NOT(ISNA(VLOOKUP(AE90,M6:Q105,5,FALSE))),AF90="",AG90&lt;&gt;""),ROUND((VLOOKUP(AE90,M6:Q105,5,FALSE)-AI90)/1000,3),IF(AND(NOT(ISNA(VLOOKUP(AE90,S6:W105,5,FALSE))),AF90="",AG90&lt;&gt;""),ROUND((VLOOKUP(AE90,S6:W105,5,FALSE)-AI90)/1000,3),IF(AND(NOT(ISNA(VLOOKUP(AE90,Y6:AC105,5,FALSE))),AF90="",AG90&lt;&gt;""),ROUND((VLOOKUP(AE90,Y6:AC105,5,FALSE)-AI90)/1000,3),IF(AND(NOT(ISNA(VLOOKUP(AE90,AE6:AI89,5,FALSE))),AF90="",AG90&lt;&gt;""),ROUND((VLOOKUP(AE90,AE6:AI89,5,FALSE)-AI90)/1000,3),""))))))</f>
        <v/>
      </c>
      <c r="AK90" s="67">
        <f>IF(AK89="","",AK89+1)</f>
        <v>684</v>
      </c>
      <c r="AL90" s="40"/>
      <c r="AM90" s="40"/>
      <c r="AN90" s="62" t="str">
        <f>IF(AND(AL90&lt;&gt;"",AM90&lt;&gt;""),ROUND(AL90,3)+ROUND(AN89,3)-ROUND(AM90,3),IF(AND(EXACT(UPPER(AK90),"TBM"),AL90&lt;&gt;""),ROUND(AL90,3),IF(AL90="",AN89,IF(ISNA(VLOOKUP(AK90,A6:E105,5,FALSE)),IF(ISNA(VLOOKUP(AK90,G6:K105,5,FALSE)),IF(ISNA(VLOOKUP(AK90,M6:Q105,5,FALSE)),IF(ISNA(VLOOKUP(AK90,S6:W105,5,FALSE)),IF(ISNA(VLOOKUP(AK90,Y6:AC105,5,FALSE)),IF(ISNA(VLOOKUP(AK90,AE6:AI105,5,FALSE)),IF(ISNA(VLOOKUP(AK90,AK6:AO89,5,FALSE)),"",ROUND(VLOOKUP(AK90,AK6:AO89,5,FALSE),0)/1000+ROUND(AL90,3)),ROUND(VLOOKUP(AK90,AE6:AI105,5,FALSE),0)/1000+ROUND(AL90,3)),ROUND(VLOOKUP(AK90,Y6:AC105,5,FALSE),0)/1000+ROUND(AL90,3)),ROUND(VLOOKUP(AK90,S6:W105,5,FALSE),0)/1000+ROUND(AL90,3)),ROUND(VLOOKUP(AK90,M6:Q105,5,FALSE),0)/1000+ROUND(AL90,3)),ROUND(VLOOKUP(AK90,G6:K105,5,FALSE),0)/1000+ROUND(AL90,3)),ROUND(VLOOKUP(AK90,A6:E105,5,FALSE),0)/1000+ROUND(AL90,3)))))</f>
        <v/>
      </c>
      <c r="AO90" s="63" t="str">
        <f>IF(OR(NOT(EXACT(UPPER(AK90),"TBM")),AL90=""),IF(AND(AL90&lt;&gt;"",AM90="",AN90&lt;&gt;""),"",IF(AND(AL90="",AM90&lt;&gt;"",AN90&lt;&gt;""),ROUND(ROUND(AN90,3)-ROUND(AM90,3),3)*1000,IF(AND(AL90&lt;&gt;"",AM90&lt;&gt;"",AN90&lt;&gt;""),ROUND(ROUND(AN89,3)-ROUND(AM90,3),3)*1000,""))),"")</f>
        <v/>
      </c>
      <c r="AP90" s="46" t="str">
        <f>IF(AND(NOT(ISNA(VLOOKUP(AK90,A6:E105,5,FALSE))),AL90="",AM90&lt;&gt;""),ROUND((VLOOKUP(AK90,A6:E105,5,FALSE)-AO90)/1000,3),IF(AND(NOT(ISNA(VLOOKUP(AK90,G6:K105,5,FALSE))),AL90="",AM90&lt;&gt;""),ROUND((VLOOKUP(AK90,G6:K105,5,FALSE)-AO90)/1000,3),IF(AND(NOT(ISNA(VLOOKUP(AK90,M6:Q105,5,FALSE))),AL90="",AM90&lt;&gt;""),ROUND((VLOOKUP(AK90,M6:Q105,5,FALSE)-AO90)/1000,3),IF(AND(NOT(ISNA(VLOOKUP(AK90,S6:W105,5,FALSE))),AL90="",AM90&lt;&gt;""),ROUND((VLOOKUP(AK90,S6:W105,5,FALSE)-AO90)/1000,3),IF(AND(NOT(ISNA(VLOOKUP(AK90,Y6:AC105,5,FALSE))),AL90="",AM90&lt;&gt;""),ROUND((VLOOKUP(AK90,Y6:AC105,5,FALSE)-AO90)/1000,3),IF(AND(NOT(ISNA(VLOOKUP(AK90,AE6:AI105,5,FALSE))),AL90="",AM90&lt;&gt;""),ROUND((VLOOKUP(AK90,AE6:AI105,5,FALSE)-AO90)/1000,3),IF(AND(NOT(ISNA(VLOOKUP(AK90,AK6:AO89,5,FALSE))),AL90="",AM90&lt;&gt;""),ROUND((VLOOKUP(AK90,AK6:AO89,5,FALSE)-AO90)/1000,3),"")))))))</f>
        <v/>
      </c>
      <c r="AQ90" s="67">
        <f>IF(AQ89="","",AQ89+1)</f>
        <v>784</v>
      </c>
      <c r="AR90" s="40"/>
      <c r="AS90" s="40"/>
      <c r="AT90" s="62" t="str">
        <f>IF(AND(AR90&lt;&gt;"",AS90&lt;&gt;""),ROUND(AR90,3)+ROUND(AT89,3)-ROUND(AS90,3),IF(AND(EXACT(UPPER(AQ90),"TBM"),AR90&lt;&gt;""),ROUND(AR90,3),IF(AR90="",AT89,IF(ISNA(VLOOKUP(AQ90,A6:E105,5,FALSE)),IF(ISNA(VLOOKUP(AQ90,G6:K105,5,FALSE)),IF(ISNA(VLOOKUP(AQ90,M6:Q105,5,FALSE)),IF(ISNA(VLOOKUP(AQ90,S6:W105,5,FALSE)),IF(ISNA(VLOOKUP(AQ90,Y6:AC105,5,FALSE)),IF(ISNA(VLOOKUP(AQ90,AE6:AI105,5,FALSE)),IF(ISNA(VLOOKUP(AQ90,AK6:AO105,5,FALSE)),IF(ISNA(VLOOKUP(AQ90,AQ6:AU89,5,FALSE)),"",ROUND(VLOOKUP(AQ90,AQ6:AU89,5,FALSE),0)/1000+ROUND(AR90,3)),ROUND(VLOOKUP(AQ90,AK6:AO105,5,FALSE),0)/1000+ROUND(AR90,3)),ROUND(VLOOKUP(AQ90,AE6:AI105,5,FALSE),0)/1000+ROUND(AR90,3)),ROUND(VLOOKUP(AQ90,Y6:AC105,5,FALSE),0)/1000+ROUND(AR90,3)),ROUND(VLOOKUP(AQ90,S6:W105,5,FALSE),0)/1000+ROUND(AR90,3)),ROUND(VLOOKUP(AQ90,M6:Q105,5,FALSE),0)/1000+ROUND(AR90,3)),ROUND(VLOOKUP(AQ90,G6:K105,5,FALSE),0)/1000+ROUND(AR90,3)),ROUND(VLOOKUP(AQ90,A6:E105,5,FALSE),0)/1000+ROUND(AR90,3)))))</f>
        <v/>
      </c>
      <c r="AU90" s="63" t="str">
        <f>IF(OR(NOT(EXACT(UPPER(AQ90),"TBM")),AR90=""),IF(AND(AR90&lt;&gt;"",AS90="",AT90&lt;&gt;""),"",IF(AND(AR90="",AS90&lt;&gt;"",AT90&lt;&gt;""),ROUND(ROUND(AT90,3)-ROUND(AS90,3),3)*1000,IF(AND(AR90&lt;&gt;"",AS90&lt;&gt;"",AT90&lt;&gt;""),ROUND(ROUND(AT89,3)-ROUND(AS90,3),3)*1000,""))),"")</f>
        <v/>
      </c>
      <c r="AV90" s="46" t="str">
        <f>IF(AND(NOT(ISNA(VLOOKUP(AQ90,A6:E105,5,FALSE))),AR90="",AS90&lt;&gt;""),ROUND((VLOOKUP(AQ90,A6:E105,5,FALSE)-AU90)/1000,3),IF(AND(NOT(ISNA(VLOOKUP(AQ90,G6:K105,5,FALSE))),AR90="",AS90&lt;&gt;""),ROUND((VLOOKUP(AQ90,G6:K105,5,FALSE)-AU90)/1000,3),IF(AND(NOT(ISNA(VLOOKUP(AQ90,M6:Q105,5,FALSE))),AR90="",AS90&lt;&gt;""),ROUND((VLOOKUP(AQ90,M6:Q105,5,FALSE)-AU90)/1000,3),IF(AND(NOT(ISNA(VLOOKUP(AQ90,S6:W105,5,FALSE))),AR90="",AS90&lt;&gt;""),ROUND((VLOOKUP(AQ90,S6:W105,5,FALSE)-AU90)/1000,3),IF(AND(NOT(ISNA(VLOOKUP(AQ90,Y6:AC105,5,FALSE))),AR90="",AS90&lt;&gt;""),ROUND((VLOOKUP(AQ90,Y6:AC105,5,FALSE)-AU90)/1000,3),IF(AND(NOT(ISNA(VLOOKUP(AQ90,AE6:AI105,5,FALSE))),AR90="",AS90&lt;&gt;""),ROUND((VLOOKUP(AQ90,AE6:AI105,5,FALSE)-AU90)/1000,3),IF(AND(NOT(ISNA(VLOOKUP(AQ90,AK6:AO105,5,FALSE))),AR90="",AS90&lt;&gt;""),ROUND((VLOOKUP(AQ90,AK6:AO105,5,FALSE)-AU90)/1000,3),IF(AND(NOT(ISNA(VLOOKUP(AQ90,AQ6:AU89,5,FALSE))),AR90="",AS90&lt;&gt;""),ROUND((VLOOKUP(AQ90,AQ6:AU89,5,FALSE)-AU90)/1000,3),""))))))))</f>
        <v/>
      </c>
      <c r="AW90" s="67">
        <f>IF(AW89="","",AW89+1)</f>
        <v>884</v>
      </c>
      <c r="AX90" s="40"/>
      <c r="AY90" s="40"/>
      <c r="AZ90" s="62" t="str">
        <f>IF(AND(AX90&lt;&gt;"",AY90&lt;&gt;""),ROUND(AX90,3)+ROUND(AZ89,3)-ROUND(AY90,3),IF(AND(EXACT(UPPER(AW90),"TBM"),AX90&lt;&gt;""),ROUND(AX90,3),IF(AX90="",AZ89,IF(ISNA(VLOOKUP(AW90,A6:E105,5,FALSE)),IF(ISNA(VLOOKUP(AW90,G6:K105,5,FALSE)),IF(ISNA(VLOOKUP(AW90,M6:Q105,5,FALSE)),IF(ISNA(VLOOKUP(AW90,S6:W105,5,FALSE)),IF(ISNA(VLOOKUP(AW90,Y6:AC105,5,FALSE)),IF(ISNA(VLOOKUP(AW90,AE6:AI105,5,FALSE)),IF(ISNA(VLOOKUP(AW90,AK6:AO105,5,FALSE)),IF(ISNA(VLOOKUP(AW90,AQ6:AU105,5,FALSE)),IF(ISNA(VLOOKUP(AW90,AW6:BA89,5,FALSE)),"",ROUND(VLOOKUP(AW90,AW6:BA89,5,FALSE),0)/1000+ROUND(AX90,3)),ROUND(VLOOKUP(AW90,AQ6:AU105,5,FALSE),0)/1000+ROUND(AX90,3)),ROUND(VLOOKUP(AW90,AK6:AO105,5,FALSE),0)/1000+ROUND(AX90,3)),ROUND(VLOOKUP(AW90,AE6:AI105,5,FALSE),0)/1000+ROUND(AX90,3)),ROUND(VLOOKUP(AW90,Y6:AC105,5,FALSE),0)/1000+ROUND(AX90,3)),ROUND(VLOOKUP(AW90,S6:W105,5,FALSE),0)/1000+ROUND(AX90,3)),ROUND(VLOOKUP(AW90,M6:Q105,5,FALSE),0)/1000+ROUND(AX90,3)),ROUND(VLOOKUP(AW90,G6:K105,5,FALSE),0)/1000+ROUND(AX90,3)),ROUND(VLOOKUP(AW90,A6:E105,5,FALSE),0)/1000+ROUND(AX90,3)))))</f>
        <v/>
      </c>
      <c r="BA90" s="63" t="str">
        <f>IF(OR(NOT(EXACT(UPPER(AW90),"TBM")),AX90=""),IF(AND(AX90&lt;&gt;"",AY90="",AZ90&lt;&gt;""),"",IF(AND(AX90="",AY90&lt;&gt;"",AZ90&lt;&gt;""),ROUND(ROUND(AZ90,3)-ROUND(AY90,3),3)*1000,IF(AND(AX90&lt;&gt;"",AY90&lt;&gt;"",AZ90&lt;&gt;""),ROUND(ROUND(AZ89,3)-ROUND(AY90,3),3)*1000,""))),"")</f>
        <v/>
      </c>
      <c r="BB90" s="46" t="str">
        <f>IF(AND(NOT(ISNA(VLOOKUP(AW90,A6:E105,5,FALSE))),AX90="",AY90&lt;&gt;""),ROUND((VLOOKUP(AW90,A6:E105,5,FALSE)-BA90)/1000,3),IF(AND(NOT(ISNA(VLOOKUP(AW90,G6:K105,5,FALSE))),AX90="",AY90&lt;&gt;""),ROUND((VLOOKUP(AW90,G6:K105,5,FALSE)-BA90)/1000,3),IF(AND(NOT(ISNA(VLOOKUP(AW90,M6:Q105,5,FALSE))),AX90="",AY90&lt;&gt;""),ROUND((VLOOKUP(AW90,M6:Q105,5,FALSE)-BA90)/1000,3),IF(AND(NOT(ISNA(VLOOKUP(AW90,S6:W105,5,FALSE))),AX90="",AY90&lt;&gt;""),ROUND((VLOOKUP(AW90,S6:W105,5,FALSE)-BA90)/1000,3),IF(AND(NOT(ISNA(VLOOKUP(AW90,Y6:AC105,5,FALSE))),AX90="",AY90&lt;&gt;""),ROUND((VLOOKUP(AW90,Y6:AC105,5,FALSE)-BA90)/1000,3),IF(AND(NOT(ISNA(VLOOKUP(AW90,AE6:AI105,5,FALSE))),AX90="",AY90&lt;&gt;""),ROUND((VLOOKUP(AW90,AE6:AI105,5,FALSE)-BA90)/1000,3),IF(AND(NOT(ISNA(VLOOKUP(AW90,AK6:AO105,5,FALSE))),AX90="",AY90&lt;&gt;""),ROUND((VLOOKUP(AW90,AK6:AO105,5,FALSE)-BA90)/1000,3),IF(AND(NOT(ISNA(VLOOKUP(AW90,AQ6:AU105,5,FALSE))),AX90="",AY90&lt;&gt;""),ROUND((VLOOKUP(AW90,AQ6:AU105,5,FALSE)-BA90)/1000,3),IF(AND(NOT(ISNA(VLOOKUP(AW90,AW6:BA89,5,FALSE))),AX90="",AY90&lt;&gt;""),ROUND((VLOOKUP(AW90,AW6:BA89,5,FALSE)-BA90)/1000,3),"")))))))))</f>
        <v/>
      </c>
      <c r="BC90" s="67">
        <f>IF(BC89="","",BC89+1)</f>
        <v>984</v>
      </c>
      <c r="BD90" s="40"/>
      <c r="BE90" s="40"/>
      <c r="BF90" s="62" t="str">
        <f>IF(AND(BD90&lt;&gt;"",BE90&lt;&gt;""),ROUND(BD90,3)+ROUND(BF89,3)-ROUND(BE90,3),IF(AND(EXACT(UPPER(BC90),"TBM"),BD90&lt;&gt;""),ROUND(BD90,3),IF(BD90="",BF89,IF(ISNA(VLOOKUP(BC90,A6:E105,5,FALSE)),IF(ISNA(VLOOKUP(BC90,G6:K105,5,FALSE)),IF(ISNA(VLOOKUP(BC90,M6:Q105,5,FALSE)),IF(ISNA(VLOOKUP(BC90,S6:W105,5,FALSE)),IF(ISNA(VLOOKUP(BC90,Y6:AC105,5,FALSE)),IF(ISNA(VLOOKUP(BC90,AE6:AI105,5,FALSE)),IF(ISNA(VLOOKUP(BC90,AK6:AO105,5,FALSE)),IF(ISNA(VLOOKUP(BC90,AQ6:AU105,5,FALSE)),IF(ISNA(VLOOKUP(BC90,AW6:BA105,5,FALSE)),IF(ISNA(VLOOKUP(BC90,BC6:BG89,5,FALSE)),"",ROUND(VLOOKUP(BC90,BC6:BG89,5,FALSE),0)/1000+ROUND(BD90,3)),ROUND(VLOOKUP(BC90,AW6:BA105,5,FALSE),0)/1000+ROUND(BD90,3)),ROUND(VLOOKUP(BC90,AQ6:AU105,5,FALSE),0)/1000+ROUND(BD90,3)),ROUND(VLOOKUP(BC90,AK6:AO105,5,FALSE),0)/1000+ROUND(BD90,3)),ROUND(VLOOKUP(BC90,AE6:AI105,5,FALSE),0)/1000+ROUND(BD90,3)),ROUND(VLOOKUP(BC90,Y6:AC105,5,FALSE),0)/1000+ROUND(BD90,3)),ROUND(VLOOKUP(BC90,S6:W105,5,FALSE),0)/1000+ROUND(BD90,3)),ROUND(VLOOKUP(BC90,M6:Q105,5,FALSE),0)/1000+ROUND(BD90,3)),ROUND(VLOOKUP(BC90,G6:K105,5,FALSE),0)/1000+ROUND(BD90,3)),ROUND(VLOOKUP(BC90,A6:E105,5,FALSE),0)/1000+ROUND(BD90,3)))))</f>
        <v/>
      </c>
      <c r="BG90" s="63" t="str">
        <f>IF(OR(NOT(EXACT(UPPER(BC90),"TBM")),BD90=""),IF(AND(BD90&lt;&gt;"",BE90="",BF90&lt;&gt;""),"",IF(AND(BD90="",BE90&lt;&gt;"",BF90&lt;&gt;""),ROUND(ROUND(BF90,3)-ROUND(BE90,3),3)*1000,IF(AND(BD90&lt;&gt;"",BE90&lt;&gt;"",BF90&lt;&gt;""),ROUND(ROUND(BF89,3)-ROUND(BE90,3),3)*1000,""))),"")</f>
        <v/>
      </c>
      <c r="BH90" s="46" t="str">
        <f>IF(AND(NOT(ISNA(VLOOKUP(BC90,A6:E105,5,FALSE))),BD90="",BE90&lt;&gt;""),ROUND((VLOOKUP(BC90,A6:E105,5,FALSE)-BG90)/1000,3),IF(AND(NOT(ISNA(VLOOKUP(BC90,G6:K105,5,FALSE))),BD90="",BE90&lt;&gt;""),ROUND((VLOOKUP(BC90,G6:K105,5,FALSE)-BG90)/1000,3),IF(AND(NOT(ISNA(VLOOKUP(BC90,M6:Q105,5,FALSE))),BD90="",BE90&lt;&gt;""),ROUND((VLOOKUP(BC90,M6:Q105,5,FALSE)-BG90)/1000,3),IF(AND(NOT(ISNA(VLOOKUP(BC90,S6:W105,5,FALSE))),BD90="",BE90&lt;&gt;""),ROUND((VLOOKUP(BC90,S6:W105,5,FALSE)-BG90)/1000,3),IF(AND(NOT(ISNA(VLOOKUP(BC90,Y6:AC105,5,FALSE))),BD90="",BE90&lt;&gt;""),ROUND((VLOOKUP(BC90,Y6:AC105,5,FALSE)-BG90)/1000,3),IF(AND(NOT(ISNA(VLOOKUP(BC90,AE6:AI105,5,FALSE))),BD90="",BE90&lt;&gt;""),ROUND((VLOOKUP(BC90,AE6:AI105,5,FALSE)-BG90)/1000,3),IF(AND(NOT(ISNA(VLOOKUP(BC90,AK6:AO105,5,FALSE))),BD90="",BE90&lt;&gt;""),ROUND((VLOOKUP(BC90,AK6:AO105,5,FALSE)-BG90)/1000,3),IF(AND(NOT(ISNA(VLOOKUP(BC90,AQ6:AU105,5,FALSE))),BD90="",BE90&lt;&gt;""),ROUND((VLOOKUP(BC90,AQ6:AU105,5,FALSE)-BG90)/1000,3),IF(AND(NOT(ISNA(VLOOKUP(BC90,AW6:BA105,5,FALSE))),BD90="",BE90&lt;&gt;""),ROUND((VLOOKUP(BC90,AW6:BA105,5,FALSE)-BG90)/1000,3),IF(AND(NOT(ISNA(VLOOKUP(BC90,BC6:BG89,5,FALSE))),BD90="",BE90&lt;&gt;""),ROUND((VLOOKUP(BC90,BC6:BG89,5,FALSE)-BG90)/1000,3),""))))))))))</f>
        <v/>
      </c>
    </row>
    <row r="91" spans="1:60" x14ac:dyDescent="0.25">
      <c r="A91" s="74">
        <f t="shared" si="9"/>
        <v>85</v>
      </c>
      <c r="B91" s="77"/>
      <c r="C91" s="77"/>
      <c r="D91" s="78" t="str">
        <f>IF(AND(B91&lt;&gt;"",C91&lt;&gt;""),ROUND(B91,3)+ROUND(D90,3)-ROUND(C91,3),IF(AND(EXACT(UPPER(A91),"TBM"),B91&lt;&gt;""),ROUND(B91,3),IF(B91="",D90,IF(ISNA(VLOOKUP(A91,A6:E90,5,FALSE)),"",ROUND(VLOOKUP(A91,A6:E90,5,FALSE),0)/1000+ROUND(B91,3)))))</f>
        <v/>
      </c>
      <c r="E91" s="96" t="str">
        <f t="shared" si="6"/>
        <v/>
      </c>
      <c r="F91" s="89" t="str">
        <f>IF(AND(NOT(ISNA(VLOOKUP(A91,A6:E90,5,FALSE))),B91="",C91&lt;&gt;""),ROUND((VLOOKUP(A91,A6:E90,5,FALSE)-E91)/1000,3),"")</f>
        <v/>
      </c>
      <c r="G91" s="74">
        <f t="shared" si="7"/>
        <v>185</v>
      </c>
      <c r="H91" s="77"/>
      <c r="I91" s="77"/>
      <c r="J91" s="78" t="str">
        <f>IF(AND(H91&lt;&gt;"",I91&lt;&gt;""),ROUND(H91,3)+ROUND(J90,3)-ROUND(I91,3),IF(AND(EXACT(UPPER(G91),"TBM"),H91&lt;&gt;""),ROUND(H91,3),IF(H91="",J90,IF(ISNA(VLOOKUP(G91,A6:E105,5,FALSE)),IF(ISNA(VLOOKUP(G91,G6:K90,5,FALSE)),"",ROUND(VLOOKUP(G91,G6:K90,5,FALSE),0)/1000+ROUND(H91,3)),ROUND(VLOOKUP(G91,A6:E105,5,FALSE),0)/1000+ROUND(H91,3)))))</f>
        <v/>
      </c>
      <c r="K91" s="87" t="str">
        <f t="shared" si="8"/>
        <v/>
      </c>
      <c r="L91" s="89" t="str">
        <f>IF(AND(NOT(ISNA(VLOOKUP(G91,A6:E105,5,FALSE))),H91="",I91&lt;&gt;""),ROUND((VLOOKUP(G91,A6:E105,5,FALSE)-K91)/1000,3),IF(AND(NOT(ISNA(VLOOKUP(G91,G6:K90,5,FALSE))),H91="",I91&lt;&gt;""),ROUND((VLOOKUP(G91,G6:K90,5,FALSE)-K91)/1000,3),""))</f>
        <v/>
      </c>
      <c r="M91" s="74">
        <f>IF(M90="","",M90+1)</f>
        <v>285</v>
      </c>
      <c r="N91" s="77"/>
      <c r="O91" s="77"/>
      <c r="P91" s="78" t="str">
        <f>IF(AND(N91&lt;&gt;"",O91&lt;&gt;""),ROUND(N91,3)+ROUND(P90,3)-ROUND(O91,3),IF(AND(EXACT(UPPER(M91),"TBM"),N91&lt;&gt;""),ROUND(N91,3),IF(N91="",P90,IF(ISNA(VLOOKUP(M91,A6:E105,5,FALSE)),IF(ISNA(VLOOKUP(M91,G6:K105,5,FALSE)),IF(ISNA(VLOOKUP(M91,M6:Q90,5,FALSE)),"",ROUND(VLOOKUP(M91,M6:Q90,5,FALSE),0)/1000+ROUND(N91,3)),ROUND(VLOOKUP(M91,G6:K105,5,FALSE),0)/1000+ROUND(N91,3)),ROUND(VLOOKUP(M91,A6:E105,5,FALSE),0)/1000+ROUND(N91,3)))))</f>
        <v/>
      </c>
      <c r="Q91" s="87" t="str">
        <f>IF(OR(NOT(EXACT(UPPER(M91),"TBM")),N91=""),IF(AND(N91&lt;&gt;"",O91="",P91&lt;&gt;""),"",IF(AND(N91="",O91&lt;&gt;"",P91&lt;&gt;""),ROUND(ROUND(P91,3)-ROUND(O91,3),3)*1000,IF(AND(N91&lt;&gt;"",O91&lt;&gt;"",P91&lt;&gt;""),ROUND(ROUND(P90,3)-ROUND(O91,3),3)*1000,""))),"")</f>
        <v/>
      </c>
      <c r="R91" s="89" t="str">
        <f>IF(AND(NOT(ISNA(VLOOKUP(M91,A6:E105,5,FALSE))),N91="",O91&lt;&gt;""),ROUND((VLOOKUP(M91,A6:E105,5,FALSE)-Q91)/1000,3),IF(AND(NOT(ISNA(VLOOKUP(M91,G6:K105,5,FALSE))),N91="",O91&lt;&gt;""),ROUND((VLOOKUP(M91,G6:K105,5,FALSE)-Q91)/1000,3),IF(AND(NOT(ISNA(VLOOKUP(M91,M6:Q90,5,FALSE))),N91="",O91&lt;&gt;""),ROUND((VLOOKUP(M91,M6:Q90,5,FALSE)-Q91)/1000,3),"")))</f>
        <v/>
      </c>
      <c r="S91" s="74">
        <f>IF(S90="","",S90+1)</f>
        <v>385</v>
      </c>
      <c r="T91" s="77"/>
      <c r="U91" s="77"/>
      <c r="V91" s="78" t="str">
        <f>IF(AND(T91&lt;&gt;"",U91&lt;&gt;""),ROUND(T91,3)+ROUND(V90,3)-ROUND(U91,3),IF(AND(EXACT(UPPER(S91),"TBM"),T91&lt;&gt;""),ROUND(T91,3),IF(T91="",V90,IF(ISNA(VLOOKUP(S91,A6:E105,5,FALSE)),IF(ISNA(VLOOKUP(S91,G6:K105,5,FALSE)),IF(ISNA(VLOOKUP(S91,M6:Q105,5,FALSE)),IF(ISNA(VLOOKUP(S91,S6:W90,5,FALSE)),"",ROUND(VLOOKUP(S91,S6:W90,5,FALSE),0)/1000+ROUND(T91,3)),ROUND(VLOOKUP(S91,M6:Q105,5,FALSE),0)/1000+ROUND(T91,3)),ROUND(VLOOKUP(S91,G6:K105,5,FALSE),0)/1000+ROUND(T91,3)),ROUND(VLOOKUP(S91,A6:E105,5,FALSE),0)/1000+ROUND(T91,3)))))</f>
        <v/>
      </c>
      <c r="W91" s="87" t="str">
        <f>IF(OR(NOT(EXACT(UPPER(S91),"TBM")),T91=""),IF(AND(T91&lt;&gt;"",U91="",V91&lt;&gt;""),"",IF(AND(T91="",U91&lt;&gt;"",V91&lt;&gt;""),ROUND(ROUND(V91,3)-ROUND(U91,3),3)*1000,IF(AND(T91&lt;&gt;"",U91&lt;&gt;"",V91&lt;&gt;""),ROUND(ROUND(V90,3)-ROUND(U91,3),3)*1000,""))),"")</f>
        <v/>
      </c>
      <c r="X91" s="89" t="str">
        <f>IF(AND(NOT(ISNA(VLOOKUP(S91,A6:E105,5,FALSE))),T91="",U91&lt;&gt;""),ROUND((VLOOKUP(S91,A6:E105,5,FALSE)-W91)/1000,3),IF(AND(NOT(ISNA(VLOOKUP(S91,G6:K105,5,FALSE))),T91="",U91&lt;&gt;""),ROUND((VLOOKUP(S91,G6:K105,5,FALSE)-W91)/1000,3),IF(AND(NOT(ISNA(VLOOKUP(S91,M6:Q105,5,FALSE))),T91="",U91&lt;&gt;""),ROUND((VLOOKUP(S91,M6:Q105,5,FALSE)-W91)/1000,3),IF(AND(NOT(ISNA(VLOOKUP(S91,S6:W90,5,FALSE))),T91="",U91&lt;&gt;""),ROUND((VLOOKUP(S91,S6:W90,5,FALSE)-W91)/1000,3),""))))</f>
        <v/>
      </c>
      <c r="Y91" s="74">
        <f>IF(Y90="","",Y90+1)</f>
        <v>485</v>
      </c>
      <c r="Z91" s="77"/>
      <c r="AA91" s="77"/>
      <c r="AB91" s="78" t="str">
        <f>IF(AND(Z91&lt;&gt;"",AA91&lt;&gt;""),ROUND(Z91,3)+ROUND(AB90,3)-ROUND(AA91,3),IF(AND(EXACT(UPPER(Y91),"TBM"),Z91&lt;&gt;""),ROUND(Z91,3),IF(Z91="",AB90,IF(ISNA(VLOOKUP(Y91,A6:E105,5,FALSE)),IF(ISNA(VLOOKUP(Y91,G6:K105,5,FALSE)),IF(ISNA(VLOOKUP(Y91,M6:Q105,5,FALSE)),IF(ISNA(VLOOKUP(Y91,S6:W105,5,FALSE)),IF(ISNA(VLOOKUP(Y91,Y6:AC90,5,FALSE)),"",ROUND(VLOOKUP(Y91,Y6:AC90,5,FALSE),0)/1000+ROUND(Z91,3)),ROUND(VLOOKUP(Y91,S6:W105,5,FALSE),0)/1000+ROUND(Z91,3)),ROUND(VLOOKUP(Y91,M6:Q105,5,FALSE),0)/1000+ROUND(Z91,3)),ROUND(VLOOKUP(Y91,G6:K105,5,FALSE),0)/1000+ROUND(Z91,3)),ROUND(VLOOKUP(Y91,A6:E105,5,FALSE),0)/1000+ROUND(Z91,3)))))</f>
        <v/>
      </c>
      <c r="AC91" s="87" t="str">
        <f>IF(OR(NOT(EXACT(UPPER(Y91),"TBM")),Z91=""),IF(AND(Z91&lt;&gt;"",AA91="",AB91&lt;&gt;""),"",IF(AND(Z91="",AA91&lt;&gt;"",AB91&lt;&gt;""),ROUND(ROUND(AB91,3)-ROUND(AA91,3),3)*1000,IF(AND(Z91&lt;&gt;"",AA91&lt;&gt;"",AB91&lt;&gt;""),ROUND(ROUND(AB90,3)-ROUND(AA91,3),3)*1000,""))),"")</f>
        <v/>
      </c>
      <c r="AD91" s="89" t="str">
        <f>IF(AND(NOT(ISNA(VLOOKUP(Y91,A6:E105,5,FALSE))),Z91="",AA91&lt;&gt;""),ROUND((VLOOKUP(Y91,A6:E105,5,FALSE)-AC91)/1000,3),IF(AND(NOT(ISNA(VLOOKUP(Y91,G6:K105,5,FALSE))),Z91="",AA91&lt;&gt;""),ROUND((VLOOKUP(Y91,G6:K105,5,FALSE)-AC91)/1000,3),IF(AND(NOT(ISNA(VLOOKUP(Y91,M6:Q105,5,FALSE))),Z91="",AA91&lt;&gt;""),ROUND((VLOOKUP(Y91,M6:Q105,5,FALSE)-AC91)/1000,3),IF(AND(NOT(ISNA(VLOOKUP(Y91,S6:W105,5,FALSE))),Z91="",AA91&lt;&gt;""),ROUND((VLOOKUP(Y91,S6:W105,5,FALSE)-AC91)/1000,3),IF(AND(NOT(ISNA(VLOOKUP(Y91,Y6:AC90,5,FALSE))),Z91="",AA91&lt;&gt;""),ROUND((VLOOKUP(Y91,Y6:AC90,5,FALSE)-AC91)/1000,3),"")))))</f>
        <v/>
      </c>
      <c r="AE91" s="74">
        <f>IF(AE90="","",AE90+1)</f>
        <v>585</v>
      </c>
      <c r="AF91" s="77"/>
      <c r="AG91" s="77"/>
      <c r="AH91" s="78" t="str">
        <f>IF(AND(AF91&lt;&gt;"",AG91&lt;&gt;""),ROUND(AF91,3)+ROUND(AH90,3)-ROUND(AG91,3),IF(AND(EXACT(UPPER(AE91),"TBM"),AF91&lt;&gt;""),ROUND(AF91,3),IF(AF91="",AH90,IF(ISNA(VLOOKUP(AE91,A6:E105,5,FALSE)),IF(ISNA(VLOOKUP(AE91,G6:K105,5,FALSE)),IF(ISNA(VLOOKUP(AE91,M6:Q105,5,FALSE)),IF(ISNA(VLOOKUP(AE91,S6:W105,5,FALSE)),IF(ISNA(VLOOKUP(AE91,Y6:AC105,5,FALSE)),IF(ISNA(VLOOKUP(AE91,AE6:AI90,5,FALSE)),"",ROUND(VLOOKUP(AE91,AE6:AI90,5,FALSE),0)/1000+ROUND(AF91,3)),ROUND(VLOOKUP(AE91,Y6:AC105,5,FALSE),0)/1000+ROUND(AF91,3)),ROUND(VLOOKUP(AE91,S6:W105,5,FALSE),0)/1000+ROUND(AF91,3)),ROUND(VLOOKUP(AE91,M6:Q105,5,FALSE),0)/1000+ROUND(AF91,3)),ROUND(VLOOKUP(AE91,G6:K105,5,FALSE),0)/1000+ROUND(AF91,3)),ROUND(VLOOKUP(AE91,A6:E105,5,FALSE),0)/1000+ROUND(AF91,3)))))</f>
        <v/>
      </c>
      <c r="AI91" s="87" t="str">
        <f>IF(OR(NOT(EXACT(UPPER(AE91),"TBM")),AF91=""),IF(AND(AF91&lt;&gt;"",AG91="",AH91&lt;&gt;""),"",IF(AND(AF91="",AG91&lt;&gt;"",AH91&lt;&gt;""),ROUND(ROUND(AH91,3)-ROUND(AG91,3),3)*1000,IF(AND(AF91&lt;&gt;"",AG91&lt;&gt;"",AH91&lt;&gt;""),ROUND(ROUND(AH90,3)-ROUND(AG91,3),3)*1000,""))),"")</f>
        <v/>
      </c>
      <c r="AJ91" s="89" t="str">
        <f>IF(AND(NOT(ISNA(VLOOKUP(AE91,A6:E105,5,FALSE))),AF91="",AG91&lt;&gt;""),ROUND((VLOOKUP(AE91,A6:E105,5,FALSE)-AI91)/1000,3),IF(AND(NOT(ISNA(VLOOKUP(AE91,G6:K105,5,FALSE))),AF91="",AG91&lt;&gt;""),ROUND((VLOOKUP(AE91,G6:K105,5,FALSE)-AI91)/1000,3),IF(AND(NOT(ISNA(VLOOKUP(AE91,M6:Q105,5,FALSE))),AF91="",AG91&lt;&gt;""),ROUND((VLOOKUP(AE91,M6:Q105,5,FALSE)-AI91)/1000,3),IF(AND(NOT(ISNA(VLOOKUP(AE91,S6:W105,5,FALSE))),AF91="",AG91&lt;&gt;""),ROUND((VLOOKUP(AE91,S6:W105,5,FALSE)-AI91)/1000,3),IF(AND(NOT(ISNA(VLOOKUP(AE91,Y6:AC105,5,FALSE))),AF91="",AG91&lt;&gt;""),ROUND((VLOOKUP(AE91,Y6:AC105,5,FALSE)-AI91)/1000,3),IF(AND(NOT(ISNA(VLOOKUP(AE91,AE6:AI90,5,FALSE))),AF91="",AG91&lt;&gt;""),ROUND((VLOOKUP(AE91,AE6:AI90,5,FALSE)-AI91)/1000,3),""))))))</f>
        <v/>
      </c>
      <c r="AK91" s="74">
        <f>IF(AK90="","",AK90+1)</f>
        <v>685</v>
      </c>
      <c r="AL91" s="77"/>
      <c r="AM91" s="77"/>
      <c r="AN91" s="78" t="str">
        <f>IF(AND(AL91&lt;&gt;"",AM91&lt;&gt;""),ROUND(AL91,3)+ROUND(AN90,3)-ROUND(AM91,3),IF(AND(EXACT(UPPER(AK91),"TBM"),AL91&lt;&gt;""),ROUND(AL91,3),IF(AL91="",AN90,IF(ISNA(VLOOKUP(AK91,A6:E105,5,FALSE)),IF(ISNA(VLOOKUP(AK91,G6:K105,5,FALSE)),IF(ISNA(VLOOKUP(AK91,M6:Q105,5,FALSE)),IF(ISNA(VLOOKUP(AK91,S6:W105,5,FALSE)),IF(ISNA(VLOOKUP(AK91,Y6:AC105,5,FALSE)),IF(ISNA(VLOOKUP(AK91,AE6:AI105,5,FALSE)),IF(ISNA(VLOOKUP(AK91,AK6:AO90,5,FALSE)),"",ROUND(VLOOKUP(AK91,AK6:AO90,5,FALSE),0)/1000+ROUND(AL91,3)),ROUND(VLOOKUP(AK91,AE6:AI105,5,FALSE),0)/1000+ROUND(AL91,3)),ROUND(VLOOKUP(AK91,Y6:AC105,5,FALSE),0)/1000+ROUND(AL91,3)),ROUND(VLOOKUP(AK91,S6:W105,5,FALSE),0)/1000+ROUND(AL91,3)),ROUND(VLOOKUP(AK91,M6:Q105,5,FALSE),0)/1000+ROUND(AL91,3)),ROUND(VLOOKUP(AK91,G6:K105,5,FALSE),0)/1000+ROUND(AL91,3)),ROUND(VLOOKUP(AK91,A6:E105,5,FALSE),0)/1000+ROUND(AL91,3)))))</f>
        <v/>
      </c>
      <c r="AO91" s="87" t="str">
        <f>IF(OR(NOT(EXACT(UPPER(AK91),"TBM")),AL91=""),IF(AND(AL91&lt;&gt;"",AM91="",AN91&lt;&gt;""),"",IF(AND(AL91="",AM91&lt;&gt;"",AN91&lt;&gt;""),ROUND(ROUND(AN91,3)-ROUND(AM91,3),3)*1000,IF(AND(AL91&lt;&gt;"",AM91&lt;&gt;"",AN91&lt;&gt;""),ROUND(ROUND(AN90,3)-ROUND(AM91,3),3)*1000,""))),"")</f>
        <v/>
      </c>
      <c r="AP91" s="89" t="str">
        <f>IF(AND(NOT(ISNA(VLOOKUP(AK91,A6:E105,5,FALSE))),AL91="",AM91&lt;&gt;""),ROUND((VLOOKUP(AK91,A6:E105,5,FALSE)-AO91)/1000,3),IF(AND(NOT(ISNA(VLOOKUP(AK91,G6:K105,5,FALSE))),AL91="",AM91&lt;&gt;""),ROUND((VLOOKUP(AK91,G6:K105,5,FALSE)-AO91)/1000,3),IF(AND(NOT(ISNA(VLOOKUP(AK91,M6:Q105,5,FALSE))),AL91="",AM91&lt;&gt;""),ROUND((VLOOKUP(AK91,M6:Q105,5,FALSE)-AO91)/1000,3),IF(AND(NOT(ISNA(VLOOKUP(AK91,S6:W105,5,FALSE))),AL91="",AM91&lt;&gt;""),ROUND((VLOOKUP(AK91,S6:W105,5,FALSE)-AO91)/1000,3),IF(AND(NOT(ISNA(VLOOKUP(AK91,Y6:AC105,5,FALSE))),AL91="",AM91&lt;&gt;""),ROUND((VLOOKUP(AK91,Y6:AC105,5,FALSE)-AO91)/1000,3),IF(AND(NOT(ISNA(VLOOKUP(AK91,AE6:AI105,5,FALSE))),AL91="",AM91&lt;&gt;""),ROUND((VLOOKUP(AK91,AE6:AI105,5,FALSE)-AO91)/1000,3),IF(AND(NOT(ISNA(VLOOKUP(AK91,AK6:AO90,5,FALSE))),AL91="",AM91&lt;&gt;""),ROUND((VLOOKUP(AK91,AK6:AO90,5,FALSE)-AO91)/1000,3),"")))))))</f>
        <v/>
      </c>
      <c r="AQ91" s="74">
        <f>IF(AQ90="","",AQ90+1)</f>
        <v>785</v>
      </c>
      <c r="AR91" s="77"/>
      <c r="AS91" s="77"/>
      <c r="AT91" s="78" t="str">
        <f>IF(AND(AR91&lt;&gt;"",AS91&lt;&gt;""),ROUND(AR91,3)+ROUND(AT90,3)-ROUND(AS91,3),IF(AND(EXACT(UPPER(AQ91),"TBM"),AR91&lt;&gt;""),ROUND(AR91,3),IF(AR91="",AT90,IF(ISNA(VLOOKUP(AQ91,A6:E105,5,FALSE)),IF(ISNA(VLOOKUP(AQ91,G6:K105,5,FALSE)),IF(ISNA(VLOOKUP(AQ91,M6:Q105,5,FALSE)),IF(ISNA(VLOOKUP(AQ91,S6:W105,5,FALSE)),IF(ISNA(VLOOKUP(AQ91,Y6:AC105,5,FALSE)),IF(ISNA(VLOOKUP(AQ91,AE6:AI105,5,FALSE)),IF(ISNA(VLOOKUP(AQ91,AK6:AO105,5,FALSE)),IF(ISNA(VLOOKUP(AQ91,AQ6:AU90,5,FALSE)),"",ROUND(VLOOKUP(AQ91,AQ6:AU90,5,FALSE),0)/1000+ROUND(AR91,3)),ROUND(VLOOKUP(AQ91,AK6:AO105,5,FALSE),0)/1000+ROUND(AR91,3)),ROUND(VLOOKUP(AQ91,AE6:AI105,5,FALSE),0)/1000+ROUND(AR91,3)),ROUND(VLOOKUP(AQ91,Y6:AC105,5,FALSE),0)/1000+ROUND(AR91,3)),ROUND(VLOOKUP(AQ91,S6:W105,5,FALSE),0)/1000+ROUND(AR91,3)),ROUND(VLOOKUP(AQ91,M6:Q105,5,FALSE),0)/1000+ROUND(AR91,3)),ROUND(VLOOKUP(AQ91,G6:K105,5,FALSE),0)/1000+ROUND(AR91,3)),ROUND(VLOOKUP(AQ91,A6:E105,5,FALSE),0)/1000+ROUND(AR91,3)))))</f>
        <v/>
      </c>
      <c r="AU91" s="87" t="str">
        <f>IF(OR(NOT(EXACT(UPPER(AQ91),"TBM")),AR91=""),IF(AND(AR91&lt;&gt;"",AS91="",AT91&lt;&gt;""),"",IF(AND(AR91="",AS91&lt;&gt;"",AT91&lt;&gt;""),ROUND(ROUND(AT91,3)-ROUND(AS91,3),3)*1000,IF(AND(AR91&lt;&gt;"",AS91&lt;&gt;"",AT91&lt;&gt;""),ROUND(ROUND(AT90,3)-ROUND(AS91,3),3)*1000,""))),"")</f>
        <v/>
      </c>
      <c r="AV91" s="89" t="str">
        <f>IF(AND(NOT(ISNA(VLOOKUP(AQ91,A6:E105,5,FALSE))),AR91="",AS91&lt;&gt;""),ROUND((VLOOKUP(AQ91,A6:E105,5,FALSE)-AU91)/1000,3),IF(AND(NOT(ISNA(VLOOKUP(AQ91,G6:K105,5,FALSE))),AR91="",AS91&lt;&gt;""),ROUND((VLOOKUP(AQ91,G6:K105,5,FALSE)-AU91)/1000,3),IF(AND(NOT(ISNA(VLOOKUP(AQ91,M6:Q105,5,FALSE))),AR91="",AS91&lt;&gt;""),ROUND((VLOOKUP(AQ91,M6:Q105,5,FALSE)-AU91)/1000,3),IF(AND(NOT(ISNA(VLOOKUP(AQ91,S6:W105,5,FALSE))),AR91="",AS91&lt;&gt;""),ROUND((VLOOKUP(AQ91,S6:W105,5,FALSE)-AU91)/1000,3),IF(AND(NOT(ISNA(VLOOKUP(AQ91,Y6:AC105,5,FALSE))),AR91="",AS91&lt;&gt;""),ROUND((VLOOKUP(AQ91,Y6:AC105,5,FALSE)-AU91)/1000,3),IF(AND(NOT(ISNA(VLOOKUP(AQ91,AE6:AI105,5,FALSE))),AR91="",AS91&lt;&gt;""),ROUND((VLOOKUP(AQ91,AE6:AI105,5,FALSE)-AU91)/1000,3),IF(AND(NOT(ISNA(VLOOKUP(AQ91,AK6:AO105,5,FALSE))),AR91="",AS91&lt;&gt;""),ROUND((VLOOKUP(AQ91,AK6:AO105,5,FALSE)-AU91)/1000,3),IF(AND(NOT(ISNA(VLOOKUP(AQ91,AQ6:AU90,5,FALSE))),AR91="",AS91&lt;&gt;""),ROUND((VLOOKUP(AQ91,AQ6:AU90,5,FALSE)-AU91)/1000,3),""))))))))</f>
        <v/>
      </c>
      <c r="AW91" s="74">
        <f>IF(AW90="","",AW90+1)</f>
        <v>885</v>
      </c>
      <c r="AX91" s="77"/>
      <c r="AY91" s="77"/>
      <c r="AZ91" s="78" t="str">
        <f>IF(AND(AX91&lt;&gt;"",AY91&lt;&gt;""),ROUND(AX91,3)+ROUND(AZ90,3)-ROUND(AY91,3),IF(AND(EXACT(UPPER(AW91),"TBM"),AX91&lt;&gt;""),ROUND(AX91,3),IF(AX91="",AZ90,IF(ISNA(VLOOKUP(AW91,A6:E105,5,FALSE)),IF(ISNA(VLOOKUP(AW91,G6:K105,5,FALSE)),IF(ISNA(VLOOKUP(AW91,M6:Q105,5,FALSE)),IF(ISNA(VLOOKUP(AW91,S6:W105,5,FALSE)),IF(ISNA(VLOOKUP(AW91,Y6:AC105,5,FALSE)),IF(ISNA(VLOOKUP(AW91,AE6:AI105,5,FALSE)),IF(ISNA(VLOOKUP(AW91,AK6:AO105,5,FALSE)),IF(ISNA(VLOOKUP(AW91,AQ6:AU105,5,FALSE)),IF(ISNA(VLOOKUP(AW91,AW6:BA90,5,FALSE)),"",ROUND(VLOOKUP(AW91,AW6:BA90,5,FALSE),0)/1000+ROUND(AX91,3)),ROUND(VLOOKUP(AW91,AQ6:AU105,5,FALSE),0)/1000+ROUND(AX91,3)),ROUND(VLOOKUP(AW91,AK6:AO105,5,FALSE),0)/1000+ROUND(AX91,3)),ROUND(VLOOKUP(AW91,AE6:AI105,5,FALSE),0)/1000+ROUND(AX91,3)),ROUND(VLOOKUP(AW91,Y6:AC105,5,FALSE),0)/1000+ROUND(AX91,3)),ROUND(VLOOKUP(AW91,S6:W105,5,FALSE),0)/1000+ROUND(AX91,3)),ROUND(VLOOKUP(AW91,M6:Q105,5,FALSE),0)/1000+ROUND(AX91,3)),ROUND(VLOOKUP(AW91,G6:K105,5,FALSE),0)/1000+ROUND(AX91,3)),ROUND(VLOOKUP(AW91,A6:E105,5,FALSE),0)/1000+ROUND(AX91,3)))))</f>
        <v/>
      </c>
      <c r="BA91" s="87" t="str">
        <f>IF(OR(NOT(EXACT(UPPER(AW91),"TBM")),AX91=""),IF(AND(AX91&lt;&gt;"",AY91="",AZ91&lt;&gt;""),"",IF(AND(AX91="",AY91&lt;&gt;"",AZ91&lt;&gt;""),ROUND(ROUND(AZ91,3)-ROUND(AY91,3),3)*1000,IF(AND(AX91&lt;&gt;"",AY91&lt;&gt;"",AZ91&lt;&gt;""),ROUND(ROUND(AZ90,3)-ROUND(AY91,3),3)*1000,""))),"")</f>
        <v/>
      </c>
      <c r="BB91" s="89" t="str">
        <f>IF(AND(NOT(ISNA(VLOOKUP(AW91,A6:E105,5,FALSE))),AX91="",AY91&lt;&gt;""),ROUND((VLOOKUP(AW91,A6:E105,5,FALSE)-BA91)/1000,3),IF(AND(NOT(ISNA(VLOOKUP(AW91,G6:K105,5,FALSE))),AX91="",AY91&lt;&gt;""),ROUND((VLOOKUP(AW91,G6:K105,5,FALSE)-BA91)/1000,3),IF(AND(NOT(ISNA(VLOOKUP(AW91,M6:Q105,5,FALSE))),AX91="",AY91&lt;&gt;""),ROUND((VLOOKUP(AW91,M6:Q105,5,FALSE)-BA91)/1000,3),IF(AND(NOT(ISNA(VLOOKUP(AW91,S6:W105,5,FALSE))),AX91="",AY91&lt;&gt;""),ROUND((VLOOKUP(AW91,S6:W105,5,FALSE)-BA91)/1000,3),IF(AND(NOT(ISNA(VLOOKUP(AW91,Y6:AC105,5,FALSE))),AX91="",AY91&lt;&gt;""),ROUND((VLOOKUP(AW91,Y6:AC105,5,FALSE)-BA91)/1000,3),IF(AND(NOT(ISNA(VLOOKUP(AW91,AE6:AI105,5,FALSE))),AX91="",AY91&lt;&gt;""),ROUND((VLOOKUP(AW91,AE6:AI105,5,FALSE)-BA91)/1000,3),IF(AND(NOT(ISNA(VLOOKUP(AW91,AK6:AO105,5,FALSE))),AX91="",AY91&lt;&gt;""),ROUND((VLOOKUP(AW91,AK6:AO105,5,FALSE)-BA91)/1000,3),IF(AND(NOT(ISNA(VLOOKUP(AW91,AQ6:AU105,5,FALSE))),AX91="",AY91&lt;&gt;""),ROUND((VLOOKUP(AW91,AQ6:AU105,5,FALSE)-BA91)/1000,3),IF(AND(NOT(ISNA(VLOOKUP(AW91,AW6:BA90,5,FALSE))),AX91="",AY91&lt;&gt;""),ROUND((VLOOKUP(AW91,AW6:BA90,5,FALSE)-BA91)/1000,3),"")))))))))</f>
        <v/>
      </c>
      <c r="BC91" s="74">
        <f>IF(BC90="","",BC90+1)</f>
        <v>985</v>
      </c>
      <c r="BD91" s="77"/>
      <c r="BE91" s="77"/>
      <c r="BF91" s="78" t="str">
        <f>IF(AND(BD91&lt;&gt;"",BE91&lt;&gt;""),ROUND(BD91,3)+ROUND(BF90,3)-ROUND(BE91,3),IF(AND(EXACT(UPPER(BC91),"TBM"),BD91&lt;&gt;""),ROUND(BD91,3),IF(BD91="",BF90,IF(ISNA(VLOOKUP(BC91,A6:E105,5,FALSE)),IF(ISNA(VLOOKUP(BC91,G6:K105,5,FALSE)),IF(ISNA(VLOOKUP(BC91,M6:Q105,5,FALSE)),IF(ISNA(VLOOKUP(BC91,S6:W105,5,FALSE)),IF(ISNA(VLOOKUP(BC91,Y6:AC105,5,FALSE)),IF(ISNA(VLOOKUP(BC91,AE6:AI105,5,FALSE)),IF(ISNA(VLOOKUP(BC91,AK6:AO105,5,FALSE)),IF(ISNA(VLOOKUP(BC91,AQ6:AU105,5,FALSE)),IF(ISNA(VLOOKUP(BC91,AW6:BA105,5,FALSE)),IF(ISNA(VLOOKUP(BC91,BC6:BG90,5,FALSE)),"",ROUND(VLOOKUP(BC91,BC6:BG90,5,FALSE),0)/1000+ROUND(BD91,3)),ROUND(VLOOKUP(BC91,AW6:BA105,5,FALSE),0)/1000+ROUND(BD91,3)),ROUND(VLOOKUP(BC91,AQ6:AU105,5,FALSE),0)/1000+ROUND(BD91,3)),ROUND(VLOOKUP(BC91,AK6:AO105,5,FALSE),0)/1000+ROUND(BD91,3)),ROUND(VLOOKUP(BC91,AE6:AI105,5,FALSE),0)/1000+ROUND(BD91,3)),ROUND(VLOOKUP(BC91,Y6:AC105,5,FALSE),0)/1000+ROUND(BD91,3)),ROUND(VLOOKUP(BC91,S6:W105,5,FALSE),0)/1000+ROUND(BD91,3)),ROUND(VLOOKUP(BC91,M6:Q105,5,FALSE),0)/1000+ROUND(BD91,3)),ROUND(VLOOKUP(BC91,G6:K105,5,FALSE),0)/1000+ROUND(BD91,3)),ROUND(VLOOKUP(BC91,A6:E105,5,FALSE),0)/1000+ROUND(BD91,3)))))</f>
        <v/>
      </c>
      <c r="BG91" s="87" t="str">
        <f>IF(OR(NOT(EXACT(UPPER(BC91),"TBM")),BD91=""),IF(AND(BD91&lt;&gt;"",BE91="",BF91&lt;&gt;""),"",IF(AND(BD91="",BE91&lt;&gt;"",BF91&lt;&gt;""),ROUND(ROUND(BF91,3)-ROUND(BE91,3),3)*1000,IF(AND(BD91&lt;&gt;"",BE91&lt;&gt;"",BF91&lt;&gt;""),ROUND(ROUND(BF90,3)-ROUND(BE91,3),3)*1000,""))),"")</f>
        <v/>
      </c>
      <c r="BH91" s="89" t="str">
        <f>IF(AND(NOT(ISNA(VLOOKUP(BC91,A6:E105,5,FALSE))),BD91="",BE91&lt;&gt;""),ROUND((VLOOKUP(BC91,A6:E105,5,FALSE)-BG91)/1000,3),IF(AND(NOT(ISNA(VLOOKUP(BC91,G6:K105,5,FALSE))),BD91="",BE91&lt;&gt;""),ROUND((VLOOKUP(BC91,G6:K105,5,FALSE)-BG91)/1000,3),IF(AND(NOT(ISNA(VLOOKUP(BC91,M6:Q105,5,FALSE))),BD91="",BE91&lt;&gt;""),ROUND((VLOOKUP(BC91,M6:Q105,5,FALSE)-BG91)/1000,3),IF(AND(NOT(ISNA(VLOOKUP(BC91,S6:W105,5,FALSE))),BD91="",BE91&lt;&gt;""),ROUND((VLOOKUP(BC91,S6:W105,5,FALSE)-BG91)/1000,3),IF(AND(NOT(ISNA(VLOOKUP(BC91,Y6:AC105,5,FALSE))),BD91="",BE91&lt;&gt;""),ROUND((VLOOKUP(BC91,Y6:AC105,5,FALSE)-BG91)/1000,3),IF(AND(NOT(ISNA(VLOOKUP(BC91,AE6:AI105,5,FALSE))),BD91="",BE91&lt;&gt;""),ROUND((VLOOKUP(BC91,AE6:AI105,5,FALSE)-BG91)/1000,3),IF(AND(NOT(ISNA(VLOOKUP(BC91,AK6:AO105,5,FALSE))),BD91="",BE91&lt;&gt;""),ROUND((VLOOKUP(BC91,AK6:AO105,5,FALSE)-BG91)/1000,3),IF(AND(NOT(ISNA(VLOOKUP(BC91,AQ6:AU105,5,FALSE))),BD91="",BE91&lt;&gt;""),ROUND((VLOOKUP(BC91,AQ6:AU105,5,FALSE)-BG91)/1000,3),IF(AND(NOT(ISNA(VLOOKUP(BC91,AW6:BA105,5,FALSE))),BD91="",BE91&lt;&gt;""),ROUND((VLOOKUP(BC91,AW6:BA105,5,FALSE)-BG91)/1000,3),IF(AND(NOT(ISNA(VLOOKUP(BC91,BC6:BG90,5,FALSE))),BD91="",BE91&lt;&gt;""),ROUND((VLOOKUP(BC91,BC6:BG90,5,FALSE)-BG91)/1000,3),""))))))))))</f>
        <v/>
      </c>
    </row>
    <row r="92" spans="1:60" x14ac:dyDescent="0.25">
      <c r="A92" s="19">
        <f t="shared" si="9"/>
        <v>86</v>
      </c>
      <c r="B92" s="39"/>
      <c r="C92" s="39"/>
      <c r="D92" s="15" t="str">
        <f>IF(AND(B92&lt;&gt;"",C92&lt;&gt;""),ROUND(B92,3)+ROUND(D91,3)-ROUND(C92,3),IF(AND(EXACT(UPPER(A92),"TBM"),B92&lt;&gt;""),ROUND(B92,3),IF(B92="",D91,IF(ISNA(VLOOKUP(A92,A6:E91,5,FALSE)),"",ROUND(VLOOKUP(A92,A6:E91,5,FALSE),0)/1000+ROUND(B92,3)))))</f>
        <v/>
      </c>
      <c r="E92" s="21" t="str">
        <f t="shared" si="6"/>
        <v/>
      </c>
      <c r="F92" s="45" t="str">
        <f>IF(AND(NOT(ISNA(VLOOKUP(A92,A6:E91,5,FALSE))),B92="",C92&lt;&gt;""),ROUND((VLOOKUP(A92,A6:E91,5,FALSE)-E92)/1000,3),"")</f>
        <v/>
      </c>
      <c r="G92" s="19">
        <f t="shared" si="7"/>
        <v>186</v>
      </c>
      <c r="H92" s="39"/>
      <c r="I92" s="39"/>
      <c r="J92" s="15" t="str">
        <f>IF(AND(H92&lt;&gt;"",I92&lt;&gt;""),ROUND(H92,3)+ROUND(J91,3)-ROUND(I92,3),IF(AND(EXACT(UPPER(G92),"TBM"),H92&lt;&gt;""),ROUND(H92,3),IF(H92="",J91,IF(ISNA(VLOOKUP(G92,A6:E105,5,FALSE)),IF(ISNA(VLOOKUP(G92,G6:K91,5,FALSE)),"",ROUND(VLOOKUP(G92,G6:K91,5,FALSE),0)/1000+ROUND(H92,3)),ROUND(VLOOKUP(G92,A6:E105,5,FALSE),0)/1000+ROUND(H92,3)))))</f>
        <v/>
      </c>
      <c r="K92" s="18" t="str">
        <f t="shared" si="8"/>
        <v/>
      </c>
      <c r="L92" s="45" t="str">
        <f>IF(AND(NOT(ISNA(VLOOKUP(G92,A6:E105,5,FALSE))),H92="",I92&lt;&gt;""),ROUND((VLOOKUP(G92,A6:E105,5,FALSE)-K92)/1000,3),IF(AND(NOT(ISNA(VLOOKUP(G92,G6:K91,5,FALSE))),H92="",I92&lt;&gt;""),ROUND((VLOOKUP(G92,G6:K91,5,FALSE)-K92)/1000,3),""))</f>
        <v/>
      </c>
      <c r="M92" s="19">
        <f>IF(M91="","",M91+1)</f>
        <v>286</v>
      </c>
      <c r="N92" s="39"/>
      <c r="O92" s="39"/>
      <c r="P92" s="15" t="str">
        <f>IF(AND(N92&lt;&gt;"",O92&lt;&gt;""),ROUND(N92,3)+ROUND(P91,3)-ROUND(O92,3),IF(AND(EXACT(UPPER(M92),"TBM"),N92&lt;&gt;""),ROUND(N92,3),IF(N92="",P91,IF(ISNA(VLOOKUP(M92,A6:E105,5,FALSE)),IF(ISNA(VLOOKUP(M92,G6:K105,5,FALSE)),IF(ISNA(VLOOKUP(M92,M6:Q91,5,FALSE)),"",ROUND(VLOOKUP(M92,M6:Q91,5,FALSE),0)/1000+ROUND(N92,3)),ROUND(VLOOKUP(M92,G6:K105,5,FALSE),0)/1000+ROUND(N92,3)),ROUND(VLOOKUP(M92,A6:E105,5,FALSE),0)/1000+ROUND(N92,3)))))</f>
        <v/>
      </c>
      <c r="Q92" s="18" t="str">
        <f>IF(OR(NOT(EXACT(UPPER(M92),"TBM")),N92=""),IF(AND(N92&lt;&gt;"",O92="",P92&lt;&gt;""),"",IF(AND(N92="",O92&lt;&gt;"",P92&lt;&gt;""),ROUND(ROUND(P92,3)-ROUND(O92,3),3)*1000,IF(AND(N92&lt;&gt;"",O92&lt;&gt;"",P92&lt;&gt;""),ROUND(ROUND(P91,3)-ROUND(O92,3),3)*1000,""))),"")</f>
        <v/>
      </c>
      <c r="R92" s="45" t="str">
        <f>IF(AND(NOT(ISNA(VLOOKUP(M92,A6:E105,5,FALSE))),N92="",O92&lt;&gt;""),ROUND((VLOOKUP(M92,A6:E105,5,FALSE)-Q92)/1000,3),IF(AND(NOT(ISNA(VLOOKUP(M92,G6:K105,5,FALSE))),N92="",O92&lt;&gt;""),ROUND((VLOOKUP(M92,G6:K105,5,FALSE)-Q92)/1000,3),IF(AND(NOT(ISNA(VLOOKUP(M92,M6:Q91,5,FALSE))),N92="",O92&lt;&gt;""),ROUND((VLOOKUP(M92,M6:Q91,5,FALSE)-Q92)/1000,3),"")))</f>
        <v/>
      </c>
      <c r="S92" s="19">
        <f>IF(S91="","",S91+1)</f>
        <v>386</v>
      </c>
      <c r="T92" s="39"/>
      <c r="U92" s="39"/>
      <c r="V92" s="15" t="str">
        <f>IF(AND(T92&lt;&gt;"",U92&lt;&gt;""),ROUND(T92,3)+ROUND(V91,3)-ROUND(U92,3),IF(AND(EXACT(UPPER(S92),"TBM"),T92&lt;&gt;""),ROUND(T92,3),IF(T92="",V91,IF(ISNA(VLOOKUP(S92,A6:E105,5,FALSE)),IF(ISNA(VLOOKUP(S92,G6:K105,5,FALSE)),IF(ISNA(VLOOKUP(S92,M6:Q105,5,FALSE)),IF(ISNA(VLOOKUP(S92,S6:W91,5,FALSE)),"",ROUND(VLOOKUP(S92,S6:W91,5,FALSE),0)/1000+ROUND(T92,3)),ROUND(VLOOKUP(S92,M6:Q105,5,FALSE),0)/1000+ROUND(T92,3)),ROUND(VLOOKUP(S92,G6:K105,5,FALSE),0)/1000+ROUND(T92,3)),ROUND(VLOOKUP(S92,A6:E105,5,FALSE),0)/1000+ROUND(T92,3)))))</f>
        <v/>
      </c>
      <c r="W92" s="18" t="str">
        <f>IF(OR(NOT(EXACT(UPPER(S92),"TBM")),T92=""),IF(AND(T92&lt;&gt;"",U92="",V92&lt;&gt;""),"",IF(AND(T92="",U92&lt;&gt;"",V92&lt;&gt;""),ROUND(ROUND(V92,3)-ROUND(U92,3),3)*1000,IF(AND(T92&lt;&gt;"",U92&lt;&gt;"",V92&lt;&gt;""),ROUND(ROUND(V91,3)-ROUND(U92,3),3)*1000,""))),"")</f>
        <v/>
      </c>
      <c r="X92" s="45" t="str">
        <f>IF(AND(NOT(ISNA(VLOOKUP(S92,A6:E105,5,FALSE))),T92="",U92&lt;&gt;""),ROUND((VLOOKUP(S92,A6:E105,5,FALSE)-W92)/1000,3),IF(AND(NOT(ISNA(VLOOKUP(S92,G6:K105,5,FALSE))),T92="",U92&lt;&gt;""),ROUND((VLOOKUP(S92,G6:K105,5,FALSE)-W92)/1000,3),IF(AND(NOT(ISNA(VLOOKUP(S92,M6:Q105,5,FALSE))),T92="",U92&lt;&gt;""),ROUND((VLOOKUP(S92,M6:Q105,5,FALSE)-W92)/1000,3),IF(AND(NOT(ISNA(VLOOKUP(S92,S6:W91,5,FALSE))),T92="",U92&lt;&gt;""),ROUND((VLOOKUP(S92,S6:W91,5,FALSE)-W92)/1000,3),""))))</f>
        <v/>
      </c>
      <c r="Y92" s="19">
        <f>IF(Y91="","",Y91+1)</f>
        <v>486</v>
      </c>
      <c r="Z92" s="39"/>
      <c r="AA92" s="39"/>
      <c r="AB92" s="15" t="str">
        <f>IF(AND(Z92&lt;&gt;"",AA92&lt;&gt;""),ROUND(Z92,3)+ROUND(AB91,3)-ROUND(AA92,3),IF(AND(EXACT(UPPER(Y92),"TBM"),Z92&lt;&gt;""),ROUND(Z92,3),IF(Z92="",AB91,IF(ISNA(VLOOKUP(Y92,A6:E105,5,FALSE)),IF(ISNA(VLOOKUP(Y92,G6:K105,5,FALSE)),IF(ISNA(VLOOKUP(Y92,M6:Q105,5,FALSE)),IF(ISNA(VLOOKUP(Y92,S6:W105,5,FALSE)),IF(ISNA(VLOOKUP(Y92,Y6:AC91,5,FALSE)),"",ROUND(VLOOKUP(Y92,Y6:AC91,5,FALSE),0)/1000+ROUND(Z92,3)),ROUND(VLOOKUP(Y92,S6:W105,5,FALSE),0)/1000+ROUND(Z92,3)),ROUND(VLOOKUP(Y92,M6:Q105,5,FALSE),0)/1000+ROUND(Z92,3)),ROUND(VLOOKUP(Y92,G6:K105,5,FALSE),0)/1000+ROUND(Z92,3)),ROUND(VLOOKUP(Y92,A6:E105,5,FALSE),0)/1000+ROUND(Z92,3)))))</f>
        <v/>
      </c>
      <c r="AC92" s="18" t="str">
        <f>IF(OR(NOT(EXACT(UPPER(Y92),"TBM")),Z92=""),IF(AND(Z92&lt;&gt;"",AA92="",AB92&lt;&gt;""),"",IF(AND(Z92="",AA92&lt;&gt;"",AB92&lt;&gt;""),ROUND(ROUND(AB92,3)-ROUND(AA92,3),3)*1000,IF(AND(Z92&lt;&gt;"",AA92&lt;&gt;"",AB92&lt;&gt;""),ROUND(ROUND(AB91,3)-ROUND(AA92,3),3)*1000,""))),"")</f>
        <v/>
      </c>
      <c r="AD92" s="45" t="str">
        <f>IF(AND(NOT(ISNA(VLOOKUP(Y92,A6:E105,5,FALSE))),Z92="",AA92&lt;&gt;""),ROUND((VLOOKUP(Y92,A6:E105,5,FALSE)-AC92)/1000,3),IF(AND(NOT(ISNA(VLOOKUP(Y92,G6:K105,5,FALSE))),Z92="",AA92&lt;&gt;""),ROUND((VLOOKUP(Y92,G6:K105,5,FALSE)-AC92)/1000,3),IF(AND(NOT(ISNA(VLOOKUP(Y92,M6:Q105,5,FALSE))),Z92="",AA92&lt;&gt;""),ROUND((VLOOKUP(Y92,M6:Q105,5,FALSE)-AC92)/1000,3),IF(AND(NOT(ISNA(VLOOKUP(Y92,S6:W105,5,FALSE))),Z92="",AA92&lt;&gt;""),ROUND((VLOOKUP(Y92,S6:W105,5,FALSE)-AC92)/1000,3),IF(AND(NOT(ISNA(VLOOKUP(Y92,Y6:AC91,5,FALSE))),Z92="",AA92&lt;&gt;""),ROUND((VLOOKUP(Y92,Y6:AC91,5,FALSE)-AC92)/1000,3),"")))))</f>
        <v/>
      </c>
      <c r="AE92" s="19">
        <f>IF(AE91="","",AE91+1)</f>
        <v>586</v>
      </c>
      <c r="AF92" s="39"/>
      <c r="AG92" s="39"/>
      <c r="AH92" s="15" t="str">
        <f>IF(AND(AF92&lt;&gt;"",AG92&lt;&gt;""),ROUND(AF92,3)+ROUND(AH91,3)-ROUND(AG92,3),IF(AND(EXACT(UPPER(AE92),"TBM"),AF92&lt;&gt;""),ROUND(AF92,3),IF(AF92="",AH91,IF(ISNA(VLOOKUP(AE92,A6:E105,5,FALSE)),IF(ISNA(VLOOKUP(AE92,G6:K105,5,FALSE)),IF(ISNA(VLOOKUP(AE92,M6:Q105,5,FALSE)),IF(ISNA(VLOOKUP(AE92,S6:W105,5,FALSE)),IF(ISNA(VLOOKUP(AE92,Y6:AC105,5,FALSE)),IF(ISNA(VLOOKUP(AE92,AE6:AI91,5,FALSE)),"",ROUND(VLOOKUP(AE92,AE6:AI91,5,FALSE),0)/1000+ROUND(AF92,3)),ROUND(VLOOKUP(AE92,Y6:AC105,5,FALSE),0)/1000+ROUND(AF92,3)),ROUND(VLOOKUP(AE92,S6:W105,5,FALSE),0)/1000+ROUND(AF92,3)),ROUND(VLOOKUP(AE92,M6:Q105,5,FALSE),0)/1000+ROUND(AF92,3)),ROUND(VLOOKUP(AE92,G6:K105,5,FALSE),0)/1000+ROUND(AF92,3)),ROUND(VLOOKUP(AE92,A6:E105,5,FALSE),0)/1000+ROUND(AF92,3)))))</f>
        <v/>
      </c>
      <c r="AI92" s="18" t="str">
        <f>IF(OR(NOT(EXACT(UPPER(AE92),"TBM")),AF92=""),IF(AND(AF92&lt;&gt;"",AG92="",AH92&lt;&gt;""),"",IF(AND(AF92="",AG92&lt;&gt;"",AH92&lt;&gt;""),ROUND(ROUND(AH92,3)-ROUND(AG92,3),3)*1000,IF(AND(AF92&lt;&gt;"",AG92&lt;&gt;"",AH92&lt;&gt;""),ROUND(ROUND(AH91,3)-ROUND(AG92,3),3)*1000,""))),"")</f>
        <v/>
      </c>
      <c r="AJ92" s="45" t="str">
        <f>IF(AND(NOT(ISNA(VLOOKUP(AE92,A6:E105,5,FALSE))),AF92="",AG92&lt;&gt;""),ROUND((VLOOKUP(AE92,A6:E105,5,FALSE)-AI92)/1000,3),IF(AND(NOT(ISNA(VLOOKUP(AE92,G6:K105,5,FALSE))),AF92="",AG92&lt;&gt;""),ROUND((VLOOKUP(AE92,G6:K105,5,FALSE)-AI92)/1000,3),IF(AND(NOT(ISNA(VLOOKUP(AE92,M6:Q105,5,FALSE))),AF92="",AG92&lt;&gt;""),ROUND((VLOOKUP(AE92,M6:Q105,5,FALSE)-AI92)/1000,3),IF(AND(NOT(ISNA(VLOOKUP(AE92,S6:W105,5,FALSE))),AF92="",AG92&lt;&gt;""),ROUND((VLOOKUP(AE92,S6:W105,5,FALSE)-AI92)/1000,3),IF(AND(NOT(ISNA(VLOOKUP(AE92,Y6:AC105,5,FALSE))),AF92="",AG92&lt;&gt;""),ROUND((VLOOKUP(AE92,Y6:AC105,5,FALSE)-AI92)/1000,3),IF(AND(NOT(ISNA(VLOOKUP(AE92,AE6:AI91,5,FALSE))),AF92="",AG92&lt;&gt;""),ROUND((VLOOKUP(AE92,AE6:AI91,5,FALSE)-AI92)/1000,3),""))))))</f>
        <v/>
      </c>
      <c r="AK92" s="19">
        <f>IF(AK91="","",AK91+1)</f>
        <v>686</v>
      </c>
      <c r="AL92" s="39"/>
      <c r="AM92" s="39"/>
      <c r="AN92" s="15" t="str">
        <f>IF(AND(AL92&lt;&gt;"",AM92&lt;&gt;""),ROUND(AL92,3)+ROUND(AN91,3)-ROUND(AM92,3),IF(AND(EXACT(UPPER(AK92),"TBM"),AL92&lt;&gt;""),ROUND(AL92,3),IF(AL92="",AN91,IF(ISNA(VLOOKUP(AK92,A6:E105,5,FALSE)),IF(ISNA(VLOOKUP(AK92,G6:K105,5,FALSE)),IF(ISNA(VLOOKUP(AK92,M6:Q105,5,FALSE)),IF(ISNA(VLOOKUP(AK92,S6:W105,5,FALSE)),IF(ISNA(VLOOKUP(AK92,Y6:AC105,5,FALSE)),IF(ISNA(VLOOKUP(AK92,AE6:AI105,5,FALSE)),IF(ISNA(VLOOKUP(AK92,AK6:AO91,5,FALSE)),"",ROUND(VLOOKUP(AK92,AK6:AO91,5,FALSE),0)/1000+ROUND(AL92,3)),ROUND(VLOOKUP(AK92,AE6:AI105,5,FALSE),0)/1000+ROUND(AL92,3)),ROUND(VLOOKUP(AK92,Y6:AC105,5,FALSE),0)/1000+ROUND(AL92,3)),ROUND(VLOOKUP(AK92,S6:W105,5,FALSE),0)/1000+ROUND(AL92,3)),ROUND(VLOOKUP(AK92,M6:Q105,5,FALSE),0)/1000+ROUND(AL92,3)),ROUND(VLOOKUP(AK92,G6:K105,5,FALSE),0)/1000+ROUND(AL92,3)),ROUND(VLOOKUP(AK92,A6:E105,5,FALSE),0)/1000+ROUND(AL92,3)))))</f>
        <v/>
      </c>
      <c r="AO92" s="18" t="str">
        <f>IF(OR(NOT(EXACT(UPPER(AK92),"TBM")),AL92=""),IF(AND(AL92&lt;&gt;"",AM92="",AN92&lt;&gt;""),"",IF(AND(AL92="",AM92&lt;&gt;"",AN92&lt;&gt;""),ROUND(ROUND(AN92,3)-ROUND(AM92,3),3)*1000,IF(AND(AL92&lt;&gt;"",AM92&lt;&gt;"",AN92&lt;&gt;""),ROUND(ROUND(AN91,3)-ROUND(AM92,3),3)*1000,""))),"")</f>
        <v/>
      </c>
      <c r="AP92" s="45" t="str">
        <f>IF(AND(NOT(ISNA(VLOOKUP(AK92,A6:E105,5,FALSE))),AL92="",AM92&lt;&gt;""),ROUND((VLOOKUP(AK92,A6:E105,5,FALSE)-AO92)/1000,3),IF(AND(NOT(ISNA(VLOOKUP(AK92,G6:K105,5,FALSE))),AL92="",AM92&lt;&gt;""),ROUND((VLOOKUP(AK92,G6:K105,5,FALSE)-AO92)/1000,3),IF(AND(NOT(ISNA(VLOOKUP(AK92,M6:Q105,5,FALSE))),AL92="",AM92&lt;&gt;""),ROUND((VLOOKUP(AK92,M6:Q105,5,FALSE)-AO92)/1000,3),IF(AND(NOT(ISNA(VLOOKUP(AK92,S6:W105,5,FALSE))),AL92="",AM92&lt;&gt;""),ROUND((VLOOKUP(AK92,S6:W105,5,FALSE)-AO92)/1000,3),IF(AND(NOT(ISNA(VLOOKUP(AK92,Y6:AC105,5,FALSE))),AL92="",AM92&lt;&gt;""),ROUND((VLOOKUP(AK92,Y6:AC105,5,FALSE)-AO92)/1000,3),IF(AND(NOT(ISNA(VLOOKUP(AK92,AE6:AI105,5,FALSE))),AL92="",AM92&lt;&gt;""),ROUND((VLOOKUP(AK92,AE6:AI105,5,FALSE)-AO92)/1000,3),IF(AND(NOT(ISNA(VLOOKUP(AK92,AK6:AO91,5,FALSE))),AL92="",AM92&lt;&gt;""),ROUND((VLOOKUP(AK92,AK6:AO91,5,FALSE)-AO92)/1000,3),"")))))))</f>
        <v/>
      </c>
      <c r="AQ92" s="19">
        <f>IF(AQ91="","",AQ91+1)</f>
        <v>786</v>
      </c>
      <c r="AR92" s="39"/>
      <c r="AS92" s="39"/>
      <c r="AT92" s="15" t="str">
        <f>IF(AND(AR92&lt;&gt;"",AS92&lt;&gt;""),ROUND(AR92,3)+ROUND(AT91,3)-ROUND(AS92,3),IF(AND(EXACT(UPPER(AQ92),"TBM"),AR92&lt;&gt;""),ROUND(AR92,3),IF(AR92="",AT91,IF(ISNA(VLOOKUP(AQ92,A6:E105,5,FALSE)),IF(ISNA(VLOOKUP(AQ92,G6:K105,5,FALSE)),IF(ISNA(VLOOKUP(AQ92,M6:Q105,5,FALSE)),IF(ISNA(VLOOKUP(AQ92,S6:W105,5,FALSE)),IF(ISNA(VLOOKUP(AQ92,Y6:AC105,5,FALSE)),IF(ISNA(VLOOKUP(AQ92,AE6:AI105,5,FALSE)),IF(ISNA(VLOOKUP(AQ92,AK6:AO105,5,FALSE)),IF(ISNA(VLOOKUP(AQ92,AQ6:AU91,5,FALSE)),"",ROUND(VLOOKUP(AQ92,AQ6:AU91,5,FALSE),0)/1000+ROUND(AR92,3)),ROUND(VLOOKUP(AQ92,AK6:AO105,5,FALSE),0)/1000+ROUND(AR92,3)),ROUND(VLOOKUP(AQ92,AE6:AI105,5,FALSE),0)/1000+ROUND(AR92,3)),ROUND(VLOOKUP(AQ92,Y6:AC105,5,FALSE),0)/1000+ROUND(AR92,3)),ROUND(VLOOKUP(AQ92,S6:W105,5,FALSE),0)/1000+ROUND(AR92,3)),ROUND(VLOOKUP(AQ92,M6:Q105,5,FALSE),0)/1000+ROUND(AR92,3)),ROUND(VLOOKUP(AQ92,G6:K105,5,FALSE),0)/1000+ROUND(AR92,3)),ROUND(VLOOKUP(AQ92,A6:E105,5,FALSE),0)/1000+ROUND(AR92,3)))))</f>
        <v/>
      </c>
      <c r="AU92" s="18" t="str">
        <f>IF(OR(NOT(EXACT(UPPER(AQ92),"TBM")),AR92=""),IF(AND(AR92&lt;&gt;"",AS92="",AT92&lt;&gt;""),"",IF(AND(AR92="",AS92&lt;&gt;"",AT92&lt;&gt;""),ROUND(ROUND(AT92,3)-ROUND(AS92,3),3)*1000,IF(AND(AR92&lt;&gt;"",AS92&lt;&gt;"",AT92&lt;&gt;""),ROUND(ROUND(AT91,3)-ROUND(AS92,3),3)*1000,""))),"")</f>
        <v/>
      </c>
      <c r="AV92" s="45" t="str">
        <f>IF(AND(NOT(ISNA(VLOOKUP(AQ92,A6:E105,5,FALSE))),AR92="",AS92&lt;&gt;""),ROUND((VLOOKUP(AQ92,A6:E105,5,FALSE)-AU92)/1000,3),IF(AND(NOT(ISNA(VLOOKUP(AQ92,G6:K105,5,FALSE))),AR92="",AS92&lt;&gt;""),ROUND((VLOOKUP(AQ92,G6:K105,5,FALSE)-AU92)/1000,3),IF(AND(NOT(ISNA(VLOOKUP(AQ92,M6:Q105,5,FALSE))),AR92="",AS92&lt;&gt;""),ROUND((VLOOKUP(AQ92,M6:Q105,5,FALSE)-AU92)/1000,3),IF(AND(NOT(ISNA(VLOOKUP(AQ92,S6:W105,5,FALSE))),AR92="",AS92&lt;&gt;""),ROUND((VLOOKUP(AQ92,S6:W105,5,FALSE)-AU92)/1000,3),IF(AND(NOT(ISNA(VLOOKUP(AQ92,Y6:AC105,5,FALSE))),AR92="",AS92&lt;&gt;""),ROUND((VLOOKUP(AQ92,Y6:AC105,5,FALSE)-AU92)/1000,3),IF(AND(NOT(ISNA(VLOOKUP(AQ92,AE6:AI105,5,FALSE))),AR92="",AS92&lt;&gt;""),ROUND((VLOOKUP(AQ92,AE6:AI105,5,FALSE)-AU92)/1000,3),IF(AND(NOT(ISNA(VLOOKUP(AQ92,AK6:AO105,5,FALSE))),AR92="",AS92&lt;&gt;""),ROUND((VLOOKUP(AQ92,AK6:AO105,5,FALSE)-AU92)/1000,3),IF(AND(NOT(ISNA(VLOOKUP(AQ92,AQ6:AU91,5,FALSE))),AR92="",AS92&lt;&gt;""),ROUND((VLOOKUP(AQ92,AQ6:AU91,5,FALSE)-AU92)/1000,3),""))))))))</f>
        <v/>
      </c>
      <c r="AW92" s="19">
        <f>IF(AW91="","",AW91+1)</f>
        <v>886</v>
      </c>
      <c r="AX92" s="39"/>
      <c r="AY92" s="39"/>
      <c r="AZ92" s="15" t="str">
        <f>IF(AND(AX92&lt;&gt;"",AY92&lt;&gt;""),ROUND(AX92,3)+ROUND(AZ91,3)-ROUND(AY92,3),IF(AND(EXACT(UPPER(AW92),"TBM"),AX92&lt;&gt;""),ROUND(AX92,3),IF(AX92="",AZ91,IF(ISNA(VLOOKUP(AW92,A6:E105,5,FALSE)),IF(ISNA(VLOOKUP(AW92,G6:K105,5,FALSE)),IF(ISNA(VLOOKUP(AW92,M6:Q105,5,FALSE)),IF(ISNA(VLOOKUP(AW92,S6:W105,5,FALSE)),IF(ISNA(VLOOKUP(AW92,Y6:AC105,5,FALSE)),IF(ISNA(VLOOKUP(AW92,AE6:AI105,5,FALSE)),IF(ISNA(VLOOKUP(AW92,AK6:AO105,5,FALSE)),IF(ISNA(VLOOKUP(AW92,AQ6:AU105,5,FALSE)),IF(ISNA(VLOOKUP(AW92,AW6:BA91,5,FALSE)),"",ROUND(VLOOKUP(AW92,AW6:BA91,5,FALSE),0)/1000+ROUND(AX92,3)),ROUND(VLOOKUP(AW92,AQ6:AU105,5,FALSE),0)/1000+ROUND(AX92,3)),ROUND(VLOOKUP(AW92,AK6:AO105,5,FALSE),0)/1000+ROUND(AX92,3)),ROUND(VLOOKUP(AW92,AE6:AI105,5,FALSE),0)/1000+ROUND(AX92,3)),ROUND(VLOOKUP(AW92,Y6:AC105,5,FALSE),0)/1000+ROUND(AX92,3)),ROUND(VLOOKUP(AW92,S6:W105,5,FALSE),0)/1000+ROUND(AX92,3)),ROUND(VLOOKUP(AW92,M6:Q105,5,FALSE),0)/1000+ROUND(AX92,3)),ROUND(VLOOKUP(AW92,G6:K105,5,FALSE),0)/1000+ROUND(AX92,3)),ROUND(VLOOKUP(AW92,A6:E105,5,FALSE),0)/1000+ROUND(AX92,3)))))</f>
        <v/>
      </c>
      <c r="BA92" s="18" t="str">
        <f>IF(OR(NOT(EXACT(UPPER(AW92),"TBM")),AX92=""),IF(AND(AX92&lt;&gt;"",AY92="",AZ92&lt;&gt;""),"",IF(AND(AX92="",AY92&lt;&gt;"",AZ92&lt;&gt;""),ROUND(ROUND(AZ92,3)-ROUND(AY92,3),3)*1000,IF(AND(AX92&lt;&gt;"",AY92&lt;&gt;"",AZ92&lt;&gt;""),ROUND(ROUND(AZ91,3)-ROUND(AY92,3),3)*1000,""))),"")</f>
        <v/>
      </c>
      <c r="BB92" s="45" t="str">
        <f>IF(AND(NOT(ISNA(VLOOKUP(AW92,A6:E105,5,FALSE))),AX92="",AY92&lt;&gt;""),ROUND((VLOOKUP(AW92,A6:E105,5,FALSE)-BA92)/1000,3),IF(AND(NOT(ISNA(VLOOKUP(AW92,G6:K105,5,FALSE))),AX92="",AY92&lt;&gt;""),ROUND((VLOOKUP(AW92,G6:K105,5,FALSE)-BA92)/1000,3),IF(AND(NOT(ISNA(VLOOKUP(AW92,M6:Q105,5,FALSE))),AX92="",AY92&lt;&gt;""),ROUND((VLOOKUP(AW92,M6:Q105,5,FALSE)-BA92)/1000,3),IF(AND(NOT(ISNA(VLOOKUP(AW92,S6:W105,5,FALSE))),AX92="",AY92&lt;&gt;""),ROUND((VLOOKUP(AW92,S6:W105,5,FALSE)-BA92)/1000,3),IF(AND(NOT(ISNA(VLOOKUP(AW92,Y6:AC105,5,FALSE))),AX92="",AY92&lt;&gt;""),ROUND((VLOOKUP(AW92,Y6:AC105,5,FALSE)-BA92)/1000,3),IF(AND(NOT(ISNA(VLOOKUP(AW92,AE6:AI105,5,FALSE))),AX92="",AY92&lt;&gt;""),ROUND((VLOOKUP(AW92,AE6:AI105,5,FALSE)-BA92)/1000,3),IF(AND(NOT(ISNA(VLOOKUP(AW92,AK6:AO105,5,FALSE))),AX92="",AY92&lt;&gt;""),ROUND((VLOOKUP(AW92,AK6:AO105,5,FALSE)-BA92)/1000,3),IF(AND(NOT(ISNA(VLOOKUP(AW92,AQ6:AU105,5,FALSE))),AX92="",AY92&lt;&gt;""),ROUND((VLOOKUP(AW92,AQ6:AU105,5,FALSE)-BA92)/1000,3),IF(AND(NOT(ISNA(VLOOKUP(AW92,AW6:BA91,5,FALSE))),AX92="",AY92&lt;&gt;""),ROUND((VLOOKUP(AW92,AW6:BA91,5,FALSE)-BA92)/1000,3),"")))))))))</f>
        <v/>
      </c>
      <c r="BC92" s="19">
        <f>IF(BC91="","",BC91+1)</f>
        <v>986</v>
      </c>
      <c r="BD92" s="39"/>
      <c r="BE92" s="39"/>
      <c r="BF92" s="15" t="str">
        <f>IF(AND(BD92&lt;&gt;"",BE92&lt;&gt;""),ROUND(BD92,3)+ROUND(BF91,3)-ROUND(BE92,3),IF(AND(EXACT(UPPER(BC92),"TBM"),BD92&lt;&gt;""),ROUND(BD92,3),IF(BD92="",BF91,IF(ISNA(VLOOKUP(BC92,A6:E105,5,FALSE)),IF(ISNA(VLOOKUP(BC92,G6:K105,5,FALSE)),IF(ISNA(VLOOKUP(BC92,M6:Q105,5,FALSE)),IF(ISNA(VLOOKUP(BC92,S6:W105,5,FALSE)),IF(ISNA(VLOOKUP(BC92,Y6:AC105,5,FALSE)),IF(ISNA(VLOOKUP(BC92,AE6:AI105,5,FALSE)),IF(ISNA(VLOOKUP(BC92,AK6:AO105,5,FALSE)),IF(ISNA(VLOOKUP(BC92,AQ6:AU105,5,FALSE)),IF(ISNA(VLOOKUP(BC92,AW6:BA105,5,FALSE)),IF(ISNA(VLOOKUP(BC92,BC6:BG91,5,FALSE)),"",ROUND(VLOOKUP(BC92,BC6:BG91,5,FALSE),0)/1000+ROUND(BD92,3)),ROUND(VLOOKUP(BC92,AW6:BA105,5,FALSE),0)/1000+ROUND(BD92,3)),ROUND(VLOOKUP(BC92,AQ6:AU105,5,FALSE),0)/1000+ROUND(BD92,3)),ROUND(VLOOKUP(BC92,AK6:AO105,5,FALSE),0)/1000+ROUND(BD92,3)),ROUND(VLOOKUP(BC92,AE6:AI105,5,FALSE),0)/1000+ROUND(BD92,3)),ROUND(VLOOKUP(BC92,Y6:AC105,5,FALSE),0)/1000+ROUND(BD92,3)),ROUND(VLOOKUP(BC92,S6:W105,5,FALSE),0)/1000+ROUND(BD92,3)),ROUND(VLOOKUP(BC92,M6:Q105,5,FALSE),0)/1000+ROUND(BD92,3)),ROUND(VLOOKUP(BC92,G6:K105,5,FALSE),0)/1000+ROUND(BD92,3)),ROUND(VLOOKUP(BC92,A6:E105,5,FALSE),0)/1000+ROUND(BD92,3)))))</f>
        <v/>
      </c>
      <c r="BG92" s="18" t="str">
        <f>IF(OR(NOT(EXACT(UPPER(BC92),"TBM")),BD92=""),IF(AND(BD92&lt;&gt;"",BE92="",BF92&lt;&gt;""),"",IF(AND(BD92="",BE92&lt;&gt;"",BF92&lt;&gt;""),ROUND(ROUND(BF92,3)-ROUND(BE92,3),3)*1000,IF(AND(BD92&lt;&gt;"",BE92&lt;&gt;"",BF92&lt;&gt;""),ROUND(ROUND(BF91,3)-ROUND(BE92,3),3)*1000,""))),"")</f>
        <v/>
      </c>
      <c r="BH92" s="45" t="str">
        <f>IF(AND(NOT(ISNA(VLOOKUP(BC92,A6:E105,5,FALSE))),BD92="",BE92&lt;&gt;""),ROUND((VLOOKUP(BC92,A6:E105,5,FALSE)-BG92)/1000,3),IF(AND(NOT(ISNA(VLOOKUP(BC92,G6:K105,5,FALSE))),BD92="",BE92&lt;&gt;""),ROUND((VLOOKUP(BC92,G6:K105,5,FALSE)-BG92)/1000,3),IF(AND(NOT(ISNA(VLOOKUP(BC92,M6:Q105,5,FALSE))),BD92="",BE92&lt;&gt;""),ROUND((VLOOKUP(BC92,M6:Q105,5,FALSE)-BG92)/1000,3),IF(AND(NOT(ISNA(VLOOKUP(BC92,S6:W105,5,FALSE))),BD92="",BE92&lt;&gt;""),ROUND((VLOOKUP(BC92,S6:W105,5,FALSE)-BG92)/1000,3),IF(AND(NOT(ISNA(VLOOKUP(BC92,Y6:AC105,5,FALSE))),BD92="",BE92&lt;&gt;""),ROUND((VLOOKUP(BC92,Y6:AC105,5,FALSE)-BG92)/1000,3),IF(AND(NOT(ISNA(VLOOKUP(BC92,AE6:AI105,5,FALSE))),BD92="",BE92&lt;&gt;""),ROUND((VLOOKUP(BC92,AE6:AI105,5,FALSE)-BG92)/1000,3),IF(AND(NOT(ISNA(VLOOKUP(BC92,AK6:AO105,5,FALSE))),BD92="",BE92&lt;&gt;""),ROUND((VLOOKUP(BC92,AK6:AO105,5,FALSE)-BG92)/1000,3),IF(AND(NOT(ISNA(VLOOKUP(BC92,AQ6:AU105,5,FALSE))),BD92="",BE92&lt;&gt;""),ROUND((VLOOKUP(BC92,AQ6:AU105,5,FALSE)-BG92)/1000,3),IF(AND(NOT(ISNA(VLOOKUP(BC92,AW6:BA105,5,FALSE))),BD92="",BE92&lt;&gt;""),ROUND((VLOOKUP(BC92,AW6:BA105,5,FALSE)-BG92)/1000,3),IF(AND(NOT(ISNA(VLOOKUP(BC92,BC6:BG91,5,FALSE))),BD92="",BE92&lt;&gt;""),ROUND((VLOOKUP(BC92,BC6:BG91,5,FALSE)-BG92)/1000,3),""))))))))))</f>
        <v/>
      </c>
    </row>
    <row r="93" spans="1:60" x14ac:dyDescent="0.25">
      <c r="A93" s="19">
        <f t="shared" si="9"/>
        <v>87</v>
      </c>
      <c r="B93" s="39"/>
      <c r="C93" s="39"/>
      <c r="D93" s="15" t="str">
        <f>IF(AND(B93&lt;&gt;"",C93&lt;&gt;""),ROUND(B93,3)+ROUND(D92,3)-ROUND(C93,3),IF(AND(EXACT(UPPER(A93),"TBM"),B93&lt;&gt;""),ROUND(B93,3),IF(B93="",D92,IF(ISNA(VLOOKUP(A93,A6:E92,5,FALSE)),"",ROUND(VLOOKUP(A93,A6:E92,5,FALSE),0)/1000+ROUND(B93,3)))))</f>
        <v/>
      </c>
      <c r="E93" s="21" t="str">
        <f t="shared" si="6"/>
        <v/>
      </c>
      <c r="F93" s="45" t="str">
        <f>IF(AND(NOT(ISNA(VLOOKUP(A93,A6:E92,5,FALSE))),B93="",C93&lt;&gt;""),ROUND((VLOOKUP(A93,A6:E92,5,FALSE)-E93)/1000,3),"")</f>
        <v/>
      </c>
      <c r="G93" s="19">
        <f t="shared" si="7"/>
        <v>187</v>
      </c>
      <c r="H93" s="39"/>
      <c r="I93" s="39"/>
      <c r="J93" s="15" t="str">
        <f>IF(AND(H93&lt;&gt;"",I93&lt;&gt;""),ROUND(H93,3)+ROUND(J92,3)-ROUND(I93,3),IF(AND(EXACT(UPPER(G93),"TBM"),H93&lt;&gt;""),ROUND(H93,3),IF(H93="",J92,IF(ISNA(VLOOKUP(G93,A6:E105,5,FALSE)),IF(ISNA(VLOOKUP(G93,G6:K92,5,FALSE)),"",ROUND(VLOOKUP(G93,G6:K92,5,FALSE),0)/1000+ROUND(H93,3)),ROUND(VLOOKUP(G93,A6:E105,5,FALSE),0)/1000+ROUND(H93,3)))))</f>
        <v/>
      </c>
      <c r="K93" s="18" t="str">
        <f t="shared" si="8"/>
        <v/>
      </c>
      <c r="L93" s="45" t="str">
        <f>IF(AND(NOT(ISNA(VLOOKUP(G93,A6:E105,5,FALSE))),H93="",I93&lt;&gt;""),ROUND((VLOOKUP(G93,A6:E105,5,FALSE)-K93)/1000,3),IF(AND(NOT(ISNA(VLOOKUP(G93,G6:K92,5,FALSE))),H93="",I93&lt;&gt;""),ROUND((VLOOKUP(G93,G6:K92,5,FALSE)-K93)/1000,3),""))</f>
        <v/>
      </c>
      <c r="M93" s="19">
        <f>IF(M92="","",M92+1)</f>
        <v>287</v>
      </c>
      <c r="N93" s="39"/>
      <c r="O93" s="39"/>
      <c r="P93" s="15" t="str">
        <f>IF(AND(N93&lt;&gt;"",O93&lt;&gt;""),ROUND(N93,3)+ROUND(P92,3)-ROUND(O93,3),IF(AND(EXACT(UPPER(M93),"TBM"),N93&lt;&gt;""),ROUND(N93,3),IF(N93="",P92,IF(ISNA(VLOOKUP(M93,A6:E105,5,FALSE)),IF(ISNA(VLOOKUP(M93,G6:K105,5,FALSE)),IF(ISNA(VLOOKUP(M93,M6:Q92,5,FALSE)),"",ROUND(VLOOKUP(M93,M6:Q92,5,FALSE),0)/1000+ROUND(N93,3)),ROUND(VLOOKUP(M93,G6:K105,5,FALSE),0)/1000+ROUND(N93,3)),ROUND(VLOOKUP(M93,A6:E105,5,FALSE),0)/1000+ROUND(N93,3)))))</f>
        <v/>
      </c>
      <c r="Q93" s="18" t="str">
        <f>IF(OR(NOT(EXACT(UPPER(M93),"TBM")),N93=""),IF(AND(N93&lt;&gt;"",O93="",P93&lt;&gt;""),"",IF(AND(N93="",O93&lt;&gt;"",P93&lt;&gt;""),ROUND(ROUND(P93,3)-ROUND(O93,3),3)*1000,IF(AND(N93&lt;&gt;"",O93&lt;&gt;"",P93&lt;&gt;""),ROUND(ROUND(P92,3)-ROUND(O93,3),3)*1000,""))),"")</f>
        <v/>
      </c>
      <c r="R93" s="45" t="str">
        <f>IF(AND(NOT(ISNA(VLOOKUP(M93,A6:E105,5,FALSE))),N93="",O93&lt;&gt;""),ROUND((VLOOKUP(M93,A6:E105,5,FALSE)-Q93)/1000,3),IF(AND(NOT(ISNA(VLOOKUP(M93,G6:K105,5,FALSE))),N93="",O93&lt;&gt;""),ROUND((VLOOKUP(M93,G6:K105,5,FALSE)-Q93)/1000,3),IF(AND(NOT(ISNA(VLOOKUP(M93,M6:Q92,5,FALSE))),N93="",O93&lt;&gt;""),ROUND((VLOOKUP(M93,M6:Q92,5,FALSE)-Q93)/1000,3),"")))</f>
        <v/>
      </c>
      <c r="S93" s="19">
        <f>IF(S92="","",S92+1)</f>
        <v>387</v>
      </c>
      <c r="T93" s="39"/>
      <c r="U93" s="39"/>
      <c r="V93" s="15" t="str">
        <f>IF(AND(T93&lt;&gt;"",U93&lt;&gt;""),ROUND(T93,3)+ROUND(V92,3)-ROUND(U93,3),IF(AND(EXACT(UPPER(S93),"TBM"),T93&lt;&gt;""),ROUND(T93,3),IF(T93="",V92,IF(ISNA(VLOOKUP(S93,A6:E105,5,FALSE)),IF(ISNA(VLOOKUP(S93,G6:K105,5,FALSE)),IF(ISNA(VLOOKUP(S93,M6:Q105,5,FALSE)),IF(ISNA(VLOOKUP(S93,S6:W92,5,FALSE)),"",ROUND(VLOOKUP(S93,S6:W92,5,FALSE),0)/1000+ROUND(T93,3)),ROUND(VLOOKUP(S93,M6:Q105,5,FALSE),0)/1000+ROUND(T93,3)),ROUND(VLOOKUP(S93,G6:K105,5,FALSE),0)/1000+ROUND(T93,3)),ROUND(VLOOKUP(S93,A6:E105,5,FALSE),0)/1000+ROUND(T93,3)))))</f>
        <v/>
      </c>
      <c r="W93" s="18" t="str">
        <f>IF(OR(NOT(EXACT(UPPER(S93),"TBM")),T93=""),IF(AND(T93&lt;&gt;"",U93="",V93&lt;&gt;""),"",IF(AND(T93="",U93&lt;&gt;"",V93&lt;&gt;""),ROUND(ROUND(V93,3)-ROUND(U93,3),3)*1000,IF(AND(T93&lt;&gt;"",U93&lt;&gt;"",V93&lt;&gt;""),ROUND(ROUND(V92,3)-ROUND(U93,3),3)*1000,""))),"")</f>
        <v/>
      </c>
      <c r="X93" s="45" t="str">
        <f>IF(AND(NOT(ISNA(VLOOKUP(S93,A6:E105,5,FALSE))),T93="",U93&lt;&gt;""),ROUND((VLOOKUP(S93,A6:E105,5,FALSE)-W93)/1000,3),IF(AND(NOT(ISNA(VLOOKUP(S93,G6:K105,5,FALSE))),T93="",U93&lt;&gt;""),ROUND((VLOOKUP(S93,G6:K105,5,FALSE)-W93)/1000,3),IF(AND(NOT(ISNA(VLOOKUP(S93,M6:Q105,5,FALSE))),T93="",U93&lt;&gt;""),ROUND((VLOOKUP(S93,M6:Q105,5,FALSE)-W93)/1000,3),IF(AND(NOT(ISNA(VLOOKUP(S93,S6:W92,5,FALSE))),T93="",U93&lt;&gt;""),ROUND((VLOOKUP(S93,S6:W92,5,FALSE)-W93)/1000,3),""))))</f>
        <v/>
      </c>
      <c r="Y93" s="19">
        <f>IF(Y92="","",Y92+1)</f>
        <v>487</v>
      </c>
      <c r="Z93" s="39"/>
      <c r="AA93" s="39"/>
      <c r="AB93" s="15" t="str">
        <f>IF(AND(Z93&lt;&gt;"",AA93&lt;&gt;""),ROUND(Z93,3)+ROUND(AB92,3)-ROUND(AA93,3),IF(AND(EXACT(UPPER(Y93),"TBM"),Z93&lt;&gt;""),ROUND(Z93,3),IF(Z93="",AB92,IF(ISNA(VLOOKUP(Y93,A6:E105,5,FALSE)),IF(ISNA(VLOOKUP(Y93,G6:K105,5,FALSE)),IF(ISNA(VLOOKUP(Y93,M6:Q105,5,FALSE)),IF(ISNA(VLOOKUP(Y93,S6:W105,5,FALSE)),IF(ISNA(VLOOKUP(Y93,Y6:AC92,5,FALSE)),"",ROUND(VLOOKUP(Y93,Y6:AC92,5,FALSE),0)/1000+ROUND(Z93,3)),ROUND(VLOOKUP(Y93,S6:W105,5,FALSE),0)/1000+ROUND(Z93,3)),ROUND(VLOOKUP(Y93,M6:Q105,5,FALSE),0)/1000+ROUND(Z93,3)),ROUND(VLOOKUP(Y93,G6:K105,5,FALSE),0)/1000+ROUND(Z93,3)),ROUND(VLOOKUP(Y93,A6:E105,5,FALSE),0)/1000+ROUND(Z93,3)))))</f>
        <v/>
      </c>
      <c r="AC93" s="18" t="str">
        <f>IF(OR(NOT(EXACT(UPPER(Y93),"TBM")),Z93=""),IF(AND(Z93&lt;&gt;"",AA93="",AB93&lt;&gt;""),"",IF(AND(Z93="",AA93&lt;&gt;"",AB93&lt;&gt;""),ROUND(ROUND(AB93,3)-ROUND(AA93,3),3)*1000,IF(AND(Z93&lt;&gt;"",AA93&lt;&gt;"",AB93&lt;&gt;""),ROUND(ROUND(AB92,3)-ROUND(AA93,3),3)*1000,""))),"")</f>
        <v/>
      </c>
      <c r="AD93" s="45" t="str">
        <f>IF(AND(NOT(ISNA(VLOOKUP(Y93,A6:E105,5,FALSE))),Z93="",AA93&lt;&gt;""),ROUND((VLOOKUP(Y93,A6:E105,5,FALSE)-AC93)/1000,3),IF(AND(NOT(ISNA(VLOOKUP(Y93,G6:K105,5,FALSE))),Z93="",AA93&lt;&gt;""),ROUND((VLOOKUP(Y93,G6:K105,5,FALSE)-AC93)/1000,3),IF(AND(NOT(ISNA(VLOOKUP(Y93,M6:Q105,5,FALSE))),Z93="",AA93&lt;&gt;""),ROUND((VLOOKUP(Y93,M6:Q105,5,FALSE)-AC93)/1000,3),IF(AND(NOT(ISNA(VLOOKUP(Y93,S6:W105,5,FALSE))),Z93="",AA93&lt;&gt;""),ROUND((VLOOKUP(Y93,S6:W105,5,FALSE)-AC93)/1000,3),IF(AND(NOT(ISNA(VLOOKUP(Y93,Y6:AC92,5,FALSE))),Z93="",AA93&lt;&gt;""),ROUND((VLOOKUP(Y93,Y6:AC92,5,FALSE)-AC93)/1000,3),"")))))</f>
        <v/>
      </c>
      <c r="AE93" s="19">
        <f>IF(AE92="","",AE92+1)</f>
        <v>587</v>
      </c>
      <c r="AF93" s="39"/>
      <c r="AG93" s="39"/>
      <c r="AH93" s="15" t="str">
        <f>IF(AND(AF93&lt;&gt;"",AG93&lt;&gt;""),ROUND(AF93,3)+ROUND(AH92,3)-ROUND(AG93,3),IF(AND(EXACT(UPPER(AE93),"TBM"),AF93&lt;&gt;""),ROUND(AF93,3),IF(AF93="",AH92,IF(ISNA(VLOOKUP(AE93,A6:E105,5,FALSE)),IF(ISNA(VLOOKUP(AE93,G6:K105,5,FALSE)),IF(ISNA(VLOOKUP(AE93,M6:Q105,5,FALSE)),IF(ISNA(VLOOKUP(AE93,S6:W105,5,FALSE)),IF(ISNA(VLOOKUP(AE93,Y6:AC105,5,FALSE)),IF(ISNA(VLOOKUP(AE93,AE6:AI92,5,FALSE)),"",ROUND(VLOOKUP(AE93,AE6:AI92,5,FALSE),0)/1000+ROUND(AF93,3)),ROUND(VLOOKUP(AE93,Y6:AC105,5,FALSE),0)/1000+ROUND(AF93,3)),ROUND(VLOOKUP(AE93,S6:W105,5,FALSE),0)/1000+ROUND(AF93,3)),ROUND(VLOOKUP(AE93,M6:Q105,5,FALSE),0)/1000+ROUND(AF93,3)),ROUND(VLOOKUP(AE93,G6:K105,5,FALSE),0)/1000+ROUND(AF93,3)),ROUND(VLOOKUP(AE93,A6:E105,5,FALSE),0)/1000+ROUND(AF93,3)))))</f>
        <v/>
      </c>
      <c r="AI93" s="18" t="str">
        <f>IF(OR(NOT(EXACT(UPPER(AE93),"TBM")),AF93=""),IF(AND(AF93&lt;&gt;"",AG93="",AH93&lt;&gt;""),"",IF(AND(AF93="",AG93&lt;&gt;"",AH93&lt;&gt;""),ROUND(ROUND(AH93,3)-ROUND(AG93,3),3)*1000,IF(AND(AF93&lt;&gt;"",AG93&lt;&gt;"",AH93&lt;&gt;""),ROUND(ROUND(AH92,3)-ROUND(AG93,3),3)*1000,""))),"")</f>
        <v/>
      </c>
      <c r="AJ93" s="45" t="str">
        <f>IF(AND(NOT(ISNA(VLOOKUP(AE93,A6:E105,5,FALSE))),AF93="",AG93&lt;&gt;""),ROUND((VLOOKUP(AE93,A6:E105,5,FALSE)-AI93)/1000,3),IF(AND(NOT(ISNA(VLOOKUP(AE93,G6:K105,5,FALSE))),AF93="",AG93&lt;&gt;""),ROUND((VLOOKUP(AE93,G6:K105,5,FALSE)-AI93)/1000,3),IF(AND(NOT(ISNA(VLOOKUP(AE93,M6:Q105,5,FALSE))),AF93="",AG93&lt;&gt;""),ROUND((VLOOKUP(AE93,M6:Q105,5,FALSE)-AI93)/1000,3),IF(AND(NOT(ISNA(VLOOKUP(AE93,S6:W105,5,FALSE))),AF93="",AG93&lt;&gt;""),ROUND((VLOOKUP(AE93,S6:W105,5,FALSE)-AI93)/1000,3),IF(AND(NOT(ISNA(VLOOKUP(AE93,Y6:AC105,5,FALSE))),AF93="",AG93&lt;&gt;""),ROUND((VLOOKUP(AE93,Y6:AC105,5,FALSE)-AI93)/1000,3),IF(AND(NOT(ISNA(VLOOKUP(AE93,AE6:AI92,5,FALSE))),AF93="",AG93&lt;&gt;""),ROUND((VLOOKUP(AE93,AE6:AI92,5,FALSE)-AI93)/1000,3),""))))))</f>
        <v/>
      </c>
      <c r="AK93" s="19">
        <f>IF(AK92="","",AK92+1)</f>
        <v>687</v>
      </c>
      <c r="AL93" s="39"/>
      <c r="AM93" s="39"/>
      <c r="AN93" s="15" t="str">
        <f>IF(AND(AL93&lt;&gt;"",AM93&lt;&gt;""),ROUND(AL93,3)+ROUND(AN92,3)-ROUND(AM93,3),IF(AND(EXACT(UPPER(AK93),"TBM"),AL93&lt;&gt;""),ROUND(AL93,3),IF(AL93="",AN92,IF(ISNA(VLOOKUP(AK93,A6:E105,5,FALSE)),IF(ISNA(VLOOKUP(AK93,G6:K105,5,FALSE)),IF(ISNA(VLOOKUP(AK93,M6:Q105,5,FALSE)),IF(ISNA(VLOOKUP(AK93,S6:W105,5,FALSE)),IF(ISNA(VLOOKUP(AK93,Y6:AC105,5,FALSE)),IF(ISNA(VLOOKUP(AK93,AE6:AI105,5,FALSE)),IF(ISNA(VLOOKUP(AK93,AK6:AO92,5,FALSE)),"",ROUND(VLOOKUP(AK93,AK6:AO92,5,FALSE),0)/1000+ROUND(AL93,3)),ROUND(VLOOKUP(AK93,AE6:AI105,5,FALSE),0)/1000+ROUND(AL93,3)),ROUND(VLOOKUP(AK93,Y6:AC105,5,FALSE),0)/1000+ROUND(AL93,3)),ROUND(VLOOKUP(AK93,S6:W105,5,FALSE),0)/1000+ROUND(AL93,3)),ROUND(VLOOKUP(AK93,M6:Q105,5,FALSE),0)/1000+ROUND(AL93,3)),ROUND(VLOOKUP(AK93,G6:K105,5,FALSE),0)/1000+ROUND(AL93,3)),ROUND(VLOOKUP(AK93,A6:E105,5,FALSE),0)/1000+ROUND(AL93,3)))))</f>
        <v/>
      </c>
      <c r="AO93" s="18" t="str">
        <f>IF(OR(NOT(EXACT(UPPER(AK93),"TBM")),AL93=""),IF(AND(AL93&lt;&gt;"",AM93="",AN93&lt;&gt;""),"",IF(AND(AL93="",AM93&lt;&gt;"",AN93&lt;&gt;""),ROUND(ROUND(AN93,3)-ROUND(AM93,3),3)*1000,IF(AND(AL93&lt;&gt;"",AM93&lt;&gt;"",AN93&lt;&gt;""),ROUND(ROUND(AN92,3)-ROUND(AM93,3),3)*1000,""))),"")</f>
        <v/>
      </c>
      <c r="AP93" s="45" t="str">
        <f>IF(AND(NOT(ISNA(VLOOKUP(AK93,A6:E105,5,FALSE))),AL93="",AM93&lt;&gt;""),ROUND((VLOOKUP(AK93,A6:E105,5,FALSE)-AO93)/1000,3),IF(AND(NOT(ISNA(VLOOKUP(AK93,G6:K105,5,FALSE))),AL93="",AM93&lt;&gt;""),ROUND((VLOOKUP(AK93,G6:K105,5,FALSE)-AO93)/1000,3),IF(AND(NOT(ISNA(VLOOKUP(AK93,M6:Q105,5,FALSE))),AL93="",AM93&lt;&gt;""),ROUND((VLOOKUP(AK93,M6:Q105,5,FALSE)-AO93)/1000,3),IF(AND(NOT(ISNA(VLOOKUP(AK93,S6:W105,5,FALSE))),AL93="",AM93&lt;&gt;""),ROUND((VLOOKUP(AK93,S6:W105,5,FALSE)-AO93)/1000,3),IF(AND(NOT(ISNA(VLOOKUP(AK93,Y6:AC105,5,FALSE))),AL93="",AM93&lt;&gt;""),ROUND((VLOOKUP(AK93,Y6:AC105,5,FALSE)-AO93)/1000,3),IF(AND(NOT(ISNA(VLOOKUP(AK93,AE6:AI105,5,FALSE))),AL93="",AM93&lt;&gt;""),ROUND((VLOOKUP(AK93,AE6:AI105,5,FALSE)-AO93)/1000,3),IF(AND(NOT(ISNA(VLOOKUP(AK93,AK6:AO92,5,FALSE))),AL93="",AM93&lt;&gt;""),ROUND((VLOOKUP(AK93,AK6:AO92,5,FALSE)-AO93)/1000,3),"")))))))</f>
        <v/>
      </c>
      <c r="AQ93" s="19">
        <f>IF(AQ92="","",AQ92+1)</f>
        <v>787</v>
      </c>
      <c r="AR93" s="39"/>
      <c r="AS93" s="39"/>
      <c r="AT93" s="15" t="str">
        <f>IF(AND(AR93&lt;&gt;"",AS93&lt;&gt;""),ROUND(AR93,3)+ROUND(AT92,3)-ROUND(AS93,3),IF(AND(EXACT(UPPER(AQ93),"TBM"),AR93&lt;&gt;""),ROUND(AR93,3),IF(AR93="",AT92,IF(ISNA(VLOOKUP(AQ93,A6:E105,5,FALSE)),IF(ISNA(VLOOKUP(AQ93,G6:K105,5,FALSE)),IF(ISNA(VLOOKUP(AQ93,M6:Q105,5,FALSE)),IF(ISNA(VLOOKUP(AQ93,S6:W105,5,FALSE)),IF(ISNA(VLOOKUP(AQ93,Y6:AC105,5,FALSE)),IF(ISNA(VLOOKUP(AQ93,AE6:AI105,5,FALSE)),IF(ISNA(VLOOKUP(AQ93,AK6:AO105,5,FALSE)),IF(ISNA(VLOOKUP(AQ93,AQ6:AU92,5,FALSE)),"",ROUND(VLOOKUP(AQ93,AQ6:AU92,5,FALSE),0)/1000+ROUND(AR93,3)),ROUND(VLOOKUP(AQ93,AK6:AO105,5,FALSE),0)/1000+ROUND(AR93,3)),ROUND(VLOOKUP(AQ93,AE6:AI105,5,FALSE),0)/1000+ROUND(AR93,3)),ROUND(VLOOKUP(AQ93,Y6:AC105,5,FALSE),0)/1000+ROUND(AR93,3)),ROUND(VLOOKUP(AQ93,S6:W105,5,FALSE),0)/1000+ROUND(AR93,3)),ROUND(VLOOKUP(AQ93,M6:Q105,5,FALSE),0)/1000+ROUND(AR93,3)),ROUND(VLOOKUP(AQ93,G6:K105,5,FALSE),0)/1000+ROUND(AR93,3)),ROUND(VLOOKUP(AQ93,A6:E105,5,FALSE),0)/1000+ROUND(AR93,3)))))</f>
        <v/>
      </c>
      <c r="AU93" s="18" t="str">
        <f>IF(OR(NOT(EXACT(UPPER(AQ93),"TBM")),AR93=""),IF(AND(AR93&lt;&gt;"",AS93="",AT93&lt;&gt;""),"",IF(AND(AR93="",AS93&lt;&gt;"",AT93&lt;&gt;""),ROUND(ROUND(AT93,3)-ROUND(AS93,3),3)*1000,IF(AND(AR93&lt;&gt;"",AS93&lt;&gt;"",AT93&lt;&gt;""),ROUND(ROUND(AT92,3)-ROUND(AS93,3),3)*1000,""))),"")</f>
        <v/>
      </c>
      <c r="AV93" s="45" t="str">
        <f>IF(AND(NOT(ISNA(VLOOKUP(AQ93,A6:E105,5,FALSE))),AR93="",AS93&lt;&gt;""),ROUND((VLOOKUP(AQ93,A6:E105,5,FALSE)-AU93)/1000,3),IF(AND(NOT(ISNA(VLOOKUP(AQ93,G6:K105,5,FALSE))),AR93="",AS93&lt;&gt;""),ROUND((VLOOKUP(AQ93,G6:K105,5,FALSE)-AU93)/1000,3),IF(AND(NOT(ISNA(VLOOKUP(AQ93,M6:Q105,5,FALSE))),AR93="",AS93&lt;&gt;""),ROUND((VLOOKUP(AQ93,M6:Q105,5,FALSE)-AU93)/1000,3),IF(AND(NOT(ISNA(VLOOKUP(AQ93,S6:W105,5,FALSE))),AR93="",AS93&lt;&gt;""),ROUND((VLOOKUP(AQ93,S6:W105,5,FALSE)-AU93)/1000,3),IF(AND(NOT(ISNA(VLOOKUP(AQ93,Y6:AC105,5,FALSE))),AR93="",AS93&lt;&gt;""),ROUND((VLOOKUP(AQ93,Y6:AC105,5,FALSE)-AU93)/1000,3),IF(AND(NOT(ISNA(VLOOKUP(AQ93,AE6:AI105,5,FALSE))),AR93="",AS93&lt;&gt;""),ROUND((VLOOKUP(AQ93,AE6:AI105,5,FALSE)-AU93)/1000,3),IF(AND(NOT(ISNA(VLOOKUP(AQ93,AK6:AO105,5,FALSE))),AR93="",AS93&lt;&gt;""),ROUND((VLOOKUP(AQ93,AK6:AO105,5,FALSE)-AU93)/1000,3),IF(AND(NOT(ISNA(VLOOKUP(AQ93,AQ6:AU92,5,FALSE))),AR93="",AS93&lt;&gt;""),ROUND((VLOOKUP(AQ93,AQ6:AU92,5,FALSE)-AU93)/1000,3),""))))))))</f>
        <v/>
      </c>
      <c r="AW93" s="19">
        <f>IF(AW92="","",AW92+1)</f>
        <v>887</v>
      </c>
      <c r="AX93" s="39"/>
      <c r="AY93" s="39"/>
      <c r="AZ93" s="15" t="str">
        <f>IF(AND(AX93&lt;&gt;"",AY93&lt;&gt;""),ROUND(AX93,3)+ROUND(AZ92,3)-ROUND(AY93,3),IF(AND(EXACT(UPPER(AW93),"TBM"),AX93&lt;&gt;""),ROUND(AX93,3),IF(AX93="",AZ92,IF(ISNA(VLOOKUP(AW93,A6:E105,5,FALSE)),IF(ISNA(VLOOKUP(AW93,G6:K105,5,FALSE)),IF(ISNA(VLOOKUP(AW93,M6:Q105,5,FALSE)),IF(ISNA(VLOOKUP(AW93,S6:W105,5,FALSE)),IF(ISNA(VLOOKUP(AW93,Y6:AC105,5,FALSE)),IF(ISNA(VLOOKUP(AW93,AE6:AI105,5,FALSE)),IF(ISNA(VLOOKUP(AW93,AK6:AO105,5,FALSE)),IF(ISNA(VLOOKUP(AW93,AQ6:AU105,5,FALSE)),IF(ISNA(VLOOKUP(AW93,AW6:BA92,5,FALSE)),"",ROUND(VLOOKUP(AW93,AW6:BA92,5,FALSE),0)/1000+ROUND(AX93,3)),ROUND(VLOOKUP(AW93,AQ6:AU105,5,FALSE),0)/1000+ROUND(AX93,3)),ROUND(VLOOKUP(AW93,AK6:AO105,5,FALSE),0)/1000+ROUND(AX93,3)),ROUND(VLOOKUP(AW93,AE6:AI105,5,FALSE),0)/1000+ROUND(AX93,3)),ROUND(VLOOKUP(AW93,Y6:AC105,5,FALSE),0)/1000+ROUND(AX93,3)),ROUND(VLOOKUP(AW93,S6:W105,5,FALSE),0)/1000+ROUND(AX93,3)),ROUND(VLOOKUP(AW93,M6:Q105,5,FALSE),0)/1000+ROUND(AX93,3)),ROUND(VLOOKUP(AW93,G6:K105,5,FALSE),0)/1000+ROUND(AX93,3)),ROUND(VLOOKUP(AW93,A6:E105,5,FALSE),0)/1000+ROUND(AX93,3)))))</f>
        <v/>
      </c>
      <c r="BA93" s="18" t="str">
        <f>IF(OR(NOT(EXACT(UPPER(AW93),"TBM")),AX93=""),IF(AND(AX93&lt;&gt;"",AY93="",AZ93&lt;&gt;""),"",IF(AND(AX93="",AY93&lt;&gt;"",AZ93&lt;&gt;""),ROUND(ROUND(AZ93,3)-ROUND(AY93,3),3)*1000,IF(AND(AX93&lt;&gt;"",AY93&lt;&gt;"",AZ93&lt;&gt;""),ROUND(ROUND(AZ92,3)-ROUND(AY93,3),3)*1000,""))),"")</f>
        <v/>
      </c>
      <c r="BB93" s="45" t="str">
        <f>IF(AND(NOT(ISNA(VLOOKUP(AW93,A6:E105,5,FALSE))),AX93="",AY93&lt;&gt;""),ROUND((VLOOKUP(AW93,A6:E105,5,FALSE)-BA93)/1000,3),IF(AND(NOT(ISNA(VLOOKUP(AW93,G6:K105,5,FALSE))),AX93="",AY93&lt;&gt;""),ROUND((VLOOKUP(AW93,G6:K105,5,FALSE)-BA93)/1000,3),IF(AND(NOT(ISNA(VLOOKUP(AW93,M6:Q105,5,FALSE))),AX93="",AY93&lt;&gt;""),ROUND((VLOOKUP(AW93,M6:Q105,5,FALSE)-BA93)/1000,3),IF(AND(NOT(ISNA(VLOOKUP(AW93,S6:W105,5,FALSE))),AX93="",AY93&lt;&gt;""),ROUND((VLOOKUP(AW93,S6:W105,5,FALSE)-BA93)/1000,3),IF(AND(NOT(ISNA(VLOOKUP(AW93,Y6:AC105,5,FALSE))),AX93="",AY93&lt;&gt;""),ROUND((VLOOKUP(AW93,Y6:AC105,5,FALSE)-BA93)/1000,3),IF(AND(NOT(ISNA(VLOOKUP(AW93,AE6:AI105,5,FALSE))),AX93="",AY93&lt;&gt;""),ROUND((VLOOKUP(AW93,AE6:AI105,5,FALSE)-BA93)/1000,3),IF(AND(NOT(ISNA(VLOOKUP(AW93,AK6:AO105,5,FALSE))),AX93="",AY93&lt;&gt;""),ROUND((VLOOKUP(AW93,AK6:AO105,5,FALSE)-BA93)/1000,3),IF(AND(NOT(ISNA(VLOOKUP(AW93,AQ6:AU105,5,FALSE))),AX93="",AY93&lt;&gt;""),ROUND((VLOOKUP(AW93,AQ6:AU105,5,FALSE)-BA93)/1000,3),IF(AND(NOT(ISNA(VLOOKUP(AW93,AW6:BA92,5,FALSE))),AX93="",AY93&lt;&gt;""),ROUND((VLOOKUP(AW93,AW6:BA92,5,FALSE)-BA93)/1000,3),"")))))))))</f>
        <v/>
      </c>
      <c r="BC93" s="19">
        <f>IF(BC92="","",BC92+1)</f>
        <v>987</v>
      </c>
      <c r="BD93" s="39"/>
      <c r="BE93" s="39"/>
      <c r="BF93" s="15" t="str">
        <f>IF(AND(BD93&lt;&gt;"",BE93&lt;&gt;""),ROUND(BD93,3)+ROUND(BF92,3)-ROUND(BE93,3),IF(AND(EXACT(UPPER(BC93),"TBM"),BD93&lt;&gt;""),ROUND(BD93,3),IF(BD93="",BF92,IF(ISNA(VLOOKUP(BC93,A6:E105,5,FALSE)),IF(ISNA(VLOOKUP(BC93,G6:K105,5,FALSE)),IF(ISNA(VLOOKUP(BC93,M6:Q105,5,FALSE)),IF(ISNA(VLOOKUP(BC93,S6:W105,5,FALSE)),IF(ISNA(VLOOKUP(BC93,Y6:AC105,5,FALSE)),IF(ISNA(VLOOKUP(BC93,AE6:AI105,5,FALSE)),IF(ISNA(VLOOKUP(BC93,AK6:AO105,5,FALSE)),IF(ISNA(VLOOKUP(BC93,AQ6:AU105,5,FALSE)),IF(ISNA(VLOOKUP(BC93,AW6:BA105,5,FALSE)),IF(ISNA(VLOOKUP(BC93,BC6:BG92,5,FALSE)),"",ROUND(VLOOKUP(BC93,BC6:BG92,5,FALSE),0)/1000+ROUND(BD93,3)),ROUND(VLOOKUP(BC93,AW6:BA105,5,FALSE),0)/1000+ROUND(BD93,3)),ROUND(VLOOKUP(BC93,AQ6:AU105,5,FALSE),0)/1000+ROUND(BD93,3)),ROUND(VLOOKUP(BC93,AK6:AO105,5,FALSE),0)/1000+ROUND(BD93,3)),ROUND(VLOOKUP(BC93,AE6:AI105,5,FALSE),0)/1000+ROUND(BD93,3)),ROUND(VLOOKUP(BC93,Y6:AC105,5,FALSE),0)/1000+ROUND(BD93,3)),ROUND(VLOOKUP(BC93,S6:W105,5,FALSE),0)/1000+ROUND(BD93,3)),ROUND(VLOOKUP(BC93,M6:Q105,5,FALSE),0)/1000+ROUND(BD93,3)),ROUND(VLOOKUP(BC93,G6:K105,5,FALSE),0)/1000+ROUND(BD93,3)),ROUND(VLOOKUP(BC93,A6:E105,5,FALSE),0)/1000+ROUND(BD93,3)))))</f>
        <v/>
      </c>
      <c r="BG93" s="18" t="str">
        <f>IF(OR(NOT(EXACT(UPPER(BC93),"TBM")),BD93=""),IF(AND(BD93&lt;&gt;"",BE93="",BF93&lt;&gt;""),"",IF(AND(BD93="",BE93&lt;&gt;"",BF93&lt;&gt;""),ROUND(ROUND(BF93,3)-ROUND(BE93,3),3)*1000,IF(AND(BD93&lt;&gt;"",BE93&lt;&gt;"",BF93&lt;&gt;""),ROUND(ROUND(BF92,3)-ROUND(BE93,3),3)*1000,""))),"")</f>
        <v/>
      </c>
      <c r="BH93" s="45" t="str">
        <f>IF(AND(NOT(ISNA(VLOOKUP(BC93,A6:E105,5,FALSE))),BD93="",BE93&lt;&gt;""),ROUND((VLOOKUP(BC93,A6:E105,5,FALSE)-BG93)/1000,3),IF(AND(NOT(ISNA(VLOOKUP(BC93,G6:K105,5,FALSE))),BD93="",BE93&lt;&gt;""),ROUND((VLOOKUP(BC93,G6:K105,5,FALSE)-BG93)/1000,3),IF(AND(NOT(ISNA(VLOOKUP(BC93,M6:Q105,5,FALSE))),BD93="",BE93&lt;&gt;""),ROUND((VLOOKUP(BC93,M6:Q105,5,FALSE)-BG93)/1000,3),IF(AND(NOT(ISNA(VLOOKUP(BC93,S6:W105,5,FALSE))),BD93="",BE93&lt;&gt;""),ROUND((VLOOKUP(BC93,S6:W105,5,FALSE)-BG93)/1000,3),IF(AND(NOT(ISNA(VLOOKUP(BC93,Y6:AC105,5,FALSE))),BD93="",BE93&lt;&gt;""),ROUND((VLOOKUP(BC93,Y6:AC105,5,FALSE)-BG93)/1000,3),IF(AND(NOT(ISNA(VLOOKUP(BC93,AE6:AI105,5,FALSE))),BD93="",BE93&lt;&gt;""),ROUND((VLOOKUP(BC93,AE6:AI105,5,FALSE)-BG93)/1000,3),IF(AND(NOT(ISNA(VLOOKUP(BC93,AK6:AO105,5,FALSE))),BD93="",BE93&lt;&gt;""),ROUND((VLOOKUP(BC93,AK6:AO105,5,FALSE)-BG93)/1000,3),IF(AND(NOT(ISNA(VLOOKUP(BC93,AQ6:AU105,5,FALSE))),BD93="",BE93&lt;&gt;""),ROUND((VLOOKUP(BC93,AQ6:AU105,5,FALSE)-BG93)/1000,3),IF(AND(NOT(ISNA(VLOOKUP(BC93,AW6:BA105,5,FALSE))),BD93="",BE93&lt;&gt;""),ROUND((VLOOKUP(BC93,AW6:BA105,5,FALSE)-BG93)/1000,3),IF(AND(NOT(ISNA(VLOOKUP(BC93,BC6:BG92,5,FALSE))),BD93="",BE93&lt;&gt;""),ROUND((VLOOKUP(BC93,BC6:BG92,5,FALSE)-BG93)/1000,3),""))))))))))</f>
        <v/>
      </c>
    </row>
    <row r="94" spans="1:60" x14ac:dyDescent="0.25">
      <c r="A94" s="19">
        <f t="shared" si="9"/>
        <v>88</v>
      </c>
      <c r="B94" s="39"/>
      <c r="C94" s="39"/>
      <c r="D94" s="15" t="str">
        <f>IF(AND(B94&lt;&gt;"",C94&lt;&gt;""),ROUND(B94,3)+ROUND(D93,3)-ROUND(C94,3),IF(AND(EXACT(UPPER(A94),"TBM"),B94&lt;&gt;""),ROUND(B94,3),IF(B94="",D93,IF(ISNA(VLOOKUP(A94,A6:E93,5,FALSE)),"",ROUND(VLOOKUP(A94,A6:E93,5,FALSE),0)/1000+ROUND(B94,3)))))</f>
        <v/>
      </c>
      <c r="E94" s="21" t="str">
        <f t="shared" si="6"/>
        <v/>
      </c>
      <c r="F94" s="45" t="str">
        <f>IF(AND(NOT(ISNA(VLOOKUP(A94,A6:E93,5,FALSE))),B94="",C94&lt;&gt;""),ROUND((VLOOKUP(A94,A6:E93,5,FALSE)-E94)/1000,3),"")</f>
        <v/>
      </c>
      <c r="G94" s="19">
        <f t="shared" si="7"/>
        <v>188</v>
      </c>
      <c r="H94" s="39"/>
      <c r="I94" s="39"/>
      <c r="J94" s="15" t="str">
        <f>IF(AND(H94&lt;&gt;"",I94&lt;&gt;""),ROUND(H94,3)+ROUND(J93,3)-ROUND(I94,3),IF(AND(EXACT(UPPER(G94),"TBM"),H94&lt;&gt;""),ROUND(H94,3),IF(H94="",J93,IF(ISNA(VLOOKUP(G94,A6:E105,5,FALSE)),IF(ISNA(VLOOKUP(G94,G6:K93,5,FALSE)),"",ROUND(VLOOKUP(G94,G6:K93,5,FALSE),0)/1000+ROUND(H94,3)),ROUND(VLOOKUP(G94,A6:E105,5,FALSE),0)/1000+ROUND(H94,3)))))</f>
        <v/>
      </c>
      <c r="K94" s="18" t="str">
        <f t="shared" si="8"/>
        <v/>
      </c>
      <c r="L94" s="45" t="str">
        <f>IF(AND(NOT(ISNA(VLOOKUP(G94,A6:E105,5,FALSE))),H94="",I94&lt;&gt;""),ROUND((VLOOKUP(G94,A6:E105,5,FALSE)-K94)/1000,3),IF(AND(NOT(ISNA(VLOOKUP(G94,G6:K93,5,FALSE))),H94="",I94&lt;&gt;""),ROUND((VLOOKUP(G94,G6:K93,5,FALSE)-K94)/1000,3),""))</f>
        <v/>
      </c>
      <c r="M94" s="19">
        <f>IF(M93="","",M93+1)</f>
        <v>288</v>
      </c>
      <c r="N94" s="39"/>
      <c r="O94" s="39"/>
      <c r="P94" s="15" t="str">
        <f>IF(AND(N94&lt;&gt;"",O94&lt;&gt;""),ROUND(N94,3)+ROUND(P93,3)-ROUND(O94,3),IF(AND(EXACT(UPPER(M94),"TBM"),N94&lt;&gt;""),ROUND(N94,3),IF(N94="",P93,IF(ISNA(VLOOKUP(M94,A6:E105,5,FALSE)),IF(ISNA(VLOOKUP(M94,G6:K105,5,FALSE)),IF(ISNA(VLOOKUP(M94,M6:Q93,5,FALSE)),"",ROUND(VLOOKUP(M94,M6:Q93,5,FALSE),0)/1000+ROUND(N94,3)),ROUND(VLOOKUP(M94,G6:K105,5,FALSE),0)/1000+ROUND(N94,3)),ROUND(VLOOKUP(M94,A6:E105,5,FALSE),0)/1000+ROUND(N94,3)))))</f>
        <v/>
      </c>
      <c r="Q94" s="18" t="str">
        <f>IF(OR(NOT(EXACT(UPPER(M94),"TBM")),N94=""),IF(AND(N94&lt;&gt;"",O94="",P94&lt;&gt;""),"",IF(AND(N94="",O94&lt;&gt;"",P94&lt;&gt;""),ROUND(ROUND(P94,3)-ROUND(O94,3),3)*1000,IF(AND(N94&lt;&gt;"",O94&lt;&gt;"",P94&lt;&gt;""),ROUND(ROUND(P93,3)-ROUND(O94,3),3)*1000,""))),"")</f>
        <v/>
      </c>
      <c r="R94" s="45" t="str">
        <f>IF(AND(NOT(ISNA(VLOOKUP(M94,A6:E105,5,FALSE))),N94="",O94&lt;&gt;""),ROUND((VLOOKUP(M94,A6:E105,5,FALSE)-Q94)/1000,3),IF(AND(NOT(ISNA(VLOOKUP(M94,G6:K105,5,FALSE))),N94="",O94&lt;&gt;""),ROUND((VLOOKUP(M94,G6:K105,5,FALSE)-Q94)/1000,3),IF(AND(NOT(ISNA(VLOOKUP(M94,M6:Q93,5,FALSE))),N94="",O94&lt;&gt;""),ROUND((VLOOKUP(M94,M6:Q93,5,FALSE)-Q94)/1000,3),"")))</f>
        <v/>
      </c>
      <c r="S94" s="19">
        <f>IF(S93="","",S93+1)</f>
        <v>388</v>
      </c>
      <c r="T94" s="39"/>
      <c r="U94" s="39"/>
      <c r="V94" s="15" t="str">
        <f>IF(AND(T94&lt;&gt;"",U94&lt;&gt;""),ROUND(T94,3)+ROUND(V93,3)-ROUND(U94,3),IF(AND(EXACT(UPPER(S94),"TBM"),T94&lt;&gt;""),ROUND(T94,3),IF(T94="",V93,IF(ISNA(VLOOKUP(S94,A6:E105,5,FALSE)),IF(ISNA(VLOOKUP(S94,G6:K105,5,FALSE)),IF(ISNA(VLOOKUP(S94,M6:Q105,5,FALSE)),IF(ISNA(VLOOKUP(S94,S6:W93,5,FALSE)),"",ROUND(VLOOKUP(S94,S6:W93,5,FALSE),0)/1000+ROUND(T94,3)),ROUND(VLOOKUP(S94,M6:Q105,5,FALSE),0)/1000+ROUND(T94,3)),ROUND(VLOOKUP(S94,G6:K105,5,FALSE),0)/1000+ROUND(T94,3)),ROUND(VLOOKUP(S94,A6:E105,5,FALSE),0)/1000+ROUND(T94,3)))))</f>
        <v/>
      </c>
      <c r="W94" s="18" t="str">
        <f>IF(OR(NOT(EXACT(UPPER(S94),"TBM")),T94=""),IF(AND(T94&lt;&gt;"",U94="",V94&lt;&gt;""),"",IF(AND(T94="",U94&lt;&gt;"",V94&lt;&gt;""),ROUND(ROUND(V94,3)-ROUND(U94,3),3)*1000,IF(AND(T94&lt;&gt;"",U94&lt;&gt;"",V94&lt;&gt;""),ROUND(ROUND(V93,3)-ROUND(U94,3),3)*1000,""))),"")</f>
        <v/>
      </c>
      <c r="X94" s="45" t="str">
        <f>IF(AND(NOT(ISNA(VLOOKUP(S94,A6:E105,5,FALSE))),T94="",U94&lt;&gt;""),ROUND((VLOOKUP(S94,A6:E105,5,FALSE)-W94)/1000,3),IF(AND(NOT(ISNA(VLOOKUP(S94,G6:K105,5,FALSE))),T94="",U94&lt;&gt;""),ROUND((VLOOKUP(S94,G6:K105,5,FALSE)-W94)/1000,3),IF(AND(NOT(ISNA(VLOOKUP(S94,M6:Q105,5,FALSE))),T94="",U94&lt;&gt;""),ROUND((VLOOKUP(S94,M6:Q105,5,FALSE)-W94)/1000,3),IF(AND(NOT(ISNA(VLOOKUP(S94,S6:W93,5,FALSE))),T94="",U94&lt;&gt;""),ROUND((VLOOKUP(S94,S6:W93,5,FALSE)-W94)/1000,3),""))))</f>
        <v/>
      </c>
      <c r="Y94" s="19">
        <f>IF(Y93="","",Y93+1)</f>
        <v>488</v>
      </c>
      <c r="Z94" s="39"/>
      <c r="AA94" s="39"/>
      <c r="AB94" s="15" t="str">
        <f>IF(AND(Z94&lt;&gt;"",AA94&lt;&gt;""),ROUND(Z94,3)+ROUND(AB93,3)-ROUND(AA94,3),IF(AND(EXACT(UPPER(Y94),"TBM"),Z94&lt;&gt;""),ROUND(Z94,3),IF(Z94="",AB93,IF(ISNA(VLOOKUP(Y94,A6:E105,5,FALSE)),IF(ISNA(VLOOKUP(Y94,G6:K105,5,FALSE)),IF(ISNA(VLOOKUP(Y94,M6:Q105,5,FALSE)),IF(ISNA(VLOOKUP(Y94,S6:W105,5,FALSE)),IF(ISNA(VLOOKUP(Y94,Y6:AC93,5,FALSE)),"",ROUND(VLOOKUP(Y94,Y6:AC93,5,FALSE),0)/1000+ROUND(Z94,3)),ROUND(VLOOKUP(Y94,S6:W105,5,FALSE),0)/1000+ROUND(Z94,3)),ROUND(VLOOKUP(Y94,M6:Q105,5,FALSE),0)/1000+ROUND(Z94,3)),ROUND(VLOOKUP(Y94,G6:K105,5,FALSE),0)/1000+ROUND(Z94,3)),ROUND(VLOOKUP(Y94,A6:E105,5,FALSE),0)/1000+ROUND(Z94,3)))))</f>
        <v/>
      </c>
      <c r="AC94" s="18" t="str">
        <f>IF(OR(NOT(EXACT(UPPER(Y94),"TBM")),Z94=""),IF(AND(Z94&lt;&gt;"",AA94="",AB94&lt;&gt;""),"",IF(AND(Z94="",AA94&lt;&gt;"",AB94&lt;&gt;""),ROUND(ROUND(AB94,3)-ROUND(AA94,3),3)*1000,IF(AND(Z94&lt;&gt;"",AA94&lt;&gt;"",AB94&lt;&gt;""),ROUND(ROUND(AB93,3)-ROUND(AA94,3),3)*1000,""))),"")</f>
        <v/>
      </c>
      <c r="AD94" s="45" t="str">
        <f>IF(AND(NOT(ISNA(VLOOKUP(Y94,A6:E105,5,FALSE))),Z94="",AA94&lt;&gt;""),ROUND((VLOOKUP(Y94,A6:E105,5,FALSE)-AC94)/1000,3),IF(AND(NOT(ISNA(VLOOKUP(Y94,G6:K105,5,FALSE))),Z94="",AA94&lt;&gt;""),ROUND((VLOOKUP(Y94,G6:K105,5,FALSE)-AC94)/1000,3),IF(AND(NOT(ISNA(VLOOKUP(Y94,M6:Q105,5,FALSE))),Z94="",AA94&lt;&gt;""),ROUND((VLOOKUP(Y94,M6:Q105,5,FALSE)-AC94)/1000,3),IF(AND(NOT(ISNA(VLOOKUP(Y94,S6:W105,5,FALSE))),Z94="",AA94&lt;&gt;""),ROUND((VLOOKUP(Y94,S6:W105,5,FALSE)-AC94)/1000,3),IF(AND(NOT(ISNA(VLOOKUP(Y94,Y6:AC93,5,FALSE))),Z94="",AA94&lt;&gt;""),ROUND((VLOOKUP(Y94,Y6:AC93,5,FALSE)-AC94)/1000,3),"")))))</f>
        <v/>
      </c>
      <c r="AE94" s="19">
        <f>IF(AE93="","",AE93+1)</f>
        <v>588</v>
      </c>
      <c r="AF94" s="39"/>
      <c r="AG94" s="39"/>
      <c r="AH94" s="15" t="str">
        <f>IF(AND(AF94&lt;&gt;"",AG94&lt;&gt;""),ROUND(AF94,3)+ROUND(AH93,3)-ROUND(AG94,3),IF(AND(EXACT(UPPER(AE94),"TBM"),AF94&lt;&gt;""),ROUND(AF94,3),IF(AF94="",AH93,IF(ISNA(VLOOKUP(AE94,A6:E105,5,FALSE)),IF(ISNA(VLOOKUP(AE94,G6:K105,5,FALSE)),IF(ISNA(VLOOKUP(AE94,M6:Q105,5,FALSE)),IF(ISNA(VLOOKUP(AE94,S6:W105,5,FALSE)),IF(ISNA(VLOOKUP(AE94,Y6:AC105,5,FALSE)),IF(ISNA(VLOOKUP(AE94,AE6:AI93,5,FALSE)),"",ROUND(VLOOKUP(AE94,AE6:AI93,5,FALSE),0)/1000+ROUND(AF94,3)),ROUND(VLOOKUP(AE94,Y6:AC105,5,FALSE),0)/1000+ROUND(AF94,3)),ROUND(VLOOKUP(AE94,S6:W105,5,FALSE),0)/1000+ROUND(AF94,3)),ROUND(VLOOKUP(AE94,M6:Q105,5,FALSE),0)/1000+ROUND(AF94,3)),ROUND(VLOOKUP(AE94,G6:K105,5,FALSE),0)/1000+ROUND(AF94,3)),ROUND(VLOOKUP(AE94,A6:E105,5,FALSE),0)/1000+ROUND(AF94,3)))))</f>
        <v/>
      </c>
      <c r="AI94" s="18" t="str">
        <f>IF(OR(NOT(EXACT(UPPER(AE94),"TBM")),AF94=""),IF(AND(AF94&lt;&gt;"",AG94="",AH94&lt;&gt;""),"",IF(AND(AF94="",AG94&lt;&gt;"",AH94&lt;&gt;""),ROUND(ROUND(AH94,3)-ROUND(AG94,3),3)*1000,IF(AND(AF94&lt;&gt;"",AG94&lt;&gt;"",AH94&lt;&gt;""),ROUND(ROUND(AH93,3)-ROUND(AG94,3),3)*1000,""))),"")</f>
        <v/>
      </c>
      <c r="AJ94" s="45" t="str">
        <f>IF(AND(NOT(ISNA(VLOOKUP(AE94,A6:E105,5,FALSE))),AF94="",AG94&lt;&gt;""),ROUND((VLOOKUP(AE94,A6:E105,5,FALSE)-AI94)/1000,3),IF(AND(NOT(ISNA(VLOOKUP(AE94,G6:K105,5,FALSE))),AF94="",AG94&lt;&gt;""),ROUND((VLOOKUP(AE94,G6:K105,5,FALSE)-AI94)/1000,3),IF(AND(NOT(ISNA(VLOOKUP(AE94,M6:Q105,5,FALSE))),AF94="",AG94&lt;&gt;""),ROUND((VLOOKUP(AE94,M6:Q105,5,FALSE)-AI94)/1000,3),IF(AND(NOT(ISNA(VLOOKUP(AE94,S6:W105,5,FALSE))),AF94="",AG94&lt;&gt;""),ROUND((VLOOKUP(AE94,S6:W105,5,FALSE)-AI94)/1000,3),IF(AND(NOT(ISNA(VLOOKUP(AE94,Y6:AC105,5,FALSE))),AF94="",AG94&lt;&gt;""),ROUND((VLOOKUP(AE94,Y6:AC105,5,FALSE)-AI94)/1000,3),IF(AND(NOT(ISNA(VLOOKUP(AE94,AE6:AI93,5,FALSE))),AF94="",AG94&lt;&gt;""),ROUND((VLOOKUP(AE94,AE6:AI93,5,FALSE)-AI94)/1000,3),""))))))</f>
        <v/>
      </c>
      <c r="AK94" s="19">
        <f>IF(AK93="","",AK93+1)</f>
        <v>688</v>
      </c>
      <c r="AL94" s="39"/>
      <c r="AM94" s="39"/>
      <c r="AN94" s="15" t="str">
        <f>IF(AND(AL94&lt;&gt;"",AM94&lt;&gt;""),ROUND(AL94,3)+ROUND(AN93,3)-ROUND(AM94,3),IF(AND(EXACT(UPPER(AK94),"TBM"),AL94&lt;&gt;""),ROUND(AL94,3),IF(AL94="",AN93,IF(ISNA(VLOOKUP(AK94,A6:E105,5,FALSE)),IF(ISNA(VLOOKUP(AK94,G6:K105,5,FALSE)),IF(ISNA(VLOOKUP(AK94,M6:Q105,5,FALSE)),IF(ISNA(VLOOKUP(AK94,S6:W105,5,FALSE)),IF(ISNA(VLOOKUP(AK94,Y6:AC105,5,FALSE)),IF(ISNA(VLOOKUP(AK94,AE6:AI105,5,FALSE)),IF(ISNA(VLOOKUP(AK94,AK6:AO93,5,FALSE)),"",ROUND(VLOOKUP(AK94,AK6:AO93,5,FALSE),0)/1000+ROUND(AL94,3)),ROUND(VLOOKUP(AK94,AE6:AI105,5,FALSE),0)/1000+ROUND(AL94,3)),ROUND(VLOOKUP(AK94,Y6:AC105,5,FALSE),0)/1000+ROUND(AL94,3)),ROUND(VLOOKUP(AK94,S6:W105,5,FALSE),0)/1000+ROUND(AL94,3)),ROUND(VLOOKUP(AK94,M6:Q105,5,FALSE),0)/1000+ROUND(AL94,3)),ROUND(VLOOKUP(AK94,G6:K105,5,FALSE),0)/1000+ROUND(AL94,3)),ROUND(VLOOKUP(AK94,A6:E105,5,FALSE),0)/1000+ROUND(AL94,3)))))</f>
        <v/>
      </c>
      <c r="AO94" s="18" t="str">
        <f>IF(OR(NOT(EXACT(UPPER(AK94),"TBM")),AL94=""),IF(AND(AL94&lt;&gt;"",AM94="",AN94&lt;&gt;""),"",IF(AND(AL94="",AM94&lt;&gt;"",AN94&lt;&gt;""),ROUND(ROUND(AN94,3)-ROUND(AM94,3),3)*1000,IF(AND(AL94&lt;&gt;"",AM94&lt;&gt;"",AN94&lt;&gt;""),ROUND(ROUND(AN93,3)-ROUND(AM94,3),3)*1000,""))),"")</f>
        <v/>
      </c>
      <c r="AP94" s="45" t="str">
        <f>IF(AND(NOT(ISNA(VLOOKUP(AK94,A6:E105,5,FALSE))),AL94="",AM94&lt;&gt;""),ROUND((VLOOKUP(AK94,A6:E105,5,FALSE)-AO94)/1000,3),IF(AND(NOT(ISNA(VLOOKUP(AK94,G6:K105,5,FALSE))),AL94="",AM94&lt;&gt;""),ROUND((VLOOKUP(AK94,G6:K105,5,FALSE)-AO94)/1000,3),IF(AND(NOT(ISNA(VLOOKUP(AK94,M6:Q105,5,FALSE))),AL94="",AM94&lt;&gt;""),ROUND((VLOOKUP(AK94,M6:Q105,5,FALSE)-AO94)/1000,3),IF(AND(NOT(ISNA(VLOOKUP(AK94,S6:W105,5,FALSE))),AL94="",AM94&lt;&gt;""),ROUND((VLOOKUP(AK94,S6:W105,5,FALSE)-AO94)/1000,3),IF(AND(NOT(ISNA(VLOOKUP(AK94,Y6:AC105,5,FALSE))),AL94="",AM94&lt;&gt;""),ROUND((VLOOKUP(AK94,Y6:AC105,5,FALSE)-AO94)/1000,3),IF(AND(NOT(ISNA(VLOOKUP(AK94,AE6:AI105,5,FALSE))),AL94="",AM94&lt;&gt;""),ROUND((VLOOKUP(AK94,AE6:AI105,5,FALSE)-AO94)/1000,3),IF(AND(NOT(ISNA(VLOOKUP(AK94,AK6:AO93,5,FALSE))),AL94="",AM94&lt;&gt;""),ROUND((VLOOKUP(AK94,AK6:AO93,5,FALSE)-AO94)/1000,3),"")))))))</f>
        <v/>
      </c>
      <c r="AQ94" s="19">
        <f>IF(AQ93="","",AQ93+1)</f>
        <v>788</v>
      </c>
      <c r="AR94" s="39"/>
      <c r="AS94" s="39"/>
      <c r="AT94" s="15" t="str">
        <f>IF(AND(AR94&lt;&gt;"",AS94&lt;&gt;""),ROUND(AR94,3)+ROUND(AT93,3)-ROUND(AS94,3),IF(AND(EXACT(UPPER(AQ94),"TBM"),AR94&lt;&gt;""),ROUND(AR94,3),IF(AR94="",AT93,IF(ISNA(VLOOKUP(AQ94,A6:E105,5,FALSE)),IF(ISNA(VLOOKUP(AQ94,G6:K105,5,FALSE)),IF(ISNA(VLOOKUP(AQ94,M6:Q105,5,FALSE)),IF(ISNA(VLOOKUP(AQ94,S6:W105,5,FALSE)),IF(ISNA(VLOOKUP(AQ94,Y6:AC105,5,FALSE)),IF(ISNA(VLOOKUP(AQ94,AE6:AI105,5,FALSE)),IF(ISNA(VLOOKUP(AQ94,AK6:AO105,5,FALSE)),IF(ISNA(VLOOKUP(AQ94,AQ6:AU93,5,FALSE)),"",ROUND(VLOOKUP(AQ94,AQ6:AU93,5,FALSE),0)/1000+ROUND(AR94,3)),ROUND(VLOOKUP(AQ94,AK6:AO105,5,FALSE),0)/1000+ROUND(AR94,3)),ROUND(VLOOKUP(AQ94,AE6:AI105,5,FALSE),0)/1000+ROUND(AR94,3)),ROUND(VLOOKUP(AQ94,Y6:AC105,5,FALSE),0)/1000+ROUND(AR94,3)),ROUND(VLOOKUP(AQ94,S6:W105,5,FALSE),0)/1000+ROUND(AR94,3)),ROUND(VLOOKUP(AQ94,M6:Q105,5,FALSE),0)/1000+ROUND(AR94,3)),ROUND(VLOOKUP(AQ94,G6:K105,5,FALSE),0)/1000+ROUND(AR94,3)),ROUND(VLOOKUP(AQ94,A6:E105,5,FALSE),0)/1000+ROUND(AR94,3)))))</f>
        <v/>
      </c>
      <c r="AU94" s="18" t="str">
        <f>IF(OR(NOT(EXACT(UPPER(AQ94),"TBM")),AR94=""),IF(AND(AR94&lt;&gt;"",AS94="",AT94&lt;&gt;""),"",IF(AND(AR94="",AS94&lt;&gt;"",AT94&lt;&gt;""),ROUND(ROUND(AT94,3)-ROUND(AS94,3),3)*1000,IF(AND(AR94&lt;&gt;"",AS94&lt;&gt;"",AT94&lt;&gt;""),ROUND(ROUND(AT93,3)-ROUND(AS94,3),3)*1000,""))),"")</f>
        <v/>
      </c>
      <c r="AV94" s="45" t="str">
        <f>IF(AND(NOT(ISNA(VLOOKUP(AQ94,A6:E105,5,FALSE))),AR94="",AS94&lt;&gt;""),ROUND((VLOOKUP(AQ94,A6:E105,5,FALSE)-AU94)/1000,3),IF(AND(NOT(ISNA(VLOOKUP(AQ94,G6:K105,5,FALSE))),AR94="",AS94&lt;&gt;""),ROUND((VLOOKUP(AQ94,G6:K105,5,FALSE)-AU94)/1000,3),IF(AND(NOT(ISNA(VLOOKUP(AQ94,M6:Q105,5,FALSE))),AR94="",AS94&lt;&gt;""),ROUND((VLOOKUP(AQ94,M6:Q105,5,FALSE)-AU94)/1000,3),IF(AND(NOT(ISNA(VLOOKUP(AQ94,S6:W105,5,FALSE))),AR94="",AS94&lt;&gt;""),ROUND((VLOOKUP(AQ94,S6:W105,5,FALSE)-AU94)/1000,3),IF(AND(NOT(ISNA(VLOOKUP(AQ94,Y6:AC105,5,FALSE))),AR94="",AS94&lt;&gt;""),ROUND((VLOOKUP(AQ94,Y6:AC105,5,FALSE)-AU94)/1000,3),IF(AND(NOT(ISNA(VLOOKUP(AQ94,AE6:AI105,5,FALSE))),AR94="",AS94&lt;&gt;""),ROUND((VLOOKUP(AQ94,AE6:AI105,5,FALSE)-AU94)/1000,3),IF(AND(NOT(ISNA(VLOOKUP(AQ94,AK6:AO105,5,FALSE))),AR94="",AS94&lt;&gt;""),ROUND((VLOOKUP(AQ94,AK6:AO105,5,FALSE)-AU94)/1000,3),IF(AND(NOT(ISNA(VLOOKUP(AQ94,AQ6:AU93,5,FALSE))),AR94="",AS94&lt;&gt;""),ROUND((VLOOKUP(AQ94,AQ6:AU93,5,FALSE)-AU94)/1000,3),""))))))))</f>
        <v/>
      </c>
      <c r="AW94" s="19">
        <f>IF(AW93="","",AW93+1)</f>
        <v>888</v>
      </c>
      <c r="AX94" s="39"/>
      <c r="AY94" s="39"/>
      <c r="AZ94" s="15" t="str">
        <f>IF(AND(AX94&lt;&gt;"",AY94&lt;&gt;""),ROUND(AX94,3)+ROUND(AZ93,3)-ROUND(AY94,3),IF(AND(EXACT(UPPER(AW94),"TBM"),AX94&lt;&gt;""),ROUND(AX94,3),IF(AX94="",AZ93,IF(ISNA(VLOOKUP(AW94,A6:E105,5,FALSE)),IF(ISNA(VLOOKUP(AW94,G6:K105,5,FALSE)),IF(ISNA(VLOOKUP(AW94,M6:Q105,5,FALSE)),IF(ISNA(VLOOKUP(AW94,S6:W105,5,FALSE)),IF(ISNA(VLOOKUP(AW94,Y6:AC105,5,FALSE)),IF(ISNA(VLOOKUP(AW94,AE6:AI105,5,FALSE)),IF(ISNA(VLOOKUP(AW94,AK6:AO105,5,FALSE)),IF(ISNA(VLOOKUP(AW94,AQ6:AU105,5,FALSE)),IF(ISNA(VLOOKUP(AW94,AW6:BA93,5,FALSE)),"",ROUND(VLOOKUP(AW94,AW6:BA93,5,FALSE),0)/1000+ROUND(AX94,3)),ROUND(VLOOKUP(AW94,AQ6:AU105,5,FALSE),0)/1000+ROUND(AX94,3)),ROUND(VLOOKUP(AW94,AK6:AO105,5,FALSE),0)/1000+ROUND(AX94,3)),ROUND(VLOOKUP(AW94,AE6:AI105,5,FALSE),0)/1000+ROUND(AX94,3)),ROUND(VLOOKUP(AW94,Y6:AC105,5,FALSE),0)/1000+ROUND(AX94,3)),ROUND(VLOOKUP(AW94,S6:W105,5,FALSE),0)/1000+ROUND(AX94,3)),ROUND(VLOOKUP(AW94,M6:Q105,5,FALSE),0)/1000+ROUND(AX94,3)),ROUND(VLOOKUP(AW94,G6:K105,5,FALSE),0)/1000+ROUND(AX94,3)),ROUND(VLOOKUP(AW94,A6:E105,5,FALSE),0)/1000+ROUND(AX94,3)))))</f>
        <v/>
      </c>
      <c r="BA94" s="18" t="str">
        <f>IF(OR(NOT(EXACT(UPPER(AW94),"TBM")),AX94=""),IF(AND(AX94&lt;&gt;"",AY94="",AZ94&lt;&gt;""),"",IF(AND(AX94="",AY94&lt;&gt;"",AZ94&lt;&gt;""),ROUND(ROUND(AZ94,3)-ROUND(AY94,3),3)*1000,IF(AND(AX94&lt;&gt;"",AY94&lt;&gt;"",AZ94&lt;&gt;""),ROUND(ROUND(AZ93,3)-ROUND(AY94,3),3)*1000,""))),"")</f>
        <v/>
      </c>
      <c r="BB94" s="45" t="str">
        <f>IF(AND(NOT(ISNA(VLOOKUP(AW94,A6:E105,5,FALSE))),AX94="",AY94&lt;&gt;""),ROUND((VLOOKUP(AW94,A6:E105,5,FALSE)-BA94)/1000,3),IF(AND(NOT(ISNA(VLOOKUP(AW94,G6:K105,5,FALSE))),AX94="",AY94&lt;&gt;""),ROUND((VLOOKUP(AW94,G6:K105,5,FALSE)-BA94)/1000,3),IF(AND(NOT(ISNA(VLOOKUP(AW94,M6:Q105,5,FALSE))),AX94="",AY94&lt;&gt;""),ROUND((VLOOKUP(AW94,M6:Q105,5,FALSE)-BA94)/1000,3),IF(AND(NOT(ISNA(VLOOKUP(AW94,S6:W105,5,FALSE))),AX94="",AY94&lt;&gt;""),ROUND((VLOOKUP(AW94,S6:W105,5,FALSE)-BA94)/1000,3),IF(AND(NOT(ISNA(VLOOKUP(AW94,Y6:AC105,5,FALSE))),AX94="",AY94&lt;&gt;""),ROUND((VLOOKUP(AW94,Y6:AC105,5,FALSE)-BA94)/1000,3),IF(AND(NOT(ISNA(VLOOKUP(AW94,AE6:AI105,5,FALSE))),AX94="",AY94&lt;&gt;""),ROUND((VLOOKUP(AW94,AE6:AI105,5,FALSE)-BA94)/1000,3),IF(AND(NOT(ISNA(VLOOKUP(AW94,AK6:AO105,5,FALSE))),AX94="",AY94&lt;&gt;""),ROUND((VLOOKUP(AW94,AK6:AO105,5,FALSE)-BA94)/1000,3),IF(AND(NOT(ISNA(VLOOKUP(AW94,AQ6:AU105,5,FALSE))),AX94="",AY94&lt;&gt;""),ROUND((VLOOKUP(AW94,AQ6:AU105,5,FALSE)-BA94)/1000,3),IF(AND(NOT(ISNA(VLOOKUP(AW94,AW6:BA93,5,FALSE))),AX94="",AY94&lt;&gt;""),ROUND((VLOOKUP(AW94,AW6:BA93,5,FALSE)-BA94)/1000,3),"")))))))))</f>
        <v/>
      </c>
      <c r="BC94" s="19">
        <f>IF(BC93="","",BC93+1)</f>
        <v>988</v>
      </c>
      <c r="BD94" s="39"/>
      <c r="BE94" s="39"/>
      <c r="BF94" s="15" t="str">
        <f>IF(AND(BD94&lt;&gt;"",BE94&lt;&gt;""),ROUND(BD94,3)+ROUND(BF93,3)-ROUND(BE94,3),IF(AND(EXACT(UPPER(BC94),"TBM"),BD94&lt;&gt;""),ROUND(BD94,3),IF(BD94="",BF93,IF(ISNA(VLOOKUP(BC94,A6:E105,5,FALSE)),IF(ISNA(VLOOKUP(BC94,G6:K105,5,FALSE)),IF(ISNA(VLOOKUP(BC94,M6:Q105,5,FALSE)),IF(ISNA(VLOOKUP(BC94,S6:W105,5,FALSE)),IF(ISNA(VLOOKUP(BC94,Y6:AC105,5,FALSE)),IF(ISNA(VLOOKUP(BC94,AE6:AI105,5,FALSE)),IF(ISNA(VLOOKUP(BC94,AK6:AO105,5,FALSE)),IF(ISNA(VLOOKUP(BC94,AQ6:AU105,5,FALSE)),IF(ISNA(VLOOKUP(BC94,AW6:BA105,5,FALSE)),IF(ISNA(VLOOKUP(BC94,BC6:BG93,5,FALSE)),"",ROUND(VLOOKUP(BC94,BC6:BG93,5,FALSE),0)/1000+ROUND(BD94,3)),ROUND(VLOOKUP(BC94,AW6:BA105,5,FALSE),0)/1000+ROUND(BD94,3)),ROUND(VLOOKUP(BC94,AQ6:AU105,5,FALSE),0)/1000+ROUND(BD94,3)),ROUND(VLOOKUP(BC94,AK6:AO105,5,FALSE),0)/1000+ROUND(BD94,3)),ROUND(VLOOKUP(BC94,AE6:AI105,5,FALSE),0)/1000+ROUND(BD94,3)),ROUND(VLOOKUP(BC94,Y6:AC105,5,FALSE),0)/1000+ROUND(BD94,3)),ROUND(VLOOKUP(BC94,S6:W105,5,FALSE),0)/1000+ROUND(BD94,3)),ROUND(VLOOKUP(BC94,M6:Q105,5,FALSE),0)/1000+ROUND(BD94,3)),ROUND(VLOOKUP(BC94,G6:K105,5,FALSE),0)/1000+ROUND(BD94,3)),ROUND(VLOOKUP(BC94,A6:E105,5,FALSE),0)/1000+ROUND(BD94,3)))))</f>
        <v/>
      </c>
      <c r="BG94" s="18" t="str">
        <f>IF(OR(NOT(EXACT(UPPER(BC94),"TBM")),BD94=""),IF(AND(BD94&lt;&gt;"",BE94="",BF94&lt;&gt;""),"",IF(AND(BD94="",BE94&lt;&gt;"",BF94&lt;&gt;""),ROUND(ROUND(BF94,3)-ROUND(BE94,3),3)*1000,IF(AND(BD94&lt;&gt;"",BE94&lt;&gt;"",BF94&lt;&gt;""),ROUND(ROUND(BF93,3)-ROUND(BE94,3),3)*1000,""))),"")</f>
        <v/>
      </c>
      <c r="BH94" s="45" t="str">
        <f>IF(AND(NOT(ISNA(VLOOKUP(BC94,A6:E105,5,FALSE))),BD94="",BE94&lt;&gt;""),ROUND((VLOOKUP(BC94,A6:E105,5,FALSE)-BG94)/1000,3),IF(AND(NOT(ISNA(VLOOKUP(BC94,G6:K105,5,FALSE))),BD94="",BE94&lt;&gt;""),ROUND((VLOOKUP(BC94,G6:K105,5,FALSE)-BG94)/1000,3),IF(AND(NOT(ISNA(VLOOKUP(BC94,M6:Q105,5,FALSE))),BD94="",BE94&lt;&gt;""),ROUND((VLOOKUP(BC94,M6:Q105,5,FALSE)-BG94)/1000,3),IF(AND(NOT(ISNA(VLOOKUP(BC94,S6:W105,5,FALSE))),BD94="",BE94&lt;&gt;""),ROUND((VLOOKUP(BC94,S6:W105,5,FALSE)-BG94)/1000,3),IF(AND(NOT(ISNA(VLOOKUP(BC94,Y6:AC105,5,FALSE))),BD94="",BE94&lt;&gt;""),ROUND((VLOOKUP(BC94,Y6:AC105,5,FALSE)-BG94)/1000,3),IF(AND(NOT(ISNA(VLOOKUP(BC94,AE6:AI105,5,FALSE))),BD94="",BE94&lt;&gt;""),ROUND((VLOOKUP(BC94,AE6:AI105,5,FALSE)-BG94)/1000,3),IF(AND(NOT(ISNA(VLOOKUP(BC94,AK6:AO105,5,FALSE))),BD94="",BE94&lt;&gt;""),ROUND((VLOOKUP(BC94,AK6:AO105,5,FALSE)-BG94)/1000,3),IF(AND(NOT(ISNA(VLOOKUP(BC94,AQ6:AU105,5,FALSE))),BD94="",BE94&lt;&gt;""),ROUND((VLOOKUP(BC94,AQ6:AU105,5,FALSE)-BG94)/1000,3),IF(AND(NOT(ISNA(VLOOKUP(BC94,AW6:BA105,5,FALSE))),BD94="",BE94&lt;&gt;""),ROUND((VLOOKUP(BC94,AW6:BA105,5,FALSE)-BG94)/1000,3),IF(AND(NOT(ISNA(VLOOKUP(BC94,BC6:BG93,5,FALSE))),BD94="",BE94&lt;&gt;""),ROUND((VLOOKUP(BC94,BC6:BG93,5,FALSE)-BG94)/1000,3),""))))))))))</f>
        <v/>
      </c>
    </row>
    <row r="95" spans="1:60" x14ac:dyDescent="0.25">
      <c r="A95" s="81">
        <f t="shared" si="9"/>
        <v>89</v>
      </c>
      <c r="B95" s="82"/>
      <c r="C95" s="82"/>
      <c r="D95" s="83" t="str">
        <f>IF(AND(B95&lt;&gt;"",C95&lt;&gt;""),ROUND(B95,3)+ROUND(D94,3)-ROUND(C95,3),IF(AND(EXACT(UPPER(A95),"TBM"),B95&lt;&gt;""),ROUND(B95,3),IF(B95="",D94,IF(ISNA(VLOOKUP(A95,A6:E94,5,FALSE)),"",ROUND(VLOOKUP(A95,A6:E94,5,FALSE),0)/1000+ROUND(B95,3)))))</f>
        <v/>
      </c>
      <c r="E95" s="88" t="str">
        <f t="shared" si="6"/>
        <v/>
      </c>
      <c r="F95" s="85" t="str">
        <f>IF(AND(NOT(ISNA(VLOOKUP(A95,A6:E94,5,FALSE))),B95="",C95&lt;&gt;""),ROUND((VLOOKUP(A95,A6:E94,5,FALSE)-E95)/1000,3),"")</f>
        <v/>
      </c>
      <c r="G95" s="81">
        <f t="shared" si="7"/>
        <v>189</v>
      </c>
      <c r="H95" s="82"/>
      <c r="I95" s="82"/>
      <c r="J95" s="83" t="str">
        <f>IF(AND(H95&lt;&gt;"",I95&lt;&gt;""),ROUND(H95,3)+ROUND(J94,3)-ROUND(I95,3),IF(AND(EXACT(UPPER(G95),"TBM"),H95&lt;&gt;""),ROUND(H95,3),IF(H95="",J94,IF(ISNA(VLOOKUP(G95,A6:E105,5,FALSE)),IF(ISNA(VLOOKUP(G95,G6:K94,5,FALSE)),"",ROUND(VLOOKUP(G95,G6:K94,5,FALSE),0)/1000+ROUND(H95,3)),ROUND(VLOOKUP(G95,A6:E105,5,FALSE),0)/1000+ROUND(H95,3)))))</f>
        <v/>
      </c>
      <c r="K95" s="95" t="str">
        <f t="shared" si="8"/>
        <v/>
      </c>
      <c r="L95" s="85" t="str">
        <f>IF(AND(NOT(ISNA(VLOOKUP(G95,A6:E105,5,FALSE))),H95="",I95&lt;&gt;""),ROUND((VLOOKUP(G95,A6:E105,5,FALSE)-K95)/1000,3),IF(AND(NOT(ISNA(VLOOKUP(G95,G6:K94,5,FALSE))),H95="",I95&lt;&gt;""),ROUND((VLOOKUP(G95,G6:K94,5,FALSE)-K95)/1000,3),""))</f>
        <v/>
      </c>
      <c r="M95" s="81">
        <f>IF(M94="","",M94+1)</f>
        <v>289</v>
      </c>
      <c r="N95" s="82"/>
      <c r="O95" s="82"/>
      <c r="P95" s="83" t="str">
        <f>IF(AND(N95&lt;&gt;"",O95&lt;&gt;""),ROUND(N95,3)+ROUND(P94,3)-ROUND(O95,3),IF(AND(EXACT(UPPER(M95),"TBM"),N95&lt;&gt;""),ROUND(N95,3),IF(N95="",P94,IF(ISNA(VLOOKUP(M95,A6:E105,5,FALSE)),IF(ISNA(VLOOKUP(M95,G6:K105,5,FALSE)),IF(ISNA(VLOOKUP(M95,M6:Q94,5,FALSE)),"",ROUND(VLOOKUP(M95,M6:Q94,5,FALSE),0)/1000+ROUND(N95,3)),ROUND(VLOOKUP(M95,G6:K105,5,FALSE),0)/1000+ROUND(N95,3)),ROUND(VLOOKUP(M95,A6:E105,5,FALSE),0)/1000+ROUND(N95,3)))))</f>
        <v/>
      </c>
      <c r="Q95" s="95" t="str">
        <f>IF(OR(NOT(EXACT(UPPER(M95),"TBM")),N95=""),IF(AND(N95&lt;&gt;"",O95="",P95&lt;&gt;""),"",IF(AND(N95="",O95&lt;&gt;"",P95&lt;&gt;""),ROUND(ROUND(P95,3)-ROUND(O95,3),3)*1000,IF(AND(N95&lt;&gt;"",O95&lt;&gt;"",P95&lt;&gt;""),ROUND(ROUND(P94,3)-ROUND(O95,3),3)*1000,""))),"")</f>
        <v/>
      </c>
      <c r="R95" s="85" t="str">
        <f>IF(AND(NOT(ISNA(VLOOKUP(M95,A6:E105,5,FALSE))),N95="",O95&lt;&gt;""),ROUND((VLOOKUP(M95,A6:E105,5,FALSE)-Q95)/1000,3),IF(AND(NOT(ISNA(VLOOKUP(M95,G6:K105,5,FALSE))),N95="",O95&lt;&gt;""),ROUND((VLOOKUP(M95,G6:K105,5,FALSE)-Q95)/1000,3),IF(AND(NOT(ISNA(VLOOKUP(M95,M6:Q94,5,FALSE))),N95="",O95&lt;&gt;""),ROUND((VLOOKUP(M95,M6:Q94,5,FALSE)-Q95)/1000,3),"")))</f>
        <v/>
      </c>
      <c r="S95" s="81">
        <f>IF(S94="","",S94+1)</f>
        <v>389</v>
      </c>
      <c r="T95" s="82"/>
      <c r="U95" s="82"/>
      <c r="V95" s="83" t="str">
        <f>IF(AND(T95&lt;&gt;"",U95&lt;&gt;""),ROUND(T95,3)+ROUND(V94,3)-ROUND(U95,3),IF(AND(EXACT(UPPER(S95),"TBM"),T95&lt;&gt;""),ROUND(T95,3),IF(T95="",V94,IF(ISNA(VLOOKUP(S95,A6:E105,5,FALSE)),IF(ISNA(VLOOKUP(S95,G6:K105,5,FALSE)),IF(ISNA(VLOOKUP(S95,M6:Q105,5,FALSE)),IF(ISNA(VLOOKUP(S95,S6:W94,5,FALSE)),"",ROUND(VLOOKUP(S95,S6:W94,5,FALSE),0)/1000+ROUND(T95,3)),ROUND(VLOOKUP(S95,M6:Q105,5,FALSE),0)/1000+ROUND(T95,3)),ROUND(VLOOKUP(S95,G6:K105,5,FALSE),0)/1000+ROUND(T95,3)),ROUND(VLOOKUP(S95,A6:E105,5,FALSE),0)/1000+ROUND(T95,3)))))</f>
        <v/>
      </c>
      <c r="W95" s="95" t="str">
        <f>IF(OR(NOT(EXACT(UPPER(S95),"TBM")),T95=""),IF(AND(T95&lt;&gt;"",U95="",V95&lt;&gt;""),"",IF(AND(T95="",U95&lt;&gt;"",V95&lt;&gt;""),ROUND(ROUND(V95,3)-ROUND(U95,3),3)*1000,IF(AND(T95&lt;&gt;"",U95&lt;&gt;"",V95&lt;&gt;""),ROUND(ROUND(V94,3)-ROUND(U95,3),3)*1000,""))),"")</f>
        <v/>
      </c>
      <c r="X95" s="85" t="str">
        <f>IF(AND(NOT(ISNA(VLOOKUP(S95,A6:E105,5,FALSE))),T95="",U95&lt;&gt;""),ROUND((VLOOKUP(S95,A6:E105,5,FALSE)-W95)/1000,3),IF(AND(NOT(ISNA(VLOOKUP(S95,G6:K105,5,FALSE))),T95="",U95&lt;&gt;""),ROUND((VLOOKUP(S95,G6:K105,5,FALSE)-W95)/1000,3),IF(AND(NOT(ISNA(VLOOKUP(S95,M6:Q105,5,FALSE))),T95="",U95&lt;&gt;""),ROUND((VLOOKUP(S95,M6:Q105,5,FALSE)-W95)/1000,3),IF(AND(NOT(ISNA(VLOOKUP(S95,S6:W94,5,FALSE))),T95="",U95&lt;&gt;""),ROUND((VLOOKUP(S95,S6:W94,5,FALSE)-W95)/1000,3),""))))</f>
        <v/>
      </c>
      <c r="Y95" s="81">
        <f>IF(Y94="","",Y94+1)</f>
        <v>489</v>
      </c>
      <c r="Z95" s="82"/>
      <c r="AA95" s="82"/>
      <c r="AB95" s="83" t="str">
        <f>IF(AND(Z95&lt;&gt;"",AA95&lt;&gt;""),ROUND(Z95,3)+ROUND(AB94,3)-ROUND(AA95,3),IF(AND(EXACT(UPPER(Y95),"TBM"),Z95&lt;&gt;""),ROUND(Z95,3),IF(Z95="",AB94,IF(ISNA(VLOOKUP(Y95,A6:E105,5,FALSE)),IF(ISNA(VLOOKUP(Y95,G6:K105,5,FALSE)),IF(ISNA(VLOOKUP(Y95,M6:Q105,5,FALSE)),IF(ISNA(VLOOKUP(Y95,S6:W105,5,FALSE)),IF(ISNA(VLOOKUP(Y95,Y6:AC94,5,FALSE)),"",ROUND(VLOOKUP(Y95,Y6:AC94,5,FALSE),0)/1000+ROUND(Z95,3)),ROUND(VLOOKUP(Y95,S6:W105,5,FALSE),0)/1000+ROUND(Z95,3)),ROUND(VLOOKUP(Y95,M6:Q105,5,FALSE),0)/1000+ROUND(Z95,3)),ROUND(VLOOKUP(Y95,G6:K105,5,FALSE),0)/1000+ROUND(Z95,3)),ROUND(VLOOKUP(Y95,A6:E105,5,FALSE),0)/1000+ROUND(Z95,3)))))</f>
        <v/>
      </c>
      <c r="AC95" s="95" t="str">
        <f>IF(OR(NOT(EXACT(UPPER(Y95),"TBM")),Z95=""),IF(AND(Z95&lt;&gt;"",AA95="",AB95&lt;&gt;""),"",IF(AND(Z95="",AA95&lt;&gt;"",AB95&lt;&gt;""),ROUND(ROUND(AB95,3)-ROUND(AA95,3),3)*1000,IF(AND(Z95&lt;&gt;"",AA95&lt;&gt;"",AB95&lt;&gt;""),ROUND(ROUND(AB94,3)-ROUND(AA95,3),3)*1000,""))),"")</f>
        <v/>
      </c>
      <c r="AD95" s="85" t="str">
        <f>IF(AND(NOT(ISNA(VLOOKUP(Y95,A6:E105,5,FALSE))),Z95="",AA95&lt;&gt;""),ROUND((VLOOKUP(Y95,A6:E105,5,FALSE)-AC95)/1000,3),IF(AND(NOT(ISNA(VLOOKUP(Y95,G6:K105,5,FALSE))),Z95="",AA95&lt;&gt;""),ROUND((VLOOKUP(Y95,G6:K105,5,FALSE)-AC95)/1000,3),IF(AND(NOT(ISNA(VLOOKUP(Y95,M6:Q105,5,FALSE))),Z95="",AA95&lt;&gt;""),ROUND((VLOOKUP(Y95,M6:Q105,5,FALSE)-AC95)/1000,3),IF(AND(NOT(ISNA(VLOOKUP(Y95,S6:W105,5,FALSE))),Z95="",AA95&lt;&gt;""),ROUND((VLOOKUP(Y95,S6:W105,5,FALSE)-AC95)/1000,3),IF(AND(NOT(ISNA(VLOOKUP(Y95,Y6:AC94,5,FALSE))),Z95="",AA95&lt;&gt;""),ROUND((VLOOKUP(Y95,Y6:AC94,5,FALSE)-AC95)/1000,3),"")))))</f>
        <v/>
      </c>
      <c r="AE95" s="81">
        <f>IF(AE94="","",AE94+1)</f>
        <v>589</v>
      </c>
      <c r="AF95" s="82"/>
      <c r="AG95" s="82"/>
      <c r="AH95" s="83" t="str">
        <f>IF(AND(AF95&lt;&gt;"",AG95&lt;&gt;""),ROUND(AF95,3)+ROUND(AH94,3)-ROUND(AG95,3),IF(AND(EXACT(UPPER(AE95),"TBM"),AF95&lt;&gt;""),ROUND(AF95,3),IF(AF95="",AH94,IF(ISNA(VLOOKUP(AE95,A6:E105,5,FALSE)),IF(ISNA(VLOOKUP(AE95,G6:K105,5,FALSE)),IF(ISNA(VLOOKUP(AE95,M6:Q105,5,FALSE)),IF(ISNA(VLOOKUP(AE95,S6:W105,5,FALSE)),IF(ISNA(VLOOKUP(AE95,Y6:AC105,5,FALSE)),IF(ISNA(VLOOKUP(AE95,AE6:AI94,5,FALSE)),"",ROUND(VLOOKUP(AE95,AE6:AI94,5,FALSE),0)/1000+ROUND(AF95,3)),ROUND(VLOOKUP(AE95,Y6:AC105,5,FALSE),0)/1000+ROUND(AF95,3)),ROUND(VLOOKUP(AE95,S6:W105,5,FALSE),0)/1000+ROUND(AF95,3)),ROUND(VLOOKUP(AE95,M6:Q105,5,FALSE),0)/1000+ROUND(AF95,3)),ROUND(VLOOKUP(AE95,G6:K105,5,FALSE),0)/1000+ROUND(AF95,3)),ROUND(VLOOKUP(AE95,A6:E105,5,FALSE),0)/1000+ROUND(AF95,3)))))</f>
        <v/>
      </c>
      <c r="AI95" s="95" t="str">
        <f>IF(OR(NOT(EXACT(UPPER(AE95),"TBM")),AF95=""),IF(AND(AF95&lt;&gt;"",AG95="",AH95&lt;&gt;""),"",IF(AND(AF95="",AG95&lt;&gt;"",AH95&lt;&gt;""),ROUND(ROUND(AH95,3)-ROUND(AG95,3),3)*1000,IF(AND(AF95&lt;&gt;"",AG95&lt;&gt;"",AH95&lt;&gt;""),ROUND(ROUND(AH94,3)-ROUND(AG95,3),3)*1000,""))),"")</f>
        <v/>
      </c>
      <c r="AJ95" s="85" t="str">
        <f>IF(AND(NOT(ISNA(VLOOKUP(AE95,A6:E105,5,FALSE))),AF95="",AG95&lt;&gt;""),ROUND((VLOOKUP(AE95,A6:E105,5,FALSE)-AI95)/1000,3),IF(AND(NOT(ISNA(VLOOKUP(AE95,G6:K105,5,FALSE))),AF95="",AG95&lt;&gt;""),ROUND((VLOOKUP(AE95,G6:K105,5,FALSE)-AI95)/1000,3),IF(AND(NOT(ISNA(VLOOKUP(AE95,M6:Q105,5,FALSE))),AF95="",AG95&lt;&gt;""),ROUND((VLOOKUP(AE95,M6:Q105,5,FALSE)-AI95)/1000,3),IF(AND(NOT(ISNA(VLOOKUP(AE95,S6:W105,5,FALSE))),AF95="",AG95&lt;&gt;""),ROUND((VLOOKUP(AE95,S6:W105,5,FALSE)-AI95)/1000,3),IF(AND(NOT(ISNA(VLOOKUP(AE95,Y6:AC105,5,FALSE))),AF95="",AG95&lt;&gt;""),ROUND((VLOOKUP(AE95,Y6:AC105,5,FALSE)-AI95)/1000,3),IF(AND(NOT(ISNA(VLOOKUP(AE95,AE6:AI94,5,FALSE))),AF95="",AG95&lt;&gt;""),ROUND((VLOOKUP(AE95,AE6:AI94,5,FALSE)-AI95)/1000,3),""))))))</f>
        <v/>
      </c>
      <c r="AK95" s="81">
        <f>IF(AK94="","",AK94+1)</f>
        <v>689</v>
      </c>
      <c r="AL95" s="82"/>
      <c r="AM95" s="82"/>
      <c r="AN95" s="83" t="str">
        <f>IF(AND(AL95&lt;&gt;"",AM95&lt;&gt;""),ROUND(AL95,3)+ROUND(AN94,3)-ROUND(AM95,3),IF(AND(EXACT(UPPER(AK95),"TBM"),AL95&lt;&gt;""),ROUND(AL95,3),IF(AL95="",AN94,IF(ISNA(VLOOKUP(AK95,A6:E105,5,FALSE)),IF(ISNA(VLOOKUP(AK95,G6:K105,5,FALSE)),IF(ISNA(VLOOKUP(AK95,M6:Q105,5,FALSE)),IF(ISNA(VLOOKUP(AK95,S6:W105,5,FALSE)),IF(ISNA(VLOOKUP(AK95,Y6:AC105,5,FALSE)),IF(ISNA(VLOOKUP(AK95,AE6:AI105,5,FALSE)),IF(ISNA(VLOOKUP(AK95,AK6:AO94,5,FALSE)),"",ROUND(VLOOKUP(AK95,AK6:AO94,5,FALSE),0)/1000+ROUND(AL95,3)),ROUND(VLOOKUP(AK95,AE6:AI105,5,FALSE),0)/1000+ROUND(AL95,3)),ROUND(VLOOKUP(AK95,Y6:AC105,5,FALSE),0)/1000+ROUND(AL95,3)),ROUND(VLOOKUP(AK95,S6:W105,5,FALSE),0)/1000+ROUND(AL95,3)),ROUND(VLOOKUP(AK95,M6:Q105,5,FALSE),0)/1000+ROUND(AL95,3)),ROUND(VLOOKUP(AK95,G6:K105,5,FALSE),0)/1000+ROUND(AL95,3)),ROUND(VLOOKUP(AK95,A6:E105,5,FALSE),0)/1000+ROUND(AL95,3)))))</f>
        <v/>
      </c>
      <c r="AO95" s="95" t="str">
        <f>IF(OR(NOT(EXACT(UPPER(AK95),"TBM")),AL95=""),IF(AND(AL95&lt;&gt;"",AM95="",AN95&lt;&gt;""),"",IF(AND(AL95="",AM95&lt;&gt;"",AN95&lt;&gt;""),ROUND(ROUND(AN95,3)-ROUND(AM95,3),3)*1000,IF(AND(AL95&lt;&gt;"",AM95&lt;&gt;"",AN95&lt;&gt;""),ROUND(ROUND(AN94,3)-ROUND(AM95,3),3)*1000,""))),"")</f>
        <v/>
      </c>
      <c r="AP95" s="85" t="str">
        <f>IF(AND(NOT(ISNA(VLOOKUP(AK95,A6:E105,5,FALSE))),AL95="",AM95&lt;&gt;""),ROUND((VLOOKUP(AK95,A6:E105,5,FALSE)-AO95)/1000,3),IF(AND(NOT(ISNA(VLOOKUP(AK95,G6:K105,5,FALSE))),AL95="",AM95&lt;&gt;""),ROUND((VLOOKUP(AK95,G6:K105,5,FALSE)-AO95)/1000,3),IF(AND(NOT(ISNA(VLOOKUP(AK95,M6:Q105,5,FALSE))),AL95="",AM95&lt;&gt;""),ROUND((VLOOKUP(AK95,M6:Q105,5,FALSE)-AO95)/1000,3),IF(AND(NOT(ISNA(VLOOKUP(AK95,S6:W105,5,FALSE))),AL95="",AM95&lt;&gt;""),ROUND((VLOOKUP(AK95,S6:W105,5,FALSE)-AO95)/1000,3),IF(AND(NOT(ISNA(VLOOKUP(AK95,Y6:AC105,5,FALSE))),AL95="",AM95&lt;&gt;""),ROUND((VLOOKUP(AK95,Y6:AC105,5,FALSE)-AO95)/1000,3),IF(AND(NOT(ISNA(VLOOKUP(AK95,AE6:AI105,5,FALSE))),AL95="",AM95&lt;&gt;""),ROUND((VLOOKUP(AK95,AE6:AI105,5,FALSE)-AO95)/1000,3),IF(AND(NOT(ISNA(VLOOKUP(AK95,AK6:AO94,5,FALSE))),AL95="",AM95&lt;&gt;""),ROUND((VLOOKUP(AK95,AK6:AO94,5,FALSE)-AO95)/1000,3),"")))))))</f>
        <v/>
      </c>
      <c r="AQ95" s="81">
        <f>IF(AQ94="","",AQ94+1)</f>
        <v>789</v>
      </c>
      <c r="AR95" s="82"/>
      <c r="AS95" s="82"/>
      <c r="AT95" s="83" t="str">
        <f>IF(AND(AR95&lt;&gt;"",AS95&lt;&gt;""),ROUND(AR95,3)+ROUND(AT94,3)-ROUND(AS95,3),IF(AND(EXACT(UPPER(AQ95),"TBM"),AR95&lt;&gt;""),ROUND(AR95,3),IF(AR95="",AT94,IF(ISNA(VLOOKUP(AQ95,A6:E105,5,FALSE)),IF(ISNA(VLOOKUP(AQ95,G6:K105,5,FALSE)),IF(ISNA(VLOOKUP(AQ95,M6:Q105,5,FALSE)),IF(ISNA(VLOOKUP(AQ95,S6:W105,5,FALSE)),IF(ISNA(VLOOKUP(AQ95,Y6:AC105,5,FALSE)),IF(ISNA(VLOOKUP(AQ95,AE6:AI105,5,FALSE)),IF(ISNA(VLOOKUP(AQ95,AK6:AO105,5,FALSE)),IF(ISNA(VLOOKUP(AQ95,AQ6:AU94,5,FALSE)),"",ROUND(VLOOKUP(AQ95,AQ6:AU94,5,FALSE),0)/1000+ROUND(AR95,3)),ROUND(VLOOKUP(AQ95,AK6:AO105,5,FALSE),0)/1000+ROUND(AR95,3)),ROUND(VLOOKUP(AQ95,AE6:AI105,5,FALSE),0)/1000+ROUND(AR95,3)),ROUND(VLOOKUP(AQ95,Y6:AC105,5,FALSE),0)/1000+ROUND(AR95,3)),ROUND(VLOOKUP(AQ95,S6:W105,5,FALSE),0)/1000+ROUND(AR95,3)),ROUND(VLOOKUP(AQ95,M6:Q105,5,FALSE),0)/1000+ROUND(AR95,3)),ROUND(VLOOKUP(AQ95,G6:K105,5,FALSE),0)/1000+ROUND(AR95,3)),ROUND(VLOOKUP(AQ95,A6:E105,5,FALSE),0)/1000+ROUND(AR95,3)))))</f>
        <v/>
      </c>
      <c r="AU95" s="95" t="str">
        <f>IF(OR(NOT(EXACT(UPPER(AQ95),"TBM")),AR95=""),IF(AND(AR95&lt;&gt;"",AS95="",AT95&lt;&gt;""),"",IF(AND(AR95="",AS95&lt;&gt;"",AT95&lt;&gt;""),ROUND(ROUND(AT95,3)-ROUND(AS95,3),3)*1000,IF(AND(AR95&lt;&gt;"",AS95&lt;&gt;"",AT95&lt;&gt;""),ROUND(ROUND(AT94,3)-ROUND(AS95,3),3)*1000,""))),"")</f>
        <v/>
      </c>
      <c r="AV95" s="85" t="str">
        <f>IF(AND(NOT(ISNA(VLOOKUP(AQ95,A6:E105,5,FALSE))),AR95="",AS95&lt;&gt;""),ROUND((VLOOKUP(AQ95,A6:E105,5,FALSE)-AU95)/1000,3),IF(AND(NOT(ISNA(VLOOKUP(AQ95,G6:K105,5,FALSE))),AR95="",AS95&lt;&gt;""),ROUND((VLOOKUP(AQ95,G6:K105,5,FALSE)-AU95)/1000,3),IF(AND(NOT(ISNA(VLOOKUP(AQ95,M6:Q105,5,FALSE))),AR95="",AS95&lt;&gt;""),ROUND((VLOOKUP(AQ95,M6:Q105,5,FALSE)-AU95)/1000,3),IF(AND(NOT(ISNA(VLOOKUP(AQ95,S6:W105,5,FALSE))),AR95="",AS95&lt;&gt;""),ROUND((VLOOKUP(AQ95,S6:W105,5,FALSE)-AU95)/1000,3),IF(AND(NOT(ISNA(VLOOKUP(AQ95,Y6:AC105,5,FALSE))),AR95="",AS95&lt;&gt;""),ROUND((VLOOKUP(AQ95,Y6:AC105,5,FALSE)-AU95)/1000,3),IF(AND(NOT(ISNA(VLOOKUP(AQ95,AE6:AI105,5,FALSE))),AR95="",AS95&lt;&gt;""),ROUND((VLOOKUP(AQ95,AE6:AI105,5,FALSE)-AU95)/1000,3),IF(AND(NOT(ISNA(VLOOKUP(AQ95,AK6:AO105,5,FALSE))),AR95="",AS95&lt;&gt;""),ROUND((VLOOKUP(AQ95,AK6:AO105,5,FALSE)-AU95)/1000,3),IF(AND(NOT(ISNA(VLOOKUP(AQ95,AQ6:AU94,5,FALSE))),AR95="",AS95&lt;&gt;""),ROUND((VLOOKUP(AQ95,AQ6:AU94,5,FALSE)-AU95)/1000,3),""))))))))</f>
        <v/>
      </c>
      <c r="AW95" s="81">
        <f>IF(AW94="","",AW94+1)</f>
        <v>889</v>
      </c>
      <c r="AX95" s="82"/>
      <c r="AY95" s="82"/>
      <c r="AZ95" s="83" t="str">
        <f>IF(AND(AX95&lt;&gt;"",AY95&lt;&gt;""),ROUND(AX95,3)+ROUND(AZ94,3)-ROUND(AY95,3),IF(AND(EXACT(UPPER(AW95),"TBM"),AX95&lt;&gt;""),ROUND(AX95,3),IF(AX95="",AZ94,IF(ISNA(VLOOKUP(AW95,A6:E105,5,FALSE)),IF(ISNA(VLOOKUP(AW95,G6:K105,5,FALSE)),IF(ISNA(VLOOKUP(AW95,M6:Q105,5,FALSE)),IF(ISNA(VLOOKUP(AW95,S6:W105,5,FALSE)),IF(ISNA(VLOOKUP(AW95,Y6:AC105,5,FALSE)),IF(ISNA(VLOOKUP(AW95,AE6:AI105,5,FALSE)),IF(ISNA(VLOOKUP(AW95,AK6:AO105,5,FALSE)),IF(ISNA(VLOOKUP(AW95,AQ6:AU105,5,FALSE)),IF(ISNA(VLOOKUP(AW95,AW6:BA94,5,FALSE)),"",ROUND(VLOOKUP(AW95,AW6:BA94,5,FALSE),0)/1000+ROUND(AX95,3)),ROUND(VLOOKUP(AW95,AQ6:AU105,5,FALSE),0)/1000+ROUND(AX95,3)),ROUND(VLOOKUP(AW95,AK6:AO105,5,FALSE),0)/1000+ROUND(AX95,3)),ROUND(VLOOKUP(AW95,AE6:AI105,5,FALSE),0)/1000+ROUND(AX95,3)),ROUND(VLOOKUP(AW95,Y6:AC105,5,FALSE),0)/1000+ROUND(AX95,3)),ROUND(VLOOKUP(AW95,S6:W105,5,FALSE),0)/1000+ROUND(AX95,3)),ROUND(VLOOKUP(AW95,M6:Q105,5,FALSE),0)/1000+ROUND(AX95,3)),ROUND(VLOOKUP(AW95,G6:K105,5,FALSE),0)/1000+ROUND(AX95,3)),ROUND(VLOOKUP(AW95,A6:E105,5,FALSE),0)/1000+ROUND(AX95,3)))))</f>
        <v/>
      </c>
      <c r="BA95" s="95" t="str">
        <f>IF(OR(NOT(EXACT(UPPER(AW95),"TBM")),AX95=""),IF(AND(AX95&lt;&gt;"",AY95="",AZ95&lt;&gt;""),"",IF(AND(AX95="",AY95&lt;&gt;"",AZ95&lt;&gt;""),ROUND(ROUND(AZ95,3)-ROUND(AY95,3),3)*1000,IF(AND(AX95&lt;&gt;"",AY95&lt;&gt;"",AZ95&lt;&gt;""),ROUND(ROUND(AZ94,3)-ROUND(AY95,3),3)*1000,""))),"")</f>
        <v/>
      </c>
      <c r="BB95" s="85" t="str">
        <f>IF(AND(NOT(ISNA(VLOOKUP(AW95,A6:E105,5,FALSE))),AX95="",AY95&lt;&gt;""),ROUND((VLOOKUP(AW95,A6:E105,5,FALSE)-BA95)/1000,3),IF(AND(NOT(ISNA(VLOOKUP(AW95,G6:K105,5,FALSE))),AX95="",AY95&lt;&gt;""),ROUND((VLOOKUP(AW95,G6:K105,5,FALSE)-BA95)/1000,3),IF(AND(NOT(ISNA(VLOOKUP(AW95,M6:Q105,5,FALSE))),AX95="",AY95&lt;&gt;""),ROUND((VLOOKUP(AW95,M6:Q105,5,FALSE)-BA95)/1000,3),IF(AND(NOT(ISNA(VLOOKUP(AW95,S6:W105,5,FALSE))),AX95="",AY95&lt;&gt;""),ROUND((VLOOKUP(AW95,S6:W105,5,FALSE)-BA95)/1000,3),IF(AND(NOT(ISNA(VLOOKUP(AW95,Y6:AC105,5,FALSE))),AX95="",AY95&lt;&gt;""),ROUND((VLOOKUP(AW95,Y6:AC105,5,FALSE)-BA95)/1000,3),IF(AND(NOT(ISNA(VLOOKUP(AW95,AE6:AI105,5,FALSE))),AX95="",AY95&lt;&gt;""),ROUND((VLOOKUP(AW95,AE6:AI105,5,FALSE)-BA95)/1000,3),IF(AND(NOT(ISNA(VLOOKUP(AW95,AK6:AO105,5,FALSE))),AX95="",AY95&lt;&gt;""),ROUND((VLOOKUP(AW95,AK6:AO105,5,FALSE)-BA95)/1000,3),IF(AND(NOT(ISNA(VLOOKUP(AW95,AQ6:AU105,5,FALSE))),AX95="",AY95&lt;&gt;""),ROUND((VLOOKUP(AW95,AQ6:AU105,5,FALSE)-BA95)/1000,3),IF(AND(NOT(ISNA(VLOOKUP(AW95,AW6:BA94,5,FALSE))),AX95="",AY95&lt;&gt;""),ROUND((VLOOKUP(AW95,AW6:BA94,5,FALSE)-BA95)/1000,3),"")))))))))</f>
        <v/>
      </c>
      <c r="BC95" s="81">
        <f>IF(BC94="","",BC94+1)</f>
        <v>989</v>
      </c>
      <c r="BD95" s="82"/>
      <c r="BE95" s="82"/>
      <c r="BF95" s="83" t="str">
        <f>IF(AND(BD95&lt;&gt;"",BE95&lt;&gt;""),ROUND(BD95,3)+ROUND(BF94,3)-ROUND(BE95,3),IF(AND(EXACT(UPPER(BC95),"TBM"),BD95&lt;&gt;""),ROUND(BD95,3),IF(BD95="",BF94,IF(ISNA(VLOOKUP(BC95,A6:E105,5,FALSE)),IF(ISNA(VLOOKUP(BC95,G6:K105,5,FALSE)),IF(ISNA(VLOOKUP(BC95,M6:Q105,5,FALSE)),IF(ISNA(VLOOKUP(BC95,S6:W105,5,FALSE)),IF(ISNA(VLOOKUP(BC95,Y6:AC105,5,FALSE)),IF(ISNA(VLOOKUP(BC95,AE6:AI105,5,FALSE)),IF(ISNA(VLOOKUP(BC95,AK6:AO105,5,FALSE)),IF(ISNA(VLOOKUP(BC95,AQ6:AU105,5,FALSE)),IF(ISNA(VLOOKUP(BC95,AW6:BA105,5,FALSE)),IF(ISNA(VLOOKUP(BC95,BC6:BG94,5,FALSE)),"",ROUND(VLOOKUP(BC95,BC6:BG94,5,FALSE),0)/1000+ROUND(BD95,3)),ROUND(VLOOKUP(BC95,AW6:BA105,5,FALSE),0)/1000+ROUND(BD95,3)),ROUND(VLOOKUP(BC95,AQ6:AU105,5,FALSE),0)/1000+ROUND(BD95,3)),ROUND(VLOOKUP(BC95,AK6:AO105,5,FALSE),0)/1000+ROUND(BD95,3)),ROUND(VLOOKUP(BC95,AE6:AI105,5,FALSE),0)/1000+ROUND(BD95,3)),ROUND(VLOOKUP(BC95,Y6:AC105,5,FALSE),0)/1000+ROUND(BD95,3)),ROUND(VLOOKUP(BC95,S6:W105,5,FALSE),0)/1000+ROUND(BD95,3)),ROUND(VLOOKUP(BC95,M6:Q105,5,FALSE),0)/1000+ROUND(BD95,3)),ROUND(VLOOKUP(BC95,G6:K105,5,FALSE),0)/1000+ROUND(BD95,3)),ROUND(VLOOKUP(BC95,A6:E105,5,FALSE),0)/1000+ROUND(BD95,3)))))</f>
        <v/>
      </c>
      <c r="BG95" s="95" t="str">
        <f>IF(OR(NOT(EXACT(UPPER(BC95),"TBM")),BD95=""),IF(AND(BD95&lt;&gt;"",BE95="",BF95&lt;&gt;""),"",IF(AND(BD95="",BE95&lt;&gt;"",BF95&lt;&gt;""),ROUND(ROUND(BF95,3)-ROUND(BE95,3),3)*1000,IF(AND(BD95&lt;&gt;"",BE95&lt;&gt;"",BF95&lt;&gt;""),ROUND(ROUND(BF94,3)-ROUND(BE95,3),3)*1000,""))),"")</f>
        <v/>
      </c>
      <c r="BH95" s="85" t="str">
        <f>IF(AND(NOT(ISNA(VLOOKUP(BC95,A6:E105,5,FALSE))),BD95="",BE95&lt;&gt;""),ROUND((VLOOKUP(BC95,A6:E105,5,FALSE)-BG95)/1000,3),IF(AND(NOT(ISNA(VLOOKUP(BC95,G6:K105,5,FALSE))),BD95="",BE95&lt;&gt;""),ROUND((VLOOKUP(BC95,G6:K105,5,FALSE)-BG95)/1000,3),IF(AND(NOT(ISNA(VLOOKUP(BC95,M6:Q105,5,FALSE))),BD95="",BE95&lt;&gt;""),ROUND((VLOOKUP(BC95,M6:Q105,5,FALSE)-BG95)/1000,3),IF(AND(NOT(ISNA(VLOOKUP(BC95,S6:W105,5,FALSE))),BD95="",BE95&lt;&gt;""),ROUND((VLOOKUP(BC95,S6:W105,5,FALSE)-BG95)/1000,3),IF(AND(NOT(ISNA(VLOOKUP(BC95,Y6:AC105,5,FALSE))),BD95="",BE95&lt;&gt;""),ROUND((VLOOKUP(BC95,Y6:AC105,5,FALSE)-BG95)/1000,3),IF(AND(NOT(ISNA(VLOOKUP(BC95,AE6:AI105,5,FALSE))),BD95="",BE95&lt;&gt;""),ROUND((VLOOKUP(BC95,AE6:AI105,5,FALSE)-BG95)/1000,3),IF(AND(NOT(ISNA(VLOOKUP(BC95,AK6:AO105,5,FALSE))),BD95="",BE95&lt;&gt;""),ROUND((VLOOKUP(BC95,AK6:AO105,5,FALSE)-BG95)/1000,3),IF(AND(NOT(ISNA(VLOOKUP(BC95,AQ6:AU105,5,FALSE))),BD95="",BE95&lt;&gt;""),ROUND((VLOOKUP(BC95,AQ6:AU105,5,FALSE)-BG95)/1000,3),IF(AND(NOT(ISNA(VLOOKUP(BC95,AW6:BA105,5,FALSE))),BD95="",BE95&lt;&gt;""),ROUND((VLOOKUP(BC95,AW6:BA105,5,FALSE)-BG95)/1000,3),IF(AND(NOT(ISNA(VLOOKUP(BC95,BC6:BG94,5,FALSE))),BD95="",BE95&lt;&gt;""),ROUND((VLOOKUP(BC95,BC6:BG94,5,FALSE)-BG95)/1000,3),""))))))))))</f>
        <v/>
      </c>
    </row>
    <row r="96" spans="1:60" x14ac:dyDescent="0.25">
      <c r="A96" s="64">
        <f t="shared" si="9"/>
        <v>90</v>
      </c>
      <c r="B96" s="38"/>
      <c r="C96" s="38"/>
      <c r="D96" s="17" t="str">
        <f>IF(AND(B96&lt;&gt;"",C96&lt;&gt;""),ROUND(B96,3)+ROUND(D95,3)-ROUND(C96,3),IF(AND(EXACT(UPPER(A96),"TBM"),B96&lt;&gt;""),ROUND(B96,3),IF(B96="",D95,IF(ISNA(VLOOKUP(A96,A6:E95,5,FALSE)),"",ROUND(VLOOKUP(A96,A6:E95,5,FALSE),0)/1000+ROUND(B96,3)))))</f>
        <v/>
      </c>
      <c r="E96" s="65" t="str">
        <f t="shared" si="6"/>
        <v/>
      </c>
      <c r="F96" s="66" t="str">
        <f>IF(AND(NOT(ISNA(VLOOKUP(A96,A6:E95,5,FALSE))),B96="",C96&lt;&gt;""),ROUND((VLOOKUP(A96,A6:E95,5,FALSE)-E96)/1000,3),"")</f>
        <v/>
      </c>
      <c r="G96" s="64">
        <f t="shared" si="7"/>
        <v>190</v>
      </c>
      <c r="H96" s="38"/>
      <c r="I96" s="38"/>
      <c r="J96" s="17" t="str">
        <f>IF(AND(H96&lt;&gt;"",I96&lt;&gt;""),ROUND(H96,3)+ROUND(J95,3)-ROUND(I96,3),IF(AND(EXACT(UPPER(G96),"TBM"),H96&lt;&gt;""),ROUND(H96,3),IF(H96="",J95,IF(ISNA(VLOOKUP(G96,A6:E105,5,FALSE)),IF(ISNA(VLOOKUP(G96,G6:K95,5,FALSE)),"",ROUND(VLOOKUP(G96,G6:K95,5,FALSE),0)/1000+ROUND(H96,3)),ROUND(VLOOKUP(G96,A6:E105,5,FALSE),0)/1000+ROUND(H96,3)))))</f>
        <v/>
      </c>
      <c r="K96" s="18" t="str">
        <f t="shared" si="8"/>
        <v/>
      </c>
      <c r="L96" s="66" t="str">
        <f>IF(AND(NOT(ISNA(VLOOKUP(G96,A6:E105,5,FALSE))),H96="",I96&lt;&gt;""),ROUND((VLOOKUP(G96,A6:E105,5,FALSE)-K96)/1000,3),IF(AND(NOT(ISNA(VLOOKUP(G96,G6:K95,5,FALSE))),H96="",I96&lt;&gt;""),ROUND((VLOOKUP(G96,G6:K95,5,FALSE)-K96)/1000,3),""))</f>
        <v/>
      </c>
      <c r="M96" s="64">
        <f>IF(M95="","",M95+1)</f>
        <v>290</v>
      </c>
      <c r="N96" s="38"/>
      <c r="O96" s="38"/>
      <c r="P96" s="17" t="str">
        <f>IF(AND(N96&lt;&gt;"",O96&lt;&gt;""),ROUND(N96,3)+ROUND(P95,3)-ROUND(O96,3),IF(AND(EXACT(UPPER(M96),"TBM"),N96&lt;&gt;""),ROUND(N96,3),IF(N96="",P95,IF(ISNA(VLOOKUP(M96,A6:E105,5,FALSE)),IF(ISNA(VLOOKUP(M96,G6:K105,5,FALSE)),IF(ISNA(VLOOKUP(M96,M6:Q95,5,FALSE)),"",ROUND(VLOOKUP(M96,M6:Q95,5,FALSE),0)/1000+ROUND(N96,3)),ROUND(VLOOKUP(M96,G6:K105,5,FALSE),0)/1000+ROUND(N96,3)),ROUND(VLOOKUP(M96,A6:E105,5,FALSE),0)/1000+ROUND(N96,3)))))</f>
        <v/>
      </c>
      <c r="Q96" s="18" t="str">
        <f>IF(OR(NOT(EXACT(UPPER(M96),"TBM")),N96=""),IF(AND(N96&lt;&gt;"",O96="",P96&lt;&gt;""),"",IF(AND(N96="",O96&lt;&gt;"",P96&lt;&gt;""),ROUND(ROUND(P96,3)-ROUND(O96,3),3)*1000,IF(AND(N96&lt;&gt;"",O96&lt;&gt;"",P96&lt;&gt;""),ROUND(ROUND(P95,3)-ROUND(O96,3),3)*1000,""))),"")</f>
        <v/>
      </c>
      <c r="R96" s="66" t="str">
        <f>IF(AND(NOT(ISNA(VLOOKUP(M96,A6:E105,5,FALSE))),N96="",O96&lt;&gt;""),ROUND((VLOOKUP(M96,A6:E105,5,FALSE)-Q96)/1000,3),IF(AND(NOT(ISNA(VLOOKUP(M96,G6:K105,5,FALSE))),N96="",O96&lt;&gt;""),ROUND((VLOOKUP(M96,G6:K105,5,FALSE)-Q96)/1000,3),IF(AND(NOT(ISNA(VLOOKUP(M96,M6:Q95,5,FALSE))),N96="",O96&lt;&gt;""),ROUND((VLOOKUP(M96,M6:Q95,5,FALSE)-Q96)/1000,3),"")))</f>
        <v/>
      </c>
      <c r="S96" s="64">
        <f>IF(S95="","",S95+1)</f>
        <v>390</v>
      </c>
      <c r="T96" s="38"/>
      <c r="U96" s="38"/>
      <c r="V96" s="17" t="str">
        <f>IF(AND(T96&lt;&gt;"",U96&lt;&gt;""),ROUND(T96,3)+ROUND(V95,3)-ROUND(U96,3),IF(AND(EXACT(UPPER(S96),"TBM"),T96&lt;&gt;""),ROUND(T96,3),IF(T96="",V95,IF(ISNA(VLOOKUP(S96,A6:E105,5,FALSE)),IF(ISNA(VLOOKUP(S96,G6:K105,5,FALSE)),IF(ISNA(VLOOKUP(S96,M6:Q105,5,FALSE)),IF(ISNA(VLOOKUP(S96,S6:W95,5,FALSE)),"",ROUND(VLOOKUP(S96,S6:W95,5,FALSE),0)/1000+ROUND(T96,3)),ROUND(VLOOKUP(S96,M6:Q105,5,FALSE),0)/1000+ROUND(T96,3)),ROUND(VLOOKUP(S96,G6:K105,5,FALSE),0)/1000+ROUND(T96,3)),ROUND(VLOOKUP(S96,A6:E105,5,FALSE),0)/1000+ROUND(T96,3)))))</f>
        <v/>
      </c>
      <c r="W96" s="18" t="str">
        <f>IF(OR(NOT(EXACT(UPPER(S96),"TBM")),T96=""),IF(AND(T96&lt;&gt;"",U96="",V96&lt;&gt;""),"",IF(AND(T96="",U96&lt;&gt;"",V96&lt;&gt;""),ROUND(ROUND(V96,3)-ROUND(U96,3),3)*1000,IF(AND(T96&lt;&gt;"",U96&lt;&gt;"",V96&lt;&gt;""),ROUND(ROUND(V95,3)-ROUND(U96,3),3)*1000,""))),"")</f>
        <v/>
      </c>
      <c r="X96" s="66" t="str">
        <f>IF(AND(NOT(ISNA(VLOOKUP(S96,A6:E105,5,FALSE))),T96="",U96&lt;&gt;""),ROUND((VLOOKUP(S96,A6:E105,5,FALSE)-W96)/1000,3),IF(AND(NOT(ISNA(VLOOKUP(S96,G6:K105,5,FALSE))),T96="",U96&lt;&gt;""),ROUND((VLOOKUP(S96,G6:K105,5,FALSE)-W96)/1000,3),IF(AND(NOT(ISNA(VLOOKUP(S96,M6:Q105,5,FALSE))),T96="",U96&lt;&gt;""),ROUND((VLOOKUP(S96,M6:Q105,5,FALSE)-W96)/1000,3),IF(AND(NOT(ISNA(VLOOKUP(S96,S6:W95,5,FALSE))),T96="",U96&lt;&gt;""),ROUND((VLOOKUP(S96,S6:W95,5,FALSE)-W96)/1000,3),""))))</f>
        <v/>
      </c>
      <c r="Y96" s="64">
        <f>IF(Y95="","",Y95+1)</f>
        <v>490</v>
      </c>
      <c r="Z96" s="38"/>
      <c r="AA96" s="38"/>
      <c r="AB96" s="17" t="str">
        <f>IF(AND(Z96&lt;&gt;"",AA96&lt;&gt;""),ROUND(Z96,3)+ROUND(AB95,3)-ROUND(AA96,3),IF(AND(EXACT(UPPER(Y96),"TBM"),Z96&lt;&gt;""),ROUND(Z96,3),IF(Z96="",AB95,IF(ISNA(VLOOKUP(Y96,A6:E105,5,FALSE)),IF(ISNA(VLOOKUP(Y96,G6:K105,5,FALSE)),IF(ISNA(VLOOKUP(Y96,M6:Q105,5,FALSE)),IF(ISNA(VLOOKUP(Y96,S6:W105,5,FALSE)),IF(ISNA(VLOOKUP(Y96,Y6:AC95,5,FALSE)),"",ROUND(VLOOKUP(Y96,Y6:AC95,5,FALSE),0)/1000+ROUND(Z96,3)),ROUND(VLOOKUP(Y96,S6:W105,5,FALSE),0)/1000+ROUND(Z96,3)),ROUND(VLOOKUP(Y96,M6:Q105,5,FALSE),0)/1000+ROUND(Z96,3)),ROUND(VLOOKUP(Y96,G6:K105,5,FALSE),0)/1000+ROUND(Z96,3)),ROUND(VLOOKUP(Y96,A6:E105,5,FALSE),0)/1000+ROUND(Z96,3)))))</f>
        <v/>
      </c>
      <c r="AC96" s="18" t="str">
        <f>IF(OR(NOT(EXACT(UPPER(Y96),"TBM")),Z96=""),IF(AND(Z96&lt;&gt;"",AA96="",AB96&lt;&gt;""),"",IF(AND(Z96="",AA96&lt;&gt;"",AB96&lt;&gt;""),ROUND(ROUND(AB96,3)-ROUND(AA96,3),3)*1000,IF(AND(Z96&lt;&gt;"",AA96&lt;&gt;"",AB96&lt;&gt;""),ROUND(ROUND(AB95,3)-ROUND(AA96,3),3)*1000,""))),"")</f>
        <v/>
      </c>
      <c r="AD96" s="66" t="str">
        <f>IF(AND(NOT(ISNA(VLOOKUP(Y96,A6:E105,5,FALSE))),Z96="",AA96&lt;&gt;""),ROUND((VLOOKUP(Y96,A6:E105,5,FALSE)-AC96)/1000,3),IF(AND(NOT(ISNA(VLOOKUP(Y96,G6:K105,5,FALSE))),Z96="",AA96&lt;&gt;""),ROUND((VLOOKUP(Y96,G6:K105,5,FALSE)-AC96)/1000,3),IF(AND(NOT(ISNA(VLOOKUP(Y96,M6:Q105,5,FALSE))),Z96="",AA96&lt;&gt;""),ROUND((VLOOKUP(Y96,M6:Q105,5,FALSE)-AC96)/1000,3),IF(AND(NOT(ISNA(VLOOKUP(Y96,S6:W105,5,FALSE))),Z96="",AA96&lt;&gt;""),ROUND((VLOOKUP(Y96,S6:W105,5,FALSE)-AC96)/1000,3),IF(AND(NOT(ISNA(VLOOKUP(Y96,Y6:AC95,5,FALSE))),Z96="",AA96&lt;&gt;""),ROUND((VLOOKUP(Y96,Y6:AC95,5,FALSE)-AC96)/1000,3),"")))))</f>
        <v/>
      </c>
      <c r="AE96" s="64">
        <f>IF(AE95="","",AE95+1)</f>
        <v>590</v>
      </c>
      <c r="AF96" s="38"/>
      <c r="AG96" s="38"/>
      <c r="AH96" s="17" t="str">
        <f>IF(AND(AF96&lt;&gt;"",AG96&lt;&gt;""),ROUND(AF96,3)+ROUND(AH95,3)-ROUND(AG96,3),IF(AND(EXACT(UPPER(AE96),"TBM"),AF96&lt;&gt;""),ROUND(AF96,3),IF(AF96="",AH95,IF(ISNA(VLOOKUP(AE96,A6:E105,5,FALSE)),IF(ISNA(VLOOKUP(AE96,G6:K105,5,FALSE)),IF(ISNA(VLOOKUP(AE96,M6:Q105,5,FALSE)),IF(ISNA(VLOOKUP(AE96,S6:W105,5,FALSE)),IF(ISNA(VLOOKUP(AE96,Y6:AC105,5,FALSE)),IF(ISNA(VLOOKUP(AE96,AE6:AI95,5,FALSE)),"",ROUND(VLOOKUP(AE96,AE6:AI95,5,FALSE),0)/1000+ROUND(AF96,3)),ROUND(VLOOKUP(AE96,Y6:AC105,5,FALSE),0)/1000+ROUND(AF96,3)),ROUND(VLOOKUP(AE96,S6:W105,5,FALSE),0)/1000+ROUND(AF96,3)),ROUND(VLOOKUP(AE96,M6:Q105,5,FALSE),0)/1000+ROUND(AF96,3)),ROUND(VLOOKUP(AE96,G6:K105,5,FALSE),0)/1000+ROUND(AF96,3)),ROUND(VLOOKUP(AE96,A6:E105,5,FALSE),0)/1000+ROUND(AF96,3)))))</f>
        <v/>
      </c>
      <c r="AI96" s="18" t="str">
        <f>IF(OR(NOT(EXACT(UPPER(AE96),"TBM")),AF96=""),IF(AND(AF96&lt;&gt;"",AG96="",AH96&lt;&gt;""),"",IF(AND(AF96="",AG96&lt;&gt;"",AH96&lt;&gt;""),ROUND(ROUND(AH96,3)-ROUND(AG96,3),3)*1000,IF(AND(AF96&lt;&gt;"",AG96&lt;&gt;"",AH96&lt;&gt;""),ROUND(ROUND(AH95,3)-ROUND(AG96,3),3)*1000,""))),"")</f>
        <v/>
      </c>
      <c r="AJ96" s="66" t="str">
        <f>IF(AND(NOT(ISNA(VLOOKUP(AE96,A6:E105,5,FALSE))),AF96="",AG96&lt;&gt;""),ROUND((VLOOKUP(AE96,A6:E105,5,FALSE)-AI96)/1000,3),IF(AND(NOT(ISNA(VLOOKUP(AE96,G6:K105,5,FALSE))),AF96="",AG96&lt;&gt;""),ROUND((VLOOKUP(AE96,G6:K105,5,FALSE)-AI96)/1000,3),IF(AND(NOT(ISNA(VLOOKUP(AE96,M6:Q105,5,FALSE))),AF96="",AG96&lt;&gt;""),ROUND((VLOOKUP(AE96,M6:Q105,5,FALSE)-AI96)/1000,3),IF(AND(NOT(ISNA(VLOOKUP(AE96,S6:W105,5,FALSE))),AF96="",AG96&lt;&gt;""),ROUND((VLOOKUP(AE96,S6:W105,5,FALSE)-AI96)/1000,3),IF(AND(NOT(ISNA(VLOOKUP(AE96,Y6:AC105,5,FALSE))),AF96="",AG96&lt;&gt;""),ROUND((VLOOKUP(AE96,Y6:AC105,5,FALSE)-AI96)/1000,3),IF(AND(NOT(ISNA(VLOOKUP(AE96,AE6:AI95,5,FALSE))),AF96="",AG96&lt;&gt;""),ROUND((VLOOKUP(AE96,AE6:AI95,5,FALSE)-AI96)/1000,3),""))))))</f>
        <v/>
      </c>
      <c r="AK96" s="64">
        <f>IF(AK95="","",AK95+1)</f>
        <v>690</v>
      </c>
      <c r="AL96" s="38"/>
      <c r="AM96" s="38"/>
      <c r="AN96" s="17" t="str">
        <f>IF(AND(AL96&lt;&gt;"",AM96&lt;&gt;""),ROUND(AL96,3)+ROUND(AN95,3)-ROUND(AM96,3),IF(AND(EXACT(UPPER(AK96),"TBM"),AL96&lt;&gt;""),ROUND(AL96,3),IF(AL96="",AN95,IF(ISNA(VLOOKUP(AK96,A6:E105,5,FALSE)),IF(ISNA(VLOOKUP(AK96,G6:K105,5,FALSE)),IF(ISNA(VLOOKUP(AK96,M6:Q105,5,FALSE)),IF(ISNA(VLOOKUP(AK96,S6:W105,5,FALSE)),IF(ISNA(VLOOKUP(AK96,Y6:AC105,5,FALSE)),IF(ISNA(VLOOKUP(AK96,AE6:AI105,5,FALSE)),IF(ISNA(VLOOKUP(AK96,AK6:AO95,5,FALSE)),"",ROUND(VLOOKUP(AK96,AK6:AO95,5,FALSE),0)/1000+ROUND(AL96,3)),ROUND(VLOOKUP(AK96,AE6:AI105,5,FALSE),0)/1000+ROUND(AL96,3)),ROUND(VLOOKUP(AK96,Y6:AC105,5,FALSE),0)/1000+ROUND(AL96,3)),ROUND(VLOOKUP(AK96,S6:W105,5,FALSE),0)/1000+ROUND(AL96,3)),ROUND(VLOOKUP(AK96,M6:Q105,5,FALSE),0)/1000+ROUND(AL96,3)),ROUND(VLOOKUP(AK96,G6:K105,5,FALSE),0)/1000+ROUND(AL96,3)),ROUND(VLOOKUP(AK96,A6:E105,5,FALSE),0)/1000+ROUND(AL96,3)))))</f>
        <v/>
      </c>
      <c r="AO96" s="18" t="str">
        <f>IF(OR(NOT(EXACT(UPPER(AK96),"TBM")),AL96=""),IF(AND(AL96&lt;&gt;"",AM96="",AN96&lt;&gt;""),"",IF(AND(AL96="",AM96&lt;&gt;"",AN96&lt;&gt;""),ROUND(ROUND(AN96,3)-ROUND(AM96,3),3)*1000,IF(AND(AL96&lt;&gt;"",AM96&lt;&gt;"",AN96&lt;&gt;""),ROUND(ROUND(AN95,3)-ROUND(AM96,3),3)*1000,""))),"")</f>
        <v/>
      </c>
      <c r="AP96" s="66" t="str">
        <f>IF(AND(NOT(ISNA(VLOOKUP(AK96,A6:E105,5,FALSE))),AL96="",AM96&lt;&gt;""),ROUND((VLOOKUP(AK96,A6:E105,5,FALSE)-AO96)/1000,3),IF(AND(NOT(ISNA(VLOOKUP(AK96,G6:K105,5,FALSE))),AL96="",AM96&lt;&gt;""),ROUND((VLOOKUP(AK96,G6:K105,5,FALSE)-AO96)/1000,3),IF(AND(NOT(ISNA(VLOOKUP(AK96,M6:Q105,5,FALSE))),AL96="",AM96&lt;&gt;""),ROUND((VLOOKUP(AK96,M6:Q105,5,FALSE)-AO96)/1000,3),IF(AND(NOT(ISNA(VLOOKUP(AK96,S6:W105,5,FALSE))),AL96="",AM96&lt;&gt;""),ROUND((VLOOKUP(AK96,S6:W105,5,FALSE)-AO96)/1000,3),IF(AND(NOT(ISNA(VLOOKUP(AK96,Y6:AC105,5,FALSE))),AL96="",AM96&lt;&gt;""),ROUND((VLOOKUP(AK96,Y6:AC105,5,FALSE)-AO96)/1000,3),IF(AND(NOT(ISNA(VLOOKUP(AK96,AE6:AI105,5,FALSE))),AL96="",AM96&lt;&gt;""),ROUND((VLOOKUP(AK96,AE6:AI105,5,FALSE)-AO96)/1000,3),IF(AND(NOT(ISNA(VLOOKUP(AK96,AK6:AO95,5,FALSE))),AL96="",AM96&lt;&gt;""),ROUND((VLOOKUP(AK96,AK6:AO95,5,FALSE)-AO96)/1000,3),"")))))))</f>
        <v/>
      </c>
      <c r="AQ96" s="64">
        <f>IF(AQ95="","",AQ95+1)</f>
        <v>790</v>
      </c>
      <c r="AR96" s="38"/>
      <c r="AS96" s="38"/>
      <c r="AT96" s="17" t="str">
        <f>IF(AND(AR96&lt;&gt;"",AS96&lt;&gt;""),ROUND(AR96,3)+ROUND(AT95,3)-ROUND(AS96,3),IF(AND(EXACT(UPPER(AQ96),"TBM"),AR96&lt;&gt;""),ROUND(AR96,3),IF(AR96="",AT95,IF(ISNA(VLOOKUP(AQ96,A6:E105,5,FALSE)),IF(ISNA(VLOOKUP(AQ96,G6:K105,5,FALSE)),IF(ISNA(VLOOKUP(AQ96,M6:Q105,5,FALSE)),IF(ISNA(VLOOKUP(AQ96,S6:W105,5,FALSE)),IF(ISNA(VLOOKUP(AQ96,Y6:AC105,5,FALSE)),IF(ISNA(VLOOKUP(AQ96,AE6:AI105,5,FALSE)),IF(ISNA(VLOOKUP(AQ96,AK6:AO105,5,FALSE)),IF(ISNA(VLOOKUP(AQ96,AQ6:AU95,5,FALSE)),"",ROUND(VLOOKUP(AQ96,AQ6:AU95,5,FALSE),0)/1000+ROUND(AR96,3)),ROUND(VLOOKUP(AQ96,AK6:AO105,5,FALSE),0)/1000+ROUND(AR96,3)),ROUND(VLOOKUP(AQ96,AE6:AI105,5,FALSE),0)/1000+ROUND(AR96,3)),ROUND(VLOOKUP(AQ96,Y6:AC105,5,FALSE),0)/1000+ROUND(AR96,3)),ROUND(VLOOKUP(AQ96,S6:W105,5,FALSE),0)/1000+ROUND(AR96,3)),ROUND(VLOOKUP(AQ96,M6:Q105,5,FALSE),0)/1000+ROUND(AR96,3)),ROUND(VLOOKUP(AQ96,G6:K105,5,FALSE),0)/1000+ROUND(AR96,3)),ROUND(VLOOKUP(AQ96,A6:E105,5,FALSE),0)/1000+ROUND(AR96,3)))))</f>
        <v/>
      </c>
      <c r="AU96" s="18" t="str">
        <f>IF(OR(NOT(EXACT(UPPER(AQ96),"TBM")),AR96=""),IF(AND(AR96&lt;&gt;"",AS96="",AT96&lt;&gt;""),"",IF(AND(AR96="",AS96&lt;&gt;"",AT96&lt;&gt;""),ROUND(ROUND(AT96,3)-ROUND(AS96,3),3)*1000,IF(AND(AR96&lt;&gt;"",AS96&lt;&gt;"",AT96&lt;&gt;""),ROUND(ROUND(AT95,3)-ROUND(AS96,3),3)*1000,""))),"")</f>
        <v/>
      </c>
      <c r="AV96" s="66" t="str">
        <f>IF(AND(NOT(ISNA(VLOOKUP(AQ96,A6:E105,5,FALSE))),AR96="",AS96&lt;&gt;""),ROUND((VLOOKUP(AQ96,A6:E105,5,FALSE)-AU96)/1000,3),IF(AND(NOT(ISNA(VLOOKUP(AQ96,G6:K105,5,FALSE))),AR96="",AS96&lt;&gt;""),ROUND((VLOOKUP(AQ96,G6:K105,5,FALSE)-AU96)/1000,3),IF(AND(NOT(ISNA(VLOOKUP(AQ96,M6:Q105,5,FALSE))),AR96="",AS96&lt;&gt;""),ROUND((VLOOKUP(AQ96,M6:Q105,5,FALSE)-AU96)/1000,3),IF(AND(NOT(ISNA(VLOOKUP(AQ96,S6:W105,5,FALSE))),AR96="",AS96&lt;&gt;""),ROUND((VLOOKUP(AQ96,S6:W105,5,FALSE)-AU96)/1000,3),IF(AND(NOT(ISNA(VLOOKUP(AQ96,Y6:AC105,5,FALSE))),AR96="",AS96&lt;&gt;""),ROUND((VLOOKUP(AQ96,Y6:AC105,5,FALSE)-AU96)/1000,3),IF(AND(NOT(ISNA(VLOOKUP(AQ96,AE6:AI105,5,FALSE))),AR96="",AS96&lt;&gt;""),ROUND((VLOOKUP(AQ96,AE6:AI105,5,FALSE)-AU96)/1000,3),IF(AND(NOT(ISNA(VLOOKUP(AQ96,AK6:AO105,5,FALSE))),AR96="",AS96&lt;&gt;""),ROUND((VLOOKUP(AQ96,AK6:AO105,5,FALSE)-AU96)/1000,3),IF(AND(NOT(ISNA(VLOOKUP(AQ96,AQ6:AU95,5,FALSE))),AR96="",AS96&lt;&gt;""),ROUND((VLOOKUP(AQ96,AQ6:AU95,5,FALSE)-AU96)/1000,3),""))))))))</f>
        <v/>
      </c>
      <c r="AW96" s="64">
        <f>IF(AW95="","",AW95+1)</f>
        <v>890</v>
      </c>
      <c r="AX96" s="38"/>
      <c r="AY96" s="38"/>
      <c r="AZ96" s="17" t="str">
        <f>IF(AND(AX96&lt;&gt;"",AY96&lt;&gt;""),ROUND(AX96,3)+ROUND(AZ95,3)-ROUND(AY96,3),IF(AND(EXACT(UPPER(AW96),"TBM"),AX96&lt;&gt;""),ROUND(AX96,3),IF(AX96="",AZ95,IF(ISNA(VLOOKUP(AW96,A6:E105,5,FALSE)),IF(ISNA(VLOOKUP(AW96,G6:K105,5,FALSE)),IF(ISNA(VLOOKUP(AW96,M6:Q105,5,FALSE)),IF(ISNA(VLOOKUP(AW96,S6:W105,5,FALSE)),IF(ISNA(VLOOKUP(AW96,Y6:AC105,5,FALSE)),IF(ISNA(VLOOKUP(AW96,AE6:AI105,5,FALSE)),IF(ISNA(VLOOKUP(AW96,AK6:AO105,5,FALSE)),IF(ISNA(VLOOKUP(AW96,AQ6:AU105,5,FALSE)),IF(ISNA(VLOOKUP(AW96,AW6:BA95,5,FALSE)),"",ROUND(VLOOKUP(AW96,AW6:BA95,5,FALSE),0)/1000+ROUND(AX96,3)),ROUND(VLOOKUP(AW96,AQ6:AU105,5,FALSE),0)/1000+ROUND(AX96,3)),ROUND(VLOOKUP(AW96,AK6:AO105,5,FALSE),0)/1000+ROUND(AX96,3)),ROUND(VLOOKUP(AW96,AE6:AI105,5,FALSE),0)/1000+ROUND(AX96,3)),ROUND(VLOOKUP(AW96,Y6:AC105,5,FALSE),0)/1000+ROUND(AX96,3)),ROUND(VLOOKUP(AW96,S6:W105,5,FALSE),0)/1000+ROUND(AX96,3)),ROUND(VLOOKUP(AW96,M6:Q105,5,FALSE),0)/1000+ROUND(AX96,3)),ROUND(VLOOKUP(AW96,G6:K105,5,FALSE),0)/1000+ROUND(AX96,3)),ROUND(VLOOKUP(AW96,A6:E105,5,FALSE),0)/1000+ROUND(AX96,3)))))</f>
        <v/>
      </c>
      <c r="BA96" s="18" t="str">
        <f>IF(OR(NOT(EXACT(UPPER(AW96),"TBM")),AX96=""),IF(AND(AX96&lt;&gt;"",AY96="",AZ96&lt;&gt;""),"",IF(AND(AX96="",AY96&lt;&gt;"",AZ96&lt;&gt;""),ROUND(ROUND(AZ96,3)-ROUND(AY96,3),3)*1000,IF(AND(AX96&lt;&gt;"",AY96&lt;&gt;"",AZ96&lt;&gt;""),ROUND(ROUND(AZ95,3)-ROUND(AY96,3),3)*1000,""))),"")</f>
        <v/>
      </c>
      <c r="BB96" s="66" t="str">
        <f>IF(AND(NOT(ISNA(VLOOKUP(AW96,A6:E105,5,FALSE))),AX96="",AY96&lt;&gt;""),ROUND((VLOOKUP(AW96,A6:E105,5,FALSE)-BA96)/1000,3),IF(AND(NOT(ISNA(VLOOKUP(AW96,G6:K105,5,FALSE))),AX96="",AY96&lt;&gt;""),ROUND((VLOOKUP(AW96,G6:K105,5,FALSE)-BA96)/1000,3),IF(AND(NOT(ISNA(VLOOKUP(AW96,M6:Q105,5,FALSE))),AX96="",AY96&lt;&gt;""),ROUND((VLOOKUP(AW96,M6:Q105,5,FALSE)-BA96)/1000,3),IF(AND(NOT(ISNA(VLOOKUP(AW96,S6:W105,5,FALSE))),AX96="",AY96&lt;&gt;""),ROUND((VLOOKUP(AW96,S6:W105,5,FALSE)-BA96)/1000,3),IF(AND(NOT(ISNA(VLOOKUP(AW96,Y6:AC105,5,FALSE))),AX96="",AY96&lt;&gt;""),ROUND((VLOOKUP(AW96,Y6:AC105,5,FALSE)-BA96)/1000,3),IF(AND(NOT(ISNA(VLOOKUP(AW96,AE6:AI105,5,FALSE))),AX96="",AY96&lt;&gt;""),ROUND((VLOOKUP(AW96,AE6:AI105,5,FALSE)-BA96)/1000,3),IF(AND(NOT(ISNA(VLOOKUP(AW96,AK6:AO105,5,FALSE))),AX96="",AY96&lt;&gt;""),ROUND((VLOOKUP(AW96,AK6:AO105,5,FALSE)-BA96)/1000,3),IF(AND(NOT(ISNA(VLOOKUP(AW96,AQ6:AU105,5,FALSE))),AX96="",AY96&lt;&gt;""),ROUND((VLOOKUP(AW96,AQ6:AU105,5,FALSE)-BA96)/1000,3),IF(AND(NOT(ISNA(VLOOKUP(AW96,AW6:BA95,5,FALSE))),AX96="",AY96&lt;&gt;""),ROUND((VLOOKUP(AW96,AW6:BA95,5,FALSE)-BA96)/1000,3),"")))))))))</f>
        <v/>
      </c>
      <c r="BC96" s="64">
        <f>IF(BC95="","",BC95+1)</f>
        <v>990</v>
      </c>
      <c r="BD96" s="38"/>
      <c r="BE96" s="38"/>
      <c r="BF96" s="17" t="str">
        <f>IF(AND(BD96&lt;&gt;"",BE96&lt;&gt;""),ROUND(BD96,3)+ROUND(BF95,3)-ROUND(BE96,3),IF(AND(EXACT(UPPER(BC96),"TBM"),BD96&lt;&gt;""),ROUND(BD96,3),IF(BD96="",BF95,IF(ISNA(VLOOKUP(BC96,A6:E105,5,FALSE)),IF(ISNA(VLOOKUP(BC96,G6:K105,5,FALSE)),IF(ISNA(VLOOKUP(BC96,M6:Q105,5,FALSE)),IF(ISNA(VLOOKUP(BC96,S6:W105,5,FALSE)),IF(ISNA(VLOOKUP(BC96,Y6:AC105,5,FALSE)),IF(ISNA(VLOOKUP(BC96,AE6:AI105,5,FALSE)),IF(ISNA(VLOOKUP(BC96,AK6:AO105,5,FALSE)),IF(ISNA(VLOOKUP(BC96,AQ6:AU105,5,FALSE)),IF(ISNA(VLOOKUP(BC96,AW6:BA105,5,FALSE)),IF(ISNA(VLOOKUP(BC96,BC6:BG95,5,FALSE)),"",ROUND(VLOOKUP(BC96,BC6:BG95,5,FALSE),0)/1000+ROUND(BD96,3)),ROUND(VLOOKUP(BC96,AW6:BA105,5,FALSE),0)/1000+ROUND(BD96,3)),ROUND(VLOOKUP(BC96,AQ6:AU105,5,FALSE),0)/1000+ROUND(BD96,3)),ROUND(VLOOKUP(BC96,AK6:AO105,5,FALSE),0)/1000+ROUND(BD96,3)),ROUND(VLOOKUP(BC96,AE6:AI105,5,FALSE),0)/1000+ROUND(BD96,3)),ROUND(VLOOKUP(BC96,Y6:AC105,5,FALSE),0)/1000+ROUND(BD96,3)),ROUND(VLOOKUP(BC96,S6:W105,5,FALSE),0)/1000+ROUND(BD96,3)),ROUND(VLOOKUP(BC96,M6:Q105,5,FALSE),0)/1000+ROUND(BD96,3)),ROUND(VLOOKUP(BC96,G6:K105,5,FALSE),0)/1000+ROUND(BD96,3)),ROUND(VLOOKUP(BC96,A6:E105,5,FALSE),0)/1000+ROUND(BD96,3)))))</f>
        <v/>
      </c>
      <c r="BG96" s="18" t="str">
        <f>IF(OR(NOT(EXACT(UPPER(BC96),"TBM")),BD96=""),IF(AND(BD96&lt;&gt;"",BE96="",BF96&lt;&gt;""),"",IF(AND(BD96="",BE96&lt;&gt;"",BF96&lt;&gt;""),ROUND(ROUND(BF96,3)-ROUND(BE96,3),3)*1000,IF(AND(BD96&lt;&gt;"",BE96&lt;&gt;"",BF96&lt;&gt;""),ROUND(ROUND(BF95,3)-ROUND(BE96,3),3)*1000,""))),"")</f>
        <v/>
      </c>
      <c r="BH96" s="66" t="str">
        <f>IF(AND(NOT(ISNA(VLOOKUP(BC96,A6:E105,5,FALSE))),BD96="",BE96&lt;&gt;""),ROUND((VLOOKUP(BC96,A6:E105,5,FALSE)-BG96)/1000,3),IF(AND(NOT(ISNA(VLOOKUP(BC96,G6:K105,5,FALSE))),BD96="",BE96&lt;&gt;""),ROUND((VLOOKUP(BC96,G6:K105,5,FALSE)-BG96)/1000,3),IF(AND(NOT(ISNA(VLOOKUP(BC96,M6:Q105,5,FALSE))),BD96="",BE96&lt;&gt;""),ROUND((VLOOKUP(BC96,M6:Q105,5,FALSE)-BG96)/1000,3),IF(AND(NOT(ISNA(VLOOKUP(BC96,S6:W105,5,FALSE))),BD96="",BE96&lt;&gt;""),ROUND((VLOOKUP(BC96,S6:W105,5,FALSE)-BG96)/1000,3),IF(AND(NOT(ISNA(VLOOKUP(BC96,Y6:AC105,5,FALSE))),BD96="",BE96&lt;&gt;""),ROUND((VLOOKUP(BC96,Y6:AC105,5,FALSE)-BG96)/1000,3),IF(AND(NOT(ISNA(VLOOKUP(BC96,AE6:AI105,5,FALSE))),BD96="",BE96&lt;&gt;""),ROUND((VLOOKUP(BC96,AE6:AI105,5,FALSE)-BG96)/1000,3),IF(AND(NOT(ISNA(VLOOKUP(BC96,AK6:AO105,5,FALSE))),BD96="",BE96&lt;&gt;""),ROUND((VLOOKUP(BC96,AK6:AO105,5,FALSE)-BG96)/1000,3),IF(AND(NOT(ISNA(VLOOKUP(BC96,AQ6:AU105,5,FALSE))),BD96="",BE96&lt;&gt;""),ROUND((VLOOKUP(BC96,AQ6:AU105,5,FALSE)-BG96)/1000,3),IF(AND(NOT(ISNA(VLOOKUP(BC96,AW6:BA105,5,FALSE))),BD96="",BE96&lt;&gt;""),ROUND((VLOOKUP(BC96,AW6:BA105,5,FALSE)-BG96)/1000,3),IF(AND(NOT(ISNA(VLOOKUP(BC96,BC6:BG95,5,FALSE))),BD96="",BE96&lt;&gt;""),ROUND((VLOOKUP(BC96,BC6:BG95,5,FALSE)-BG96)/1000,3),""))))))))))</f>
        <v/>
      </c>
    </row>
    <row r="97" spans="1:60" x14ac:dyDescent="0.25">
      <c r="A97" s="19">
        <f t="shared" si="9"/>
        <v>91</v>
      </c>
      <c r="B97" s="39"/>
      <c r="C97" s="39"/>
      <c r="D97" s="15" t="str">
        <f>IF(AND(B97&lt;&gt;"",C97&lt;&gt;""),ROUND(B97,3)+ROUND(D96,3)-ROUND(C97,3),IF(AND(EXACT(UPPER(A97),"TBM"),B97&lt;&gt;""),ROUND(B97,3),IF(B97="",D96,IF(ISNA(VLOOKUP(A97,A6:E96,5,FALSE)),"",ROUND(VLOOKUP(A97,A6:E96,5,FALSE),0)/1000+ROUND(B97,3)))))</f>
        <v/>
      </c>
      <c r="E97" s="21" t="str">
        <f t="shared" si="6"/>
        <v/>
      </c>
      <c r="F97" s="45" t="str">
        <f>IF(AND(NOT(ISNA(VLOOKUP(A97,A6:E96,5,FALSE))),B97="",C97&lt;&gt;""),ROUND((VLOOKUP(A97,A6:E96,5,FALSE)-E97)/1000,3),"")</f>
        <v/>
      </c>
      <c r="G97" s="19">
        <f t="shared" si="7"/>
        <v>191</v>
      </c>
      <c r="H97" s="39"/>
      <c r="I97" s="39"/>
      <c r="J97" s="15" t="str">
        <f>IF(AND(H97&lt;&gt;"",I97&lt;&gt;""),ROUND(H97,3)+ROUND(J96,3)-ROUND(I97,3),IF(AND(EXACT(UPPER(G97),"TBM"),H97&lt;&gt;""),ROUND(H97,3),IF(H97="",J96,IF(ISNA(VLOOKUP(G97,A6:E105,5,FALSE)),IF(ISNA(VLOOKUP(G97,G6:K96,5,FALSE)),"",ROUND(VLOOKUP(G97,G6:K96,5,FALSE),0)/1000+ROUND(H97,3)),ROUND(VLOOKUP(G97,A6:E105,5,FALSE),0)/1000+ROUND(H97,3)))))</f>
        <v/>
      </c>
      <c r="K97" s="18" t="str">
        <f t="shared" si="8"/>
        <v/>
      </c>
      <c r="L97" s="45" t="str">
        <f>IF(AND(NOT(ISNA(VLOOKUP(G97,A6:E105,5,FALSE))),H97="",I97&lt;&gt;""),ROUND((VLOOKUP(G97,A6:E105,5,FALSE)-K97)/1000,3),IF(AND(NOT(ISNA(VLOOKUP(G97,G6:K96,5,FALSE))),H97="",I97&lt;&gt;""),ROUND((VLOOKUP(G97,G6:K96,5,FALSE)-K97)/1000,3),""))</f>
        <v/>
      </c>
      <c r="M97" s="19">
        <f>IF(M96="","",M96+1)</f>
        <v>291</v>
      </c>
      <c r="N97" s="39"/>
      <c r="O97" s="39"/>
      <c r="P97" s="15" t="str">
        <f>IF(AND(N97&lt;&gt;"",O97&lt;&gt;""),ROUND(N97,3)+ROUND(P96,3)-ROUND(O97,3),IF(AND(EXACT(UPPER(M97),"TBM"),N97&lt;&gt;""),ROUND(N97,3),IF(N97="",P96,IF(ISNA(VLOOKUP(M97,A6:E105,5,FALSE)),IF(ISNA(VLOOKUP(M97,G6:K105,5,FALSE)),IF(ISNA(VLOOKUP(M97,M6:Q96,5,FALSE)),"",ROUND(VLOOKUP(M97,M6:Q96,5,FALSE),0)/1000+ROUND(N97,3)),ROUND(VLOOKUP(M97,G6:K105,5,FALSE),0)/1000+ROUND(N97,3)),ROUND(VLOOKUP(M97,A6:E105,5,FALSE),0)/1000+ROUND(N97,3)))))</f>
        <v/>
      </c>
      <c r="Q97" s="18" t="str">
        <f>IF(OR(NOT(EXACT(UPPER(M97),"TBM")),N97=""),IF(AND(N97&lt;&gt;"",O97="",P97&lt;&gt;""),"",IF(AND(N97="",O97&lt;&gt;"",P97&lt;&gt;""),ROUND(ROUND(P97,3)-ROUND(O97,3),3)*1000,IF(AND(N97&lt;&gt;"",O97&lt;&gt;"",P97&lt;&gt;""),ROUND(ROUND(P96,3)-ROUND(O97,3),3)*1000,""))),"")</f>
        <v/>
      </c>
      <c r="R97" s="45" t="str">
        <f>IF(AND(NOT(ISNA(VLOOKUP(M97,A6:E105,5,FALSE))),N97="",O97&lt;&gt;""),ROUND((VLOOKUP(M97,A6:E105,5,FALSE)-Q97)/1000,3),IF(AND(NOT(ISNA(VLOOKUP(M97,G6:K105,5,FALSE))),N97="",O97&lt;&gt;""),ROUND((VLOOKUP(M97,G6:K105,5,FALSE)-Q97)/1000,3),IF(AND(NOT(ISNA(VLOOKUP(M97,M6:Q96,5,FALSE))),N97="",O97&lt;&gt;""),ROUND((VLOOKUP(M97,M6:Q96,5,FALSE)-Q97)/1000,3),"")))</f>
        <v/>
      </c>
      <c r="S97" s="19">
        <f>IF(S96="","",S96+1)</f>
        <v>391</v>
      </c>
      <c r="T97" s="39"/>
      <c r="U97" s="39"/>
      <c r="V97" s="15" t="str">
        <f>IF(AND(T97&lt;&gt;"",U97&lt;&gt;""),ROUND(T97,3)+ROUND(V96,3)-ROUND(U97,3),IF(AND(EXACT(UPPER(S97),"TBM"),T97&lt;&gt;""),ROUND(T97,3),IF(T97="",V96,IF(ISNA(VLOOKUP(S97,A6:E105,5,FALSE)),IF(ISNA(VLOOKUP(S97,G6:K105,5,FALSE)),IF(ISNA(VLOOKUP(S97,M6:Q105,5,FALSE)),IF(ISNA(VLOOKUP(S97,S6:W96,5,FALSE)),"",ROUND(VLOOKUP(S97,S6:W96,5,FALSE),0)/1000+ROUND(T97,3)),ROUND(VLOOKUP(S97,M6:Q105,5,FALSE),0)/1000+ROUND(T97,3)),ROUND(VLOOKUP(S97,G6:K105,5,FALSE),0)/1000+ROUND(T97,3)),ROUND(VLOOKUP(S97,A6:E105,5,FALSE),0)/1000+ROUND(T97,3)))))</f>
        <v/>
      </c>
      <c r="W97" s="18" t="str">
        <f>IF(OR(NOT(EXACT(UPPER(S97),"TBM")),T97=""),IF(AND(T97&lt;&gt;"",U97="",V97&lt;&gt;""),"",IF(AND(T97="",U97&lt;&gt;"",V97&lt;&gt;""),ROUND(ROUND(V97,3)-ROUND(U97,3),3)*1000,IF(AND(T97&lt;&gt;"",U97&lt;&gt;"",V97&lt;&gt;""),ROUND(ROUND(V96,3)-ROUND(U97,3),3)*1000,""))),"")</f>
        <v/>
      </c>
      <c r="X97" s="45" t="str">
        <f>IF(AND(NOT(ISNA(VLOOKUP(S97,A6:E105,5,FALSE))),T97="",U97&lt;&gt;""),ROUND((VLOOKUP(S97,A6:E105,5,FALSE)-W97)/1000,3),IF(AND(NOT(ISNA(VLOOKUP(S97,G6:K105,5,FALSE))),T97="",U97&lt;&gt;""),ROUND((VLOOKUP(S97,G6:K105,5,FALSE)-W97)/1000,3),IF(AND(NOT(ISNA(VLOOKUP(S97,M6:Q105,5,FALSE))),T97="",U97&lt;&gt;""),ROUND((VLOOKUP(S97,M6:Q105,5,FALSE)-W97)/1000,3),IF(AND(NOT(ISNA(VLOOKUP(S97,S6:W96,5,FALSE))),T97="",U97&lt;&gt;""),ROUND((VLOOKUP(S97,S6:W96,5,FALSE)-W97)/1000,3),""))))</f>
        <v/>
      </c>
      <c r="Y97" s="19">
        <f>IF(Y96="","",Y96+1)</f>
        <v>491</v>
      </c>
      <c r="Z97" s="39"/>
      <c r="AA97" s="39"/>
      <c r="AB97" s="15" t="str">
        <f>IF(AND(Z97&lt;&gt;"",AA97&lt;&gt;""),ROUND(Z97,3)+ROUND(AB96,3)-ROUND(AA97,3),IF(AND(EXACT(UPPER(Y97),"TBM"),Z97&lt;&gt;""),ROUND(Z97,3),IF(Z97="",AB96,IF(ISNA(VLOOKUP(Y97,A6:E105,5,FALSE)),IF(ISNA(VLOOKUP(Y97,G6:K105,5,FALSE)),IF(ISNA(VLOOKUP(Y97,M6:Q105,5,FALSE)),IF(ISNA(VLOOKUP(Y97,S6:W105,5,FALSE)),IF(ISNA(VLOOKUP(Y97,Y6:AC96,5,FALSE)),"",ROUND(VLOOKUP(Y97,Y6:AC96,5,FALSE),0)/1000+ROUND(Z97,3)),ROUND(VLOOKUP(Y97,S6:W105,5,FALSE),0)/1000+ROUND(Z97,3)),ROUND(VLOOKUP(Y97,M6:Q105,5,FALSE),0)/1000+ROUND(Z97,3)),ROUND(VLOOKUP(Y97,G6:K105,5,FALSE),0)/1000+ROUND(Z97,3)),ROUND(VLOOKUP(Y97,A6:E105,5,FALSE),0)/1000+ROUND(Z97,3)))))</f>
        <v/>
      </c>
      <c r="AC97" s="18" t="str">
        <f>IF(OR(NOT(EXACT(UPPER(Y97),"TBM")),Z97=""),IF(AND(Z97&lt;&gt;"",AA97="",AB97&lt;&gt;""),"",IF(AND(Z97="",AA97&lt;&gt;"",AB97&lt;&gt;""),ROUND(ROUND(AB97,3)-ROUND(AA97,3),3)*1000,IF(AND(Z97&lt;&gt;"",AA97&lt;&gt;"",AB97&lt;&gt;""),ROUND(ROUND(AB96,3)-ROUND(AA97,3),3)*1000,""))),"")</f>
        <v/>
      </c>
      <c r="AD97" s="45" t="str">
        <f>IF(AND(NOT(ISNA(VLOOKUP(Y97,A6:E105,5,FALSE))),Z97="",AA97&lt;&gt;""),ROUND((VLOOKUP(Y97,A6:E105,5,FALSE)-AC97)/1000,3),IF(AND(NOT(ISNA(VLOOKUP(Y97,G6:K105,5,FALSE))),Z97="",AA97&lt;&gt;""),ROUND((VLOOKUP(Y97,G6:K105,5,FALSE)-AC97)/1000,3),IF(AND(NOT(ISNA(VLOOKUP(Y97,M6:Q105,5,FALSE))),Z97="",AA97&lt;&gt;""),ROUND((VLOOKUP(Y97,M6:Q105,5,FALSE)-AC97)/1000,3),IF(AND(NOT(ISNA(VLOOKUP(Y97,S6:W105,5,FALSE))),Z97="",AA97&lt;&gt;""),ROUND((VLOOKUP(Y97,S6:W105,5,FALSE)-AC97)/1000,3),IF(AND(NOT(ISNA(VLOOKUP(Y97,Y6:AC96,5,FALSE))),Z97="",AA97&lt;&gt;""),ROUND((VLOOKUP(Y97,Y6:AC96,5,FALSE)-AC97)/1000,3),"")))))</f>
        <v/>
      </c>
      <c r="AE97" s="19">
        <f>IF(AE96="","",AE96+1)</f>
        <v>591</v>
      </c>
      <c r="AF97" s="39"/>
      <c r="AG97" s="39"/>
      <c r="AH97" s="15" t="str">
        <f>IF(AND(AF97&lt;&gt;"",AG97&lt;&gt;""),ROUND(AF97,3)+ROUND(AH96,3)-ROUND(AG97,3),IF(AND(EXACT(UPPER(AE97),"TBM"),AF97&lt;&gt;""),ROUND(AF97,3),IF(AF97="",AH96,IF(ISNA(VLOOKUP(AE97,A6:E105,5,FALSE)),IF(ISNA(VLOOKUP(AE97,G6:K105,5,FALSE)),IF(ISNA(VLOOKUP(AE97,M6:Q105,5,FALSE)),IF(ISNA(VLOOKUP(AE97,S6:W105,5,FALSE)),IF(ISNA(VLOOKUP(AE97,Y6:AC105,5,FALSE)),IF(ISNA(VLOOKUP(AE97,AE6:AI96,5,FALSE)),"",ROUND(VLOOKUP(AE97,AE6:AI96,5,FALSE),0)/1000+ROUND(AF97,3)),ROUND(VLOOKUP(AE97,Y6:AC105,5,FALSE),0)/1000+ROUND(AF97,3)),ROUND(VLOOKUP(AE97,S6:W105,5,FALSE),0)/1000+ROUND(AF97,3)),ROUND(VLOOKUP(AE97,M6:Q105,5,FALSE),0)/1000+ROUND(AF97,3)),ROUND(VLOOKUP(AE97,G6:K105,5,FALSE),0)/1000+ROUND(AF97,3)),ROUND(VLOOKUP(AE97,A6:E105,5,FALSE),0)/1000+ROUND(AF97,3)))))</f>
        <v/>
      </c>
      <c r="AI97" s="18" t="str">
        <f>IF(OR(NOT(EXACT(UPPER(AE97),"TBM")),AF97=""),IF(AND(AF97&lt;&gt;"",AG97="",AH97&lt;&gt;""),"",IF(AND(AF97="",AG97&lt;&gt;"",AH97&lt;&gt;""),ROUND(ROUND(AH97,3)-ROUND(AG97,3),3)*1000,IF(AND(AF97&lt;&gt;"",AG97&lt;&gt;"",AH97&lt;&gt;""),ROUND(ROUND(AH96,3)-ROUND(AG97,3),3)*1000,""))),"")</f>
        <v/>
      </c>
      <c r="AJ97" s="45" t="str">
        <f>IF(AND(NOT(ISNA(VLOOKUP(AE97,A6:E105,5,FALSE))),AF97="",AG97&lt;&gt;""),ROUND((VLOOKUP(AE97,A6:E105,5,FALSE)-AI97)/1000,3),IF(AND(NOT(ISNA(VLOOKUP(AE97,G6:K105,5,FALSE))),AF97="",AG97&lt;&gt;""),ROUND((VLOOKUP(AE97,G6:K105,5,FALSE)-AI97)/1000,3),IF(AND(NOT(ISNA(VLOOKUP(AE97,M6:Q105,5,FALSE))),AF97="",AG97&lt;&gt;""),ROUND((VLOOKUP(AE97,M6:Q105,5,FALSE)-AI97)/1000,3),IF(AND(NOT(ISNA(VLOOKUP(AE97,S6:W105,5,FALSE))),AF97="",AG97&lt;&gt;""),ROUND((VLOOKUP(AE97,S6:W105,5,FALSE)-AI97)/1000,3),IF(AND(NOT(ISNA(VLOOKUP(AE97,Y6:AC105,5,FALSE))),AF97="",AG97&lt;&gt;""),ROUND((VLOOKUP(AE97,Y6:AC105,5,FALSE)-AI97)/1000,3),IF(AND(NOT(ISNA(VLOOKUP(AE97,AE6:AI96,5,FALSE))),AF97="",AG97&lt;&gt;""),ROUND((VLOOKUP(AE97,AE6:AI96,5,FALSE)-AI97)/1000,3),""))))))</f>
        <v/>
      </c>
      <c r="AK97" s="19">
        <f>IF(AK96="","",AK96+1)</f>
        <v>691</v>
      </c>
      <c r="AL97" s="39"/>
      <c r="AM97" s="39"/>
      <c r="AN97" s="15" t="str">
        <f>IF(AND(AL97&lt;&gt;"",AM97&lt;&gt;""),ROUND(AL97,3)+ROUND(AN96,3)-ROUND(AM97,3),IF(AND(EXACT(UPPER(AK97),"TBM"),AL97&lt;&gt;""),ROUND(AL97,3),IF(AL97="",AN96,IF(ISNA(VLOOKUP(AK97,A6:E105,5,FALSE)),IF(ISNA(VLOOKUP(AK97,G6:K105,5,FALSE)),IF(ISNA(VLOOKUP(AK97,M6:Q105,5,FALSE)),IF(ISNA(VLOOKUP(AK97,S6:W105,5,FALSE)),IF(ISNA(VLOOKUP(AK97,Y6:AC105,5,FALSE)),IF(ISNA(VLOOKUP(AK97,AE6:AI105,5,FALSE)),IF(ISNA(VLOOKUP(AK97,AK6:AO96,5,FALSE)),"",ROUND(VLOOKUP(AK97,AK6:AO96,5,FALSE),0)/1000+ROUND(AL97,3)),ROUND(VLOOKUP(AK97,AE6:AI105,5,FALSE),0)/1000+ROUND(AL97,3)),ROUND(VLOOKUP(AK97,Y6:AC105,5,FALSE),0)/1000+ROUND(AL97,3)),ROUND(VLOOKUP(AK97,S6:W105,5,FALSE),0)/1000+ROUND(AL97,3)),ROUND(VLOOKUP(AK97,M6:Q105,5,FALSE),0)/1000+ROUND(AL97,3)),ROUND(VLOOKUP(AK97,G6:K105,5,FALSE),0)/1000+ROUND(AL97,3)),ROUND(VLOOKUP(AK97,A6:E105,5,FALSE),0)/1000+ROUND(AL97,3)))))</f>
        <v/>
      </c>
      <c r="AO97" s="18" t="str">
        <f>IF(OR(NOT(EXACT(UPPER(AK97),"TBM")),AL97=""),IF(AND(AL97&lt;&gt;"",AM97="",AN97&lt;&gt;""),"",IF(AND(AL97="",AM97&lt;&gt;"",AN97&lt;&gt;""),ROUND(ROUND(AN97,3)-ROUND(AM97,3),3)*1000,IF(AND(AL97&lt;&gt;"",AM97&lt;&gt;"",AN97&lt;&gt;""),ROUND(ROUND(AN96,3)-ROUND(AM97,3),3)*1000,""))),"")</f>
        <v/>
      </c>
      <c r="AP97" s="45" t="str">
        <f>IF(AND(NOT(ISNA(VLOOKUP(AK97,A6:E105,5,FALSE))),AL97="",AM97&lt;&gt;""),ROUND((VLOOKUP(AK97,A6:E105,5,FALSE)-AO97)/1000,3),IF(AND(NOT(ISNA(VLOOKUP(AK97,G6:K105,5,FALSE))),AL97="",AM97&lt;&gt;""),ROUND((VLOOKUP(AK97,G6:K105,5,FALSE)-AO97)/1000,3),IF(AND(NOT(ISNA(VLOOKUP(AK97,M6:Q105,5,FALSE))),AL97="",AM97&lt;&gt;""),ROUND((VLOOKUP(AK97,M6:Q105,5,FALSE)-AO97)/1000,3),IF(AND(NOT(ISNA(VLOOKUP(AK97,S6:W105,5,FALSE))),AL97="",AM97&lt;&gt;""),ROUND((VLOOKUP(AK97,S6:W105,5,FALSE)-AO97)/1000,3),IF(AND(NOT(ISNA(VLOOKUP(AK97,Y6:AC105,5,FALSE))),AL97="",AM97&lt;&gt;""),ROUND((VLOOKUP(AK97,Y6:AC105,5,FALSE)-AO97)/1000,3),IF(AND(NOT(ISNA(VLOOKUP(AK97,AE6:AI105,5,FALSE))),AL97="",AM97&lt;&gt;""),ROUND((VLOOKUP(AK97,AE6:AI105,5,FALSE)-AO97)/1000,3),IF(AND(NOT(ISNA(VLOOKUP(AK97,AK6:AO96,5,FALSE))),AL97="",AM97&lt;&gt;""),ROUND((VLOOKUP(AK97,AK6:AO96,5,FALSE)-AO97)/1000,3),"")))))))</f>
        <v/>
      </c>
      <c r="AQ97" s="19">
        <f>IF(AQ96="","",AQ96+1)</f>
        <v>791</v>
      </c>
      <c r="AR97" s="39"/>
      <c r="AS97" s="39"/>
      <c r="AT97" s="15" t="str">
        <f>IF(AND(AR97&lt;&gt;"",AS97&lt;&gt;""),ROUND(AR97,3)+ROUND(AT96,3)-ROUND(AS97,3),IF(AND(EXACT(UPPER(AQ97),"TBM"),AR97&lt;&gt;""),ROUND(AR97,3),IF(AR97="",AT96,IF(ISNA(VLOOKUP(AQ97,A6:E105,5,FALSE)),IF(ISNA(VLOOKUP(AQ97,G6:K105,5,FALSE)),IF(ISNA(VLOOKUP(AQ97,M6:Q105,5,FALSE)),IF(ISNA(VLOOKUP(AQ97,S6:W105,5,FALSE)),IF(ISNA(VLOOKUP(AQ97,Y6:AC105,5,FALSE)),IF(ISNA(VLOOKUP(AQ97,AE6:AI105,5,FALSE)),IF(ISNA(VLOOKUP(AQ97,AK6:AO105,5,FALSE)),IF(ISNA(VLOOKUP(AQ97,AQ6:AU96,5,FALSE)),"",ROUND(VLOOKUP(AQ97,AQ6:AU96,5,FALSE),0)/1000+ROUND(AR97,3)),ROUND(VLOOKUP(AQ97,AK6:AO105,5,FALSE),0)/1000+ROUND(AR97,3)),ROUND(VLOOKUP(AQ97,AE6:AI105,5,FALSE),0)/1000+ROUND(AR97,3)),ROUND(VLOOKUP(AQ97,Y6:AC105,5,FALSE),0)/1000+ROUND(AR97,3)),ROUND(VLOOKUP(AQ97,S6:W105,5,FALSE),0)/1000+ROUND(AR97,3)),ROUND(VLOOKUP(AQ97,M6:Q105,5,FALSE),0)/1000+ROUND(AR97,3)),ROUND(VLOOKUP(AQ97,G6:K105,5,FALSE),0)/1000+ROUND(AR97,3)),ROUND(VLOOKUP(AQ97,A6:E105,5,FALSE),0)/1000+ROUND(AR97,3)))))</f>
        <v/>
      </c>
      <c r="AU97" s="18" t="str">
        <f>IF(OR(NOT(EXACT(UPPER(AQ97),"TBM")),AR97=""),IF(AND(AR97&lt;&gt;"",AS97="",AT97&lt;&gt;""),"",IF(AND(AR97="",AS97&lt;&gt;"",AT97&lt;&gt;""),ROUND(ROUND(AT97,3)-ROUND(AS97,3),3)*1000,IF(AND(AR97&lt;&gt;"",AS97&lt;&gt;"",AT97&lt;&gt;""),ROUND(ROUND(AT96,3)-ROUND(AS97,3),3)*1000,""))),"")</f>
        <v/>
      </c>
      <c r="AV97" s="45" t="str">
        <f>IF(AND(NOT(ISNA(VLOOKUP(AQ97,A6:E105,5,FALSE))),AR97="",AS97&lt;&gt;""),ROUND((VLOOKUP(AQ97,A6:E105,5,FALSE)-AU97)/1000,3),IF(AND(NOT(ISNA(VLOOKUP(AQ97,G6:K105,5,FALSE))),AR97="",AS97&lt;&gt;""),ROUND((VLOOKUP(AQ97,G6:K105,5,FALSE)-AU97)/1000,3),IF(AND(NOT(ISNA(VLOOKUP(AQ97,M6:Q105,5,FALSE))),AR97="",AS97&lt;&gt;""),ROUND((VLOOKUP(AQ97,M6:Q105,5,FALSE)-AU97)/1000,3),IF(AND(NOT(ISNA(VLOOKUP(AQ97,S6:W105,5,FALSE))),AR97="",AS97&lt;&gt;""),ROUND((VLOOKUP(AQ97,S6:W105,5,FALSE)-AU97)/1000,3),IF(AND(NOT(ISNA(VLOOKUP(AQ97,Y6:AC105,5,FALSE))),AR97="",AS97&lt;&gt;""),ROUND((VLOOKUP(AQ97,Y6:AC105,5,FALSE)-AU97)/1000,3),IF(AND(NOT(ISNA(VLOOKUP(AQ97,AE6:AI105,5,FALSE))),AR97="",AS97&lt;&gt;""),ROUND((VLOOKUP(AQ97,AE6:AI105,5,FALSE)-AU97)/1000,3),IF(AND(NOT(ISNA(VLOOKUP(AQ97,AK6:AO105,5,FALSE))),AR97="",AS97&lt;&gt;""),ROUND((VLOOKUP(AQ97,AK6:AO105,5,FALSE)-AU97)/1000,3),IF(AND(NOT(ISNA(VLOOKUP(AQ97,AQ6:AU96,5,FALSE))),AR97="",AS97&lt;&gt;""),ROUND((VLOOKUP(AQ97,AQ6:AU96,5,FALSE)-AU97)/1000,3),""))))))))</f>
        <v/>
      </c>
      <c r="AW97" s="19">
        <f>IF(AW96="","",AW96+1)</f>
        <v>891</v>
      </c>
      <c r="AX97" s="39"/>
      <c r="AY97" s="39"/>
      <c r="AZ97" s="15" t="str">
        <f>IF(AND(AX97&lt;&gt;"",AY97&lt;&gt;""),ROUND(AX97,3)+ROUND(AZ96,3)-ROUND(AY97,3),IF(AND(EXACT(UPPER(AW97),"TBM"),AX97&lt;&gt;""),ROUND(AX97,3),IF(AX97="",AZ96,IF(ISNA(VLOOKUP(AW97,A6:E105,5,FALSE)),IF(ISNA(VLOOKUP(AW97,G6:K105,5,FALSE)),IF(ISNA(VLOOKUP(AW97,M6:Q105,5,FALSE)),IF(ISNA(VLOOKUP(AW97,S6:W105,5,FALSE)),IF(ISNA(VLOOKUP(AW97,Y6:AC105,5,FALSE)),IF(ISNA(VLOOKUP(AW97,AE6:AI105,5,FALSE)),IF(ISNA(VLOOKUP(AW97,AK6:AO105,5,FALSE)),IF(ISNA(VLOOKUP(AW97,AQ6:AU105,5,FALSE)),IF(ISNA(VLOOKUP(AW97,AW6:BA96,5,FALSE)),"",ROUND(VLOOKUP(AW97,AW6:BA96,5,FALSE),0)/1000+ROUND(AX97,3)),ROUND(VLOOKUP(AW97,AQ6:AU105,5,FALSE),0)/1000+ROUND(AX97,3)),ROUND(VLOOKUP(AW97,AK6:AO105,5,FALSE),0)/1000+ROUND(AX97,3)),ROUND(VLOOKUP(AW97,AE6:AI105,5,FALSE),0)/1000+ROUND(AX97,3)),ROUND(VLOOKUP(AW97,Y6:AC105,5,FALSE),0)/1000+ROUND(AX97,3)),ROUND(VLOOKUP(AW97,S6:W105,5,FALSE),0)/1000+ROUND(AX97,3)),ROUND(VLOOKUP(AW97,M6:Q105,5,FALSE),0)/1000+ROUND(AX97,3)),ROUND(VLOOKUP(AW97,G6:K105,5,FALSE),0)/1000+ROUND(AX97,3)),ROUND(VLOOKUP(AW97,A6:E105,5,FALSE),0)/1000+ROUND(AX97,3)))))</f>
        <v/>
      </c>
      <c r="BA97" s="18" t="str">
        <f>IF(OR(NOT(EXACT(UPPER(AW97),"TBM")),AX97=""),IF(AND(AX97&lt;&gt;"",AY97="",AZ97&lt;&gt;""),"",IF(AND(AX97="",AY97&lt;&gt;"",AZ97&lt;&gt;""),ROUND(ROUND(AZ97,3)-ROUND(AY97,3),3)*1000,IF(AND(AX97&lt;&gt;"",AY97&lt;&gt;"",AZ97&lt;&gt;""),ROUND(ROUND(AZ96,3)-ROUND(AY97,3),3)*1000,""))),"")</f>
        <v/>
      </c>
      <c r="BB97" s="45" t="str">
        <f>IF(AND(NOT(ISNA(VLOOKUP(AW97,A6:E105,5,FALSE))),AX97="",AY97&lt;&gt;""),ROUND((VLOOKUP(AW97,A6:E105,5,FALSE)-BA97)/1000,3),IF(AND(NOT(ISNA(VLOOKUP(AW97,G6:K105,5,FALSE))),AX97="",AY97&lt;&gt;""),ROUND((VLOOKUP(AW97,G6:K105,5,FALSE)-BA97)/1000,3),IF(AND(NOT(ISNA(VLOOKUP(AW97,M6:Q105,5,FALSE))),AX97="",AY97&lt;&gt;""),ROUND((VLOOKUP(AW97,M6:Q105,5,FALSE)-BA97)/1000,3),IF(AND(NOT(ISNA(VLOOKUP(AW97,S6:W105,5,FALSE))),AX97="",AY97&lt;&gt;""),ROUND((VLOOKUP(AW97,S6:W105,5,FALSE)-BA97)/1000,3),IF(AND(NOT(ISNA(VLOOKUP(AW97,Y6:AC105,5,FALSE))),AX97="",AY97&lt;&gt;""),ROUND((VLOOKUP(AW97,Y6:AC105,5,FALSE)-BA97)/1000,3),IF(AND(NOT(ISNA(VLOOKUP(AW97,AE6:AI105,5,FALSE))),AX97="",AY97&lt;&gt;""),ROUND((VLOOKUP(AW97,AE6:AI105,5,FALSE)-BA97)/1000,3),IF(AND(NOT(ISNA(VLOOKUP(AW97,AK6:AO105,5,FALSE))),AX97="",AY97&lt;&gt;""),ROUND((VLOOKUP(AW97,AK6:AO105,5,FALSE)-BA97)/1000,3),IF(AND(NOT(ISNA(VLOOKUP(AW97,AQ6:AU105,5,FALSE))),AX97="",AY97&lt;&gt;""),ROUND((VLOOKUP(AW97,AQ6:AU105,5,FALSE)-BA97)/1000,3),IF(AND(NOT(ISNA(VLOOKUP(AW97,AW6:BA96,5,FALSE))),AX97="",AY97&lt;&gt;""),ROUND((VLOOKUP(AW97,AW6:BA96,5,FALSE)-BA97)/1000,3),"")))))))))</f>
        <v/>
      </c>
      <c r="BC97" s="19">
        <f>IF(BC96="","",BC96+1)</f>
        <v>991</v>
      </c>
      <c r="BD97" s="39"/>
      <c r="BE97" s="39"/>
      <c r="BF97" s="15" t="str">
        <f>IF(AND(BD97&lt;&gt;"",BE97&lt;&gt;""),ROUND(BD97,3)+ROUND(BF96,3)-ROUND(BE97,3),IF(AND(EXACT(UPPER(BC97),"TBM"),BD97&lt;&gt;""),ROUND(BD97,3),IF(BD97="",BF96,IF(ISNA(VLOOKUP(BC97,A6:E105,5,FALSE)),IF(ISNA(VLOOKUP(BC97,G6:K105,5,FALSE)),IF(ISNA(VLOOKUP(BC97,M6:Q105,5,FALSE)),IF(ISNA(VLOOKUP(BC97,S6:W105,5,FALSE)),IF(ISNA(VLOOKUP(BC97,Y6:AC105,5,FALSE)),IF(ISNA(VLOOKUP(BC97,AE6:AI105,5,FALSE)),IF(ISNA(VLOOKUP(BC97,AK6:AO105,5,FALSE)),IF(ISNA(VLOOKUP(BC97,AQ6:AU105,5,FALSE)),IF(ISNA(VLOOKUP(BC97,AW6:BA105,5,FALSE)),IF(ISNA(VLOOKUP(BC97,BC6:BG96,5,FALSE)),"",ROUND(VLOOKUP(BC97,BC6:BG96,5,FALSE),0)/1000+ROUND(BD97,3)),ROUND(VLOOKUP(BC97,AW6:BA105,5,FALSE),0)/1000+ROUND(BD97,3)),ROUND(VLOOKUP(BC97,AQ6:AU105,5,FALSE),0)/1000+ROUND(BD97,3)),ROUND(VLOOKUP(BC97,AK6:AO105,5,FALSE),0)/1000+ROUND(BD97,3)),ROUND(VLOOKUP(BC97,AE6:AI105,5,FALSE),0)/1000+ROUND(BD97,3)),ROUND(VLOOKUP(BC97,Y6:AC105,5,FALSE),0)/1000+ROUND(BD97,3)),ROUND(VLOOKUP(BC97,S6:W105,5,FALSE),0)/1000+ROUND(BD97,3)),ROUND(VLOOKUP(BC97,M6:Q105,5,FALSE),0)/1000+ROUND(BD97,3)),ROUND(VLOOKUP(BC97,G6:K105,5,FALSE),0)/1000+ROUND(BD97,3)),ROUND(VLOOKUP(BC97,A6:E105,5,FALSE),0)/1000+ROUND(BD97,3)))))</f>
        <v/>
      </c>
      <c r="BG97" s="18" t="str">
        <f>IF(OR(NOT(EXACT(UPPER(BC97),"TBM")),BD97=""),IF(AND(BD97&lt;&gt;"",BE97="",BF97&lt;&gt;""),"",IF(AND(BD97="",BE97&lt;&gt;"",BF97&lt;&gt;""),ROUND(ROUND(BF97,3)-ROUND(BE97,3),3)*1000,IF(AND(BD97&lt;&gt;"",BE97&lt;&gt;"",BF97&lt;&gt;""),ROUND(ROUND(BF96,3)-ROUND(BE97,3),3)*1000,""))),"")</f>
        <v/>
      </c>
      <c r="BH97" s="45" t="str">
        <f>IF(AND(NOT(ISNA(VLOOKUP(BC97,A6:E105,5,FALSE))),BD97="",BE97&lt;&gt;""),ROUND((VLOOKUP(BC97,A6:E105,5,FALSE)-BG97)/1000,3),IF(AND(NOT(ISNA(VLOOKUP(BC97,G6:K105,5,FALSE))),BD97="",BE97&lt;&gt;""),ROUND((VLOOKUP(BC97,G6:K105,5,FALSE)-BG97)/1000,3),IF(AND(NOT(ISNA(VLOOKUP(BC97,M6:Q105,5,FALSE))),BD97="",BE97&lt;&gt;""),ROUND((VLOOKUP(BC97,M6:Q105,5,FALSE)-BG97)/1000,3),IF(AND(NOT(ISNA(VLOOKUP(BC97,S6:W105,5,FALSE))),BD97="",BE97&lt;&gt;""),ROUND((VLOOKUP(BC97,S6:W105,5,FALSE)-BG97)/1000,3),IF(AND(NOT(ISNA(VLOOKUP(BC97,Y6:AC105,5,FALSE))),BD97="",BE97&lt;&gt;""),ROUND((VLOOKUP(BC97,Y6:AC105,5,FALSE)-BG97)/1000,3),IF(AND(NOT(ISNA(VLOOKUP(BC97,AE6:AI105,5,FALSE))),BD97="",BE97&lt;&gt;""),ROUND((VLOOKUP(BC97,AE6:AI105,5,FALSE)-BG97)/1000,3),IF(AND(NOT(ISNA(VLOOKUP(BC97,AK6:AO105,5,FALSE))),BD97="",BE97&lt;&gt;""),ROUND((VLOOKUP(BC97,AK6:AO105,5,FALSE)-BG97)/1000,3),IF(AND(NOT(ISNA(VLOOKUP(BC97,AQ6:AU105,5,FALSE))),BD97="",BE97&lt;&gt;""),ROUND((VLOOKUP(BC97,AQ6:AU105,5,FALSE)-BG97)/1000,3),IF(AND(NOT(ISNA(VLOOKUP(BC97,AW6:BA105,5,FALSE))),BD97="",BE97&lt;&gt;""),ROUND((VLOOKUP(BC97,AW6:BA105,5,FALSE)-BG97)/1000,3),IF(AND(NOT(ISNA(VLOOKUP(BC97,BC6:BG96,5,FALSE))),BD97="",BE97&lt;&gt;""),ROUND((VLOOKUP(BC97,BC6:BG96,5,FALSE)-BG97)/1000,3),""))))))))))</f>
        <v/>
      </c>
    </row>
    <row r="98" spans="1:60" x14ac:dyDescent="0.25">
      <c r="A98" s="19">
        <f t="shared" si="9"/>
        <v>92</v>
      </c>
      <c r="B98" s="39"/>
      <c r="C98" s="39"/>
      <c r="D98" s="15" t="str">
        <f>IF(AND(B98&lt;&gt;"",C98&lt;&gt;""),ROUND(B98,3)+ROUND(D97,3)-ROUND(C98,3),IF(AND(EXACT(UPPER(A98),"TBM"),B98&lt;&gt;""),ROUND(B98,3),IF(B98="",D97,IF(ISNA(VLOOKUP(A98,A6:E97,5,FALSE)),"",ROUND(VLOOKUP(A98,A6:E97,5,FALSE),0)/1000+ROUND(B98,3)))))</f>
        <v/>
      </c>
      <c r="E98" s="21" t="str">
        <f t="shared" si="6"/>
        <v/>
      </c>
      <c r="F98" s="45" t="str">
        <f>IF(AND(NOT(ISNA(VLOOKUP(A98,A6:E97,5,FALSE))),B98="",C98&lt;&gt;""),ROUND((VLOOKUP(A98,A6:E97,5,FALSE)-E98)/1000,3),"")</f>
        <v/>
      </c>
      <c r="G98" s="19">
        <f t="shared" si="7"/>
        <v>192</v>
      </c>
      <c r="H98" s="39"/>
      <c r="I98" s="39"/>
      <c r="J98" s="15" t="str">
        <f>IF(AND(H98&lt;&gt;"",I98&lt;&gt;""),ROUND(H98,3)+ROUND(J97,3)-ROUND(I98,3),IF(AND(EXACT(UPPER(G98),"TBM"),H98&lt;&gt;""),ROUND(H98,3),IF(H98="",J97,IF(ISNA(VLOOKUP(G98,A6:E105,5,FALSE)),IF(ISNA(VLOOKUP(G98,G6:K97,5,FALSE)),"",ROUND(VLOOKUP(G98,G6:K97,5,FALSE),0)/1000+ROUND(H98,3)),ROUND(VLOOKUP(G98,A6:E105,5,FALSE),0)/1000+ROUND(H98,3)))))</f>
        <v/>
      </c>
      <c r="K98" s="18" t="str">
        <f t="shared" si="8"/>
        <v/>
      </c>
      <c r="L98" s="45" t="str">
        <f>IF(AND(NOT(ISNA(VLOOKUP(G98,A6:E105,5,FALSE))),H98="",I98&lt;&gt;""),ROUND((VLOOKUP(G98,A6:E105,5,FALSE)-K98)/1000,3),IF(AND(NOT(ISNA(VLOOKUP(G98,G6:K97,5,FALSE))),H98="",I98&lt;&gt;""),ROUND((VLOOKUP(G98,G6:K97,5,FALSE)-K98)/1000,3),""))</f>
        <v/>
      </c>
      <c r="M98" s="19">
        <f>IF(M97="","",M97+1)</f>
        <v>292</v>
      </c>
      <c r="N98" s="39"/>
      <c r="O98" s="39"/>
      <c r="P98" s="15" t="str">
        <f>IF(AND(N98&lt;&gt;"",O98&lt;&gt;""),ROUND(N98,3)+ROUND(P97,3)-ROUND(O98,3),IF(AND(EXACT(UPPER(M98),"TBM"),N98&lt;&gt;""),ROUND(N98,3),IF(N98="",P97,IF(ISNA(VLOOKUP(M98,A6:E105,5,FALSE)),IF(ISNA(VLOOKUP(M98,G6:K105,5,FALSE)),IF(ISNA(VLOOKUP(M98,M6:Q97,5,FALSE)),"",ROUND(VLOOKUP(M98,M6:Q97,5,FALSE),0)/1000+ROUND(N98,3)),ROUND(VLOOKUP(M98,G6:K105,5,FALSE),0)/1000+ROUND(N98,3)),ROUND(VLOOKUP(M98,A6:E105,5,FALSE),0)/1000+ROUND(N98,3)))))</f>
        <v/>
      </c>
      <c r="Q98" s="18" t="str">
        <f>IF(OR(NOT(EXACT(UPPER(M98),"TBM")),N98=""),IF(AND(N98&lt;&gt;"",O98="",P98&lt;&gt;""),"",IF(AND(N98="",O98&lt;&gt;"",P98&lt;&gt;""),ROUND(ROUND(P98,3)-ROUND(O98,3),3)*1000,IF(AND(N98&lt;&gt;"",O98&lt;&gt;"",P98&lt;&gt;""),ROUND(ROUND(P97,3)-ROUND(O98,3),3)*1000,""))),"")</f>
        <v/>
      </c>
      <c r="R98" s="45" t="str">
        <f>IF(AND(NOT(ISNA(VLOOKUP(M98,A6:E105,5,FALSE))),N98="",O98&lt;&gt;""),ROUND((VLOOKUP(M98,A6:E105,5,FALSE)-Q98)/1000,3),IF(AND(NOT(ISNA(VLOOKUP(M98,G6:K105,5,FALSE))),N98="",O98&lt;&gt;""),ROUND((VLOOKUP(M98,G6:K105,5,FALSE)-Q98)/1000,3),IF(AND(NOT(ISNA(VLOOKUP(M98,M6:Q97,5,FALSE))),N98="",O98&lt;&gt;""),ROUND((VLOOKUP(M98,M6:Q97,5,FALSE)-Q98)/1000,3),"")))</f>
        <v/>
      </c>
      <c r="S98" s="19">
        <f>IF(S97="","",S97+1)</f>
        <v>392</v>
      </c>
      <c r="T98" s="39"/>
      <c r="U98" s="39"/>
      <c r="V98" s="15" t="str">
        <f>IF(AND(T98&lt;&gt;"",U98&lt;&gt;""),ROUND(T98,3)+ROUND(V97,3)-ROUND(U98,3),IF(AND(EXACT(UPPER(S98),"TBM"),T98&lt;&gt;""),ROUND(T98,3),IF(T98="",V97,IF(ISNA(VLOOKUP(S98,A6:E105,5,FALSE)),IF(ISNA(VLOOKUP(S98,G6:K105,5,FALSE)),IF(ISNA(VLOOKUP(S98,M6:Q105,5,FALSE)),IF(ISNA(VLOOKUP(S98,S6:W97,5,FALSE)),"",ROUND(VLOOKUP(S98,S6:W97,5,FALSE),0)/1000+ROUND(T98,3)),ROUND(VLOOKUP(S98,M6:Q105,5,FALSE),0)/1000+ROUND(T98,3)),ROUND(VLOOKUP(S98,G6:K105,5,FALSE),0)/1000+ROUND(T98,3)),ROUND(VLOOKUP(S98,A6:E105,5,FALSE),0)/1000+ROUND(T98,3)))))</f>
        <v/>
      </c>
      <c r="W98" s="18" t="str">
        <f>IF(OR(NOT(EXACT(UPPER(S98),"TBM")),T98=""),IF(AND(T98&lt;&gt;"",U98="",V98&lt;&gt;""),"",IF(AND(T98="",U98&lt;&gt;"",V98&lt;&gt;""),ROUND(ROUND(V98,3)-ROUND(U98,3),3)*1000,IF(AND(T98&lt;&gt;"",U98&lt;&gt;"",V98&lt;&gt;""),ROUND(ROUND(V97,3)-ROUND(U98,3),3)*1000,""))),"")</f>
        <v/>
      </c>
      <c r="X98" s="45" t="str">
        <f>IF(AND(NOT(ISNA(VLOOKUP(S98,A6:E105,5,FALSE))),T98="",U98&lt;&gt;""),ROUND((VLOOKUP(S98,A6:E105,5,FALSE)-W98)/1000,3),IF(AND(NOT(ISNA(VLOOKUP(S98,G6:K105,5,FALSE))),T98="",U98&lt;&gt;""),ROUND((VLOOKUP(S98,G6:K105,5,FALSE)-W98)/1000,3),IF(AND(NOT(ISNA(VLOOKUP(S98,M6:Q105,5,FALSE))),T98="",U98&lt;&gt;""),ROUND((VLOOKUP(S98,M6:Q105,5,FALSE)-W98)/1000,3),IF(AND(NOT(ISNA(VLOOKUP(S98,S6:W97,5,FALSE))),T98="",U98&lt;&gt;""),ROUND((VLOOKUP(S98,S6:W97,5,FALSE)-W98)/1000,3),""))))</f>
        <v/>
      </c>
      <c r="Y98" s="19">
        <f>IF(Y97="","",Y97+1)</f>
        <v>492</v>
      </c>
      <c r="Z98" s="39"/>
      <c r="AA98" s="39"/>
      <c r="AB98" s="15" t="str">
        <f>IF(AND(Z98&lt;&gt;"",AA98&lt;&gt;""),ROUND(Z98,3)+ROUND(AB97,3)-ROUND(AA98,3),IF(AND(EXACT(UPPER(Y98),"TBM"),Z98&lt;&gt;""),ROUND(Z98,3),IF(Z98="",AB97,IF(ISNA(VLOOKUP(Y98,A6:E105,5,FALSE)),IF(ISNA(VLOOKUP(Y98,G6:K105,5,FALSE)),IF(ISNA(VLOOKUP(Y98,M6:Q105,5,FALSE)),IF(ISNA(VLOOKUP(Y98,S6:W105,5,FALSE)),IF(ISNA(VLOOKUP(Y98,Y6:AC97,5,FALSE)),"",ROUND(VLOOKUP(Y98,Y6:AC97,5,FALSE),0)/1000+ROUND(Z98,3)),ROUND(VLOOKUP(Y98,S6:W105,5,FALSE),0)/1000+ROUND(Z98,3)),ROUND(VLOOKUP(Y98,M6:Q105,5,FALSE),0)/1000+ROUND(Z98,3)),ROUND(VLOOKUP(Y98,G6:K105,5,FALSE),0)/1000+ROUND(Z98,3)),ROUND(VLOOKUP(Y98,A6:E105,5,FALSE),0)/1000+ROUND(Z98,3)))))</f>
        <v/>
      </c>
      <c r="AC98" s="18" t="str">
        <f>IF(OR(NOT(EXACT(UPPER(Y98),"TBM")),Z98=""),IF(AND(Z98&lt;&gt;"",AA98="",AB98&lt;&gt;""),"",IF(AND(Z98="",AA98&lt;&gt;"",AB98&lt;&gt;""),ROUND(ROUND(AB98,3)-ROUND(AA98,3),3)*1000,IF(AND(Z98&lt;&gt;"",AA98&lt;&gt;"",AB98&lt;&gt;""),ROUND(ROUND(AB97,3)-ROUND(AA98,3),3)*1000,""))),"")</f>
        <v/>
      </c>
      <c r="AD98" s="45" t="str">
        <f>IF(AND(NOT(ISNA(VLOOKUP(Y98,A6:E105,5,FALSE))),Z98="",AA98&lt;&gt;""),ROUND((VLOOKUP(Y98,A6:E105,5,FALSE)-AC98)/1000,3),IF(AND(NOT(ISNA(VLOOKUP(Y98,G6:K105,5,FALSE))),Z98="",AA98&lt;&gt;""),ROUND((VLOOKUP(Y98,G6:K105,5,FALSE)-AC98)/1000,3),IF(AND(NOT(ISNA(VLOOKUP(Y98,M6:Q105,5,FALSE))),Z98="",AA98&lt;&gt;""),ROUND((VLOOKUP(Y98,M6:Q105,5,FALSE)-AC98)/1000,3),IF(AND(NOT(ISNA(VLOOKUP(Y98,S6:W105,5,FALSE))),Z98="",AA98&lt;&gt;""),ROUND((VLOOKUP(Y98,S6:W105,5,FALSE)-AC98)/1000,3),IF(AND(NOT(ISNA(VLOOKUP(Y98,Y6:AC97,5,FALSE))),Z98="",AA98&lt;&gt;""),ROUND((VLOOKUP(Y98,Y6:AC97,5,FALSE)-AC98)/1000,3),"")))))</f>
        <v/>
      </c>
      <c r="AE98" s="19">
        <f>IF(AE97="","",AE97+1)</f>
        <v>592</v>
      </c>
      <c r="AF98" s="39"/>
      <c r="AG98" s="39"/>
      <c r="AH98" s="15" t="str">
        <f>IF(AND(AF98&lt;&gt;"",AG98&lt;&gt;""),ROUND(AF98,3)+ROUND(AH97,3)-ROUND(AG98,3),IF(AND(EXACT(UPPER(AE98),"TBM"),AF98&lt;&gt;""),ROUND(AF98,3),IF(AF98="",AH97,IF(ISNA(VLOOKUP(AE98,A6:E105,5,FALSE)),IF(ISNA(VLOOKUP(AE98,G6:K105,5,FALSE)),IF(ISNA(VLOOKUP(AE98,M6:Q105,5,FALSE)),IF(ISNA(VLOOKUP(AE98,S6:W105,5,FALSE)),IF(ISNA(VLOOKUP(AE98,Y6:AC105,5,FALSE)),IF(ISNA(VLOOKUP(AE98,AE6:AI97,5,FALSE)),"",ROUND(VLOOKUP(AE98,AE6:AI97,5,FALSE),0)/1000+ROUND(AF98,3)),ROUND(VLOOKUP(AE98,Y6:AC105,5,FALSE),0)/1000+ROUND(AF98,3)),ROUND(VLOOKUP(AE98,S6:W105,5,FALSE),0)/1000+ROUND(AF98,3)),ROUND(VLOOKUP(AE98,M6:Q105,5,FALSE),0)/1000+ROUND(AF98,3)),ROUND(VLOOKUP(AE98,G6:K105,5,FALSE),0)/1000+ROUND(AF98,3)),ROUND(VLOOKUP(AE98,A6:E105,5,FALSE),0)/1000+ROUND(AF98,3)))))</f>
        <v/>
      </c>
      <c r="AI98" s="18" t="str">
        <f>IF(OR(NOT(EXACT(UPPER(AE98),"TBM")),AF98=""),IF(AND(AF98&lt;&gt;"",AG98="",AH98&lt;&gt;""),"",IF(AND(AF98="",AG98&lt;&gt;"",AH98&lt;&gt;""),ROUND(ROUND(AH98,3)-ROUND(AG98,3),3)*1000,IF(AND(AF98&lt;&gt;"",AG98&lt;&gt;"",AH98&lt;&gt;""),ROUND(ROUND(AH97,3)-ROUND(AG98,3),3)*1000,""))),"")</f>
        <v/>
      </c>
      <c r="AJ98" s="45" t="str">
        <f>IF(AND(NOT(ISNA(VLOOKUP(AE98,A6:E105,5,FALSE))),AF98="",AG98&lt;&gt;""),ROUND((VLOOKUP(AE98,A6:E105,5,FALSE)-AI98)/1000,3),IF(AND(NOT(ISNA(VLOOKUP(AE98,G6:K105,5,FALSE))),AF98="",AG98&lt;&gt;""),ROUND((VLOOKUP(AE98,G6:K105,5,FALSE)-AI98)/1000,3),IF(AND(NOT(ISNA(VLOOKUP(AE98,M6:Q105,5,FALSE))),AF98="",AG98&lt;&gt;""),ROUND((VLOOKUP(AE98,M6:Q105,5,FALSE)-AI98)/1000,3),IF(AND(NOT(ISNA(VLOOKUP(AE98,S6:W105,5,FALSE))),AF98="",AG98&lt;&gt;""),ROUND((VLOOKUP(AE98,S6:W105,5,FALSE)-AI98)/1000,3),IF(AND(NOT(ISNA(VLOOKUP(AE98,Y6:AC105,5,FALSE))),AF98="",AG98&lt;&gt;""),ROUND((VLOOKUP(AE98,Y6:AC105,5,FALSE)-AI98)/1000,3),IF(AND(NOT(ISNA(VLOOKUP(AE98,AE6:AI97,5,FALSE))),AF98="",AG98&lt;&gt;""),ROUND((VLOOKUP(AE98,AE6:AI97,5,FALSE)-AI98)/1000,3),""))))))</f>
        <v/>
      </c>
      <c r="AK98" s="19">
        <f>IF(AK97="","",AK97+1)</f>
        <v>692</v>
      </c>
      <c r="AL98" s="39"/>
      <c r="AM98" s="39"/>
      <c r="AN98" s="15" t="str">
        <f>IF(AND(AL98&lt;&gt;"",AM98&lt;&gt;""),ROUND(AL98,3)+ROUND(AN97,3)-ROUND(AM98,3),IF(AND(EXACT(UPPER(AK98),"TBM"),AL98&lt;&gt;""),ROUND(AL98,3),IF(AL98="",AN97,IF(ISNA(VLOOKUP(AK98,A6:E105,5,FALSE)),IF(ISNA(VLOOKUP(AK98,G6:K105,5,FALSE)),IF(ISNA(VLOOKUP(AK98,M6:Q105,5,FALSE)),IF(ISNA(VLOOKUP(AK98,S6:W105,5,FALSE)),IF(ISNA(VLOOKUP(AK98,Y6:AC105,5,FALSE)),IF(ISNA(VLOOKUP(AK98,AE6:AI105,5,FALSE)),IF(ISNA(VLOOKUP(AK98,AK6:AO97,5,FALSE)),"",ROUND(VLOOKUP(AK98,AK6:AO97,5,FALSE),0)/1000+ROUND(AL98,3)),ROUND(VLOOKUP(AK98,AE6:AI105,5,FALSE),0)/1000+ROUND(AL98,3)),ROUND(VLOOKUP(AK98,Y6:AC105,5,FALSE),0)/1000+ROUND(AL98,3)),ROUND(VLOOKUP(AK98,S6:W105,5,FALSE),0)/1000+ROUND(AL98,3)),ROUND(VLOOKUP(AK98,M6:Q105,5,FALSE),0)/1000+ROUND(AL98,3)),ROUND(VLOOKUP(AK98,G6:K105,5,FALSE),0)/1000+ROUND(AL98,3)),ROUND(VLOOKUP(AK98,A6:E105,5,FALSE),0)/1000+ROUND(AL98,3)))))</f>
        <v/>
      </c>
      <c r="AO98" s="18" t="str">
        <f>IF(OR(NOT(EXACT(UPPER(AK98),"TBM")),AL98=""),IF(AND(AL98&lt;&gt;"",AM98="",AN98&lt;&gt;""),"",IF(AND(AL98="",AM98&lt;&gt;"",AN98&lt;&gt;""),ROUND(ROUND(AN98,3)-ROUND(AM98,3),3)*1000,IF(AND(AL98&lt;&gt;"",AM98&lt;&gt;"",AN98&lt;&gt;""),ROUND(ROUND(AN97,3)-ROUND(AM98,3),3)*1000,""))),"")</f>
        <v/>
      </c>
      <c r="AP98" s="45" t="str">
        <f>IF(AND(NOT(ISNA(VLOOKUP(AK98,A6:E105,5,FALSE))),AL98="",AM98&lt;&gt;""),ROUND((VLOOKUP(AK98,A6:E105,5,FALSE)-AO98)/1000,3),IF(AND(NOT(ISNA(VLOOKUP(AK98,G6:K105,5,FALSE))),AL98="",AM98&lt;&gt;""),ROUND((VLOOKUP(AK98,G6:K105,5,FALSE)-AO98)/1000,3),IF(AND(NOT(ISNA(VLOOKUP(AK98,M6:Q105,5,FALSE))),AL98="",AM98&lt;&gt;""),ROUND((VLOOKUP(AK98,M6:Q105,5,FALSE)-AO98)/1000,3),IF(AND(NOT(ISNA(VLOOKUP(AK98,S6:W105,5,FALSE))),AL98="",AM98&lt;&gt;""),ROUND((VLOOKUP(AK98,S6:W105,5,FALSE)-AO98)/1000,3),IF(AND(NOT(ISNA(VLOOKUP(AK98,Y6:AC105,5,FALSE))),AL98="",AM98&lt;&gt;""),ROUND((VLOOKUP(AK98,Y6:AC105,5,FALSE)-AO98)/1000,3),IF(AND(NOT(ISNA(VLOOKUP(AK98,AE6:AI105,5,FALSE))),AL98="",AM98&lt;&gt;""),ROUND((VLOOKUP(AK98,AE6:AI105,5,FALSE)-AO98)/1000,3),IF(AND(NOT(ISNA(VLOOKUP(AK98,AK6:AO97,5,FALSE))),AL98="",AM98&lt;&gt;""),ROUND((VLOOKUP(AK98,AK6:AO97,5,FALSE)-AO98)/1000,3),"")))))))</f>
        <v/>
      </c>
      <c r="AQ98" s="19">
        <f>IF(AQ97="","",AQ97+1)</f>
        <v>792</v>
      </c>
      <c r="AR98" s="39"/>
      <c r="AS98" s="39"/>
      <c r="AT98" s="15" t="str">
        <f>IF(AND(AR98&lt;&gt;"",AS98&lt;&gt;""),ROUND(AR98,3)+ROUND(AT97,3)-ROUND(AS98,3),IF(AND(EXACT(UPPER(AQ98),"TBM"),AR98&lt;&gt;""),ROUND(AR98,3),IF(AR98="",AT97,IF(ISNA(VLOOKUP(AQ98,A6:E105,5,FALSE)),IF(ISNA(VLOOKUP(AQ98,G6:K105,5,FALSE)),IF(ISNA(VLOOKUP(AQ98,M6:Q105,5,FALSE)),IF(ISNA(VLOOKUP(AQ98,S6:W105,5,FALSE)),IF(ISNA(VLOOKUP(AQ98,Y6:AC105,5,FALSE)),IF(ISNA(VLOOKUP(AQ98,AE6:AI105,5,FALSE)),IF(ISNA(VLOOKUP(AQ98,AK6:AO105,5,FALSE)),IF(ISNA(VLOOKUP(AQ98,AQ6:AU97,5,FALSE)),"",ROUND(VLOOKUP(AQ98,AQ6:AU97,5,FALSE),0)/1000+ROUND(AR98,3)),ROUND(VLOOKUP(AQ98,AK6:AO105,5,FALSE),0)/1000+ROUND(AR98,3)),ROUND(VLOOKUP(AQ98,AE6:AI105,5,FALSE),0)/1000+ROUND(AR98,3)),ROUND(VLOOKUP(AQ98,Y6:AC105,5,FALSE),0)/1000+ROUND(AR98,3)),ROUND(VLOOKUP(AQ98,S6:W105,5,FALSE),0)/1000+ROUND(AR98,3)),ROUND(VLOOKUP(AQ98,M6:Q105,5,FALSE),0)/1000+ROUND(AR98,3)),ROUND(VLOOKUP(AQ98,G6:K105,5,FALSE),0)/1000+ROUND(AR98,3)),ROUND(VLOOKUP(AQ98,A6:E105,5,FALSE),0)/1000+ROUND(AR98,3)))))</f>
        <v/>
      </c>
      <c r="AU98" s="18" t="str">
        <f>IF(OR(NOT(EXACT(UPPER(AQ98),"TBM")),AR98=""),IF(AND(AR98&lt;&gt;"",AS98="",AT98&lt;&gt;""),"",IF(AND(AR98="",AS98&lt;&gt;"",AT98&lt;&gt;""),ROUND(ROUND(AT98,3)-ROUND(AS98,3),3)*1000,IF(AND(AR98&lt;&gt;"",AS98&lt;&gt;"",AT98&lt;&gt;""),ROUND(ROUND(AT97,3)-ROUND(AS98,3),3)*1000,""))),"")</f>
        <v/>
      </c>
      <c r="AV98" s="45" t="str">
        <f>IF(AND(NOT(ISNA(VLOOKUP(AQ98,A6:E105,5,FALSE))),AR98="",AS98&lt;&gt;""),ROUND((VLOOKUP(AQ98,A6:E105,5,FALSE)-AU98)/1000,3),IF(AND(NOT(ISNA(VLOOKUP(AQ98,G6:K105,5,FALSE))),AR98="",AS98&lt;&gt;""),ROUND((VLOOKUP(AQ98,G6:K105,5,FALSE)-AU98)/1000,3),IF(AND(NOT(ISNA(VLOOKUP(AQ98,M6:Q105,5,FALSE))),AR98="",AS98&lt;&gt;""),ROUND((VLOOKUP(AQ98,M6:Q105,5,FALSE)-AU98)/1000,3),IF(AND(NOT(ISNA(VLOOKUP(AQ98,S6:W105,5,FALSE))),AR98="",AS98&lt;&gt;""),ROUND((VLOOKUP(AQ98,S6:W105,5,FALSE)-AU98)/1000,3),IF(AND(NOT(ISNA(VLOOKUP(AQ98,Y6:AC105,5,FALSE))),AR98="",AS98&lt;&gt;""),ROUND((VLOOKUP(AQ98,Y6:AC105,5,FALSE)-AU98)/1000,3),IF(AND(NOT(ISNA(VLOOKUP(AQ98,AE6:AI105,5,FALSE))),AR98="",AS98&lt;&gt;""),ROUND((VLOOKUP(AQ98,AE6:AI105,5,FALSE)-AU98)/1000,3),IF(AND(NOT(ISNA(VLOOKUP(AQ98,AK6:AO105,5,FALSE))),AR98="",AS98&lt;&gt;""),ROUND((VLOOKUP(AQ98,AK6:AO105,5,FALSE)-AU98)/1000,3),IF(AND(NOT(ISNA(VLOOKUP(AQ98,AQ6:AU97,5,FALSE))),AR98="",AS98&lt;&gt;""),ROUND((VLOOKUP(AQ98,AQ6:AU97,5,FALSE)-AU98)/1000,3),""))))))))</f>
        <v/>
      </c>
      <c r="AW98" s="19">
        <f>IF(AW97="","",AW97+1)</f>
        <v>892</v>
      </c>
      <c r="AX98" s="39"/>
      <c r="AY98" s="39"/>
      <c r="AZ98" s="15" t="str">
        <f>IF(AND(AX98&lt;&gt;"",AY98&lt;&gt;""),ROUND(AX98,3)+ROUND(AZ97,3)-ROUND(AY98,3),IF(AND(EXACT(UPPER(AW98),"TBM"),AX98&lt;&gt;""),ROUND(AX98,3),IF(AX98="",AZ97,IF(ISNA(VLOOKUP(AW98,A6:E105,5,FALSE)),IF(ISNA(VLOOKUP(AW98,G6:K105,5,FALSE)),IF(ISNA(VLOOKUP(AW98,M6:Q105,5,FALSE)),IF(ISNA(VLOOKUP(AW98,S6:W105,5,FALSE)),IF(ISNA(VLOOKUP(AW98,Y6:AC105,5,FALSE)),IF(ISNA(VLOOKUP(AW98,AE6:AI105,5,FALSE)),IF(ISNA(VLOOKUP(AW98,AK6:AO105,5,FALSE)),IF(ISNA(VLOOKUP(AW98,AQ6:AU105,5,FALSE)),IF(ISNA(VLOOKUP(AW98,AW6:BA97,5,FALSE)),"",ROUND(VLOOKUP(AW98,AW6:BA97,5,FALSE),0)/1000+ROUND(AX98,3)),ROUND(VLOOKUP(AW98,AQ6:AU105,5,FALSE),0)/1000+ROUND(AX98,3)),ROUND(VLOOKUP(AW98,AK6:AO105,5,FALSE),0)/1000+ROUND(AX98,3)),ROUND(VLOOKUP(AW98,AE6:AI105,5,FALSE),0)/1000+ROUND(AX98,3)),ROUND(VLOOKUP(AW98,Y6:AC105,5,FALSE),0)/1000+ROUND(AX98,3)),ROUND(VLOOKUP(AW98,S6:W105,5,FALSE),0)/1000+ROUND(AX98,3)),ROUND(VLOOKUP(AW98,M6:Q105,5,FALSE),0)/1000+ROUND(AX98,3)),ROUND(VLOOKUP(AW98,G6:K105,5,FALSE),0)/1000+ROUND(AX98,3)),ROUND(VLOOKUP(AW98,A6:E105,5,FALSE),0)/1000+ROUND(AX98,3)))))</f>
        <v/>
      </c>
      <c r="BA98" s="18" t="str">
        <f>IF(OR(NOT(EXACT(UPPER(AW98),"TBM")),AX98=""),IF(AND(AX98&lt;&gt;"",AY98="",AZ98&lt;&gt;""),"",IF(AND(AX98="",AY98&lt;&gt;"",AZ98&lt;&gt;""),ROUND(ROUND(AZ98,3)-ROUND(AY98,3),3)*1000,IF(AND(AX98&lt;&gt;"",AY98&lt;&gt;"",AZ98&lt;&gt;""),ROUND(ROUND(AZ97,3)-ROUND(AY98,3),3)*1000,""))),"")</f>
        <v/>
      </c>
      <c r="BB98" s="45" t="str">
        <f>IF(AND(NOT(ISNA(VLOOKUP(AW98,A6:E105,5,FALSE))),AX98="",AY98&lt;&gt;""),ROUND((VLOOKUP(AW98,A6:E105,5,FALSE)-BA98)/1000,3),IF(AND(NOT(ISNA(VLOOKUP(AW98,G6:K105,5,FALSE))),AX98="",AY98&lt;&gt;""),ROUND((VLOOKUP(AW98,G6:K105,5,FALSE)-BA98)/1000,3),IF(AND(NOT(ISNA(VLOOKUP(AW98,M6:Q105,5,FALSE))),AX98="",AY98&lt;&gt;""),ROUND((VLOOKUP(AW98,M6:Q105,5,FALSE)-BA98)/1000,3),IF(AND(NOT(ISNA(VLOOKUP(AW98,S6:W105,5,FALSE))),AX98="",AY98&lt;&gt;""),ROUND((VLOOKUP(AW98,S6:W105,5,FALSE)-BA98)/1000,3),IF(AND(NOT(ISNA(VLOOKUP(AW98,Y6:AC105,5,FALSE))),AX98="",AY98&lt;&gt;""),ROUND((VLOOKUP(AW98,Y6:AC105,5,FALSE)-BA98)/1000,3),IF(AND(NOT(ISNA(VLOOKUP(AW98,AE6:AI105,5,FALSE))),AX98="",AY98&lt;&gt;""),ROUND((VLOOKUP(AW98,AE6:AI105,5,FALSE)-BA98)/1000,3),IF(AND(NOT(ISNA(VLOOKUP(AW98,AK6:AO105,5,FALSE))),AX98="",AY98&lt;&gt;""),ROUND((VLOOKUP(AW98,AK6:AO105,5,FALSE)-BA98)/1000,3),IF(AND(NOT(ISNA(VLOOKUP(AW98,AQ6:AU105,5,FALSE))),AX98="",AY98&lt;&gt;""),ROUND((VLOOKUP(AW98,AQ6:AU105,5,FALSE)-BA98)/1000,3),IF(AND(NOT(ISNA(VLOOKUP(AW98,AW6:BA97,5,FALSE))),AX98="",AY98&lt;&gt;""),ROUND((VLOOKUP(AW98,AW6:BA97,5,FALSE)-BA98)/1000,3),"")))))))))</f>
        <v/>
      </c>
      <c r="BC98" s="19">
        <f>IF(BC97="","",BC97+1)</f>
        <v>992</v>
      </c>
      <c r="BD98" s="39"/>
      <c r="BE98" s="39"/>
      <c r="BF98" s="15" t="str">
        <f>IF(AND(BD98&lt;&gt;"",BE98&lt;&gt;""),ROUND(BD98,3)+ROUND(BF97,3)-ROUND(BE98,3),IF(AND(EXACT(UPPER(BC98),"TBM"),BD98&lt;&gt;""),ROUND(BD98,3),IF(BD98="",BF97,IF(ISNA(VLOOKUP(BC98,A6:E105,5,FALSE)),IF(ISNA(VLOOKUP(BC98,G6:K105,5,FALSE)),IF(ISNA(VLOOKUP(BC98,M6:Q105,5,FALSE)),IF(ISNA(VLOOKUP(BC98,S6:W105,5,FALSE)),IF(ISNA(VLOOKUP(BC98,Y6:AC105,5,FALSE)),IF(ISNA(VLOOKUP(BC98,AE6:AI105,5,FALSE)),IF(ISNA(VLOOKUP(BC98,AK6:AO105,5,FALSE)),IF(ISNA(VLOOKUP(BC98,AQ6:AU105,5,FALSE)),IF(ISNA(VLOOKUP(BC98,AW6:BA105,5,FALSE)),IF(ISNA(VLOOKUP(BC98,BC6:BG97,5,FALSE)),"",ROUND(VLOOKUP(BC98,BC6:BG97,5,FALSE),0)/1000+ROUND(BD98,3)),ROUND(VLOOKUP(BC98,AW6:BA105,5,FALSE),0)/1000+ROUND(BD98,3)),ROUND(VLOOKUP(BC98,AQ6:AU105,5,FALSE),0)/1000+ROUND(BD98,3)),ROUND(VLOOKUP(BC98,AK6:AO105,5,FALSE),0)/1000+ROUND(BD98,3)),ROUND(VLOOKUP(BC98,AE6:AI105,5,FALSE),0)/1000+ROUND(BD98,3)),ROUND(VLOOKUP(BC98,Y6:AC105,5,FALSE),0)/1000+ROUND(BD98,3)),ROUND(VLOOKUP(BC98,S6:W105,5,FALSE),0)/1000+ROUND(BD98,3)),ROUND(VLOOKUP(BC98,M6:Q105,5,FALSE),0)/1000+ROUND(BD98,3)),ROUND(VLOOKUP(BC98,G6:K105,5,FALSE),0)/1000+ROUND(BD98,3)),ROUND(VLOOKUP(BC98,A6:E105,5,FALSE),0)/1000+ROUND(BD98,3)))))</f>
        <v/>
      </c>
      <c r="BG98" s="18" t="str">
        <f>IF(OR(NOT(EXACT(UPPER(BC98),"TBM")),BD98=""),IF(AND(BD98&lt;&gt;"",BE98="",BF98&lt;&gt;""),"",IF(AND(BD98="",BE98&lt;&gt;"",BF98&lt;&gt;""),ROUND(ROUND(BF98,3)-ROUND(BE98,3),3)*1000,IF(AND(BD98&lt;&gt;"",BE98&lt;&gt;"",BF98&lt;&gt;""),ROUND(ROUND(BF97,3)-ROUND(BE98,3),3)*1000,""))),"")</f>
        <v/>
      </c>
      <c r="BH98" s="45" t="str">
        <f>IF(AND(NOT(ISNA(VLOOKUP(BC98,A6:E105,5,FALSE))),BD98="",BE98&lt;&gt;""),ROUND((VLOOKUP(BC98,A6:E105,5,FALSE)-BG98)/1000,3),IF(AND(NOT(ISNA(VLOOKUP(BC98,G6:K105,5,FALSE))),BD98="",BE98&lt;&gt;""),ROUND((VLOOKUP(BC98,G6:K105,5,FALSE)-BG98)/1000,3),IF(AND(NOT(ISNA(VLOOKUP(BC98,M6:Q105,5,FALSE))),BD98="",BE98&lt;&gt;""),ROUND((VLOOKUP(BC98,M6:Q105,5,FALSE)-BG98)/1000,3),IF(AND(NOT(ISNA(VLOOKUP(BC98,S6:W105,5,FALSE))),BD98="",BE98&lt;&gt;""),ROUND((VLOOKUP(BC98,S6:W105,5,FALSE)-BG98)/1000,3),IF(AND(NOT(ISNA(VLOOKUP(BC98,Y6:AC105,5,FALSE))),BD98="",BE98&lt;&gt;""),ROUND((VLOOKUP(BC98,Y6:AC105,5,FALSE)-BG98)/1000,3),IF(AND(NOT(ISNA(VLOOKUP(BC98,AE6:AI105,5,FALSE))),BD98="",BE98&lt;&gt;""),ROUND((VLOOKUP(BC98,AE6:AI105,5,FALSE)-BG98)/1000,3),IF(AND(NOT(ISNA(VLOOKUP(BC98,AK6:AO105,5,FALSE))),BD98="",BE98&lt;&gt;""),ROUND((VLOOKUP(BC98,AK6:AO105,5,FALSE)-BG98)/1000,3),IF(AND(NOT(ISNA(VLOOKUP(BC98,AQ6:AU105,5,FALSE))),BD98="",BE98&lt;&gt;""),ROUND((VLOOKUP(BC98,AQ6:AU105,5,FALSE)-BG98)/1000,3),IF(AND(NOT(ISNA(VLOOKUP(BC98,AW6:BA105,5,FALSE))),BD98="",BE98&lt;&gt;""),ROUND((VLOOKUP(BC98,AW6:BA105,5,FALSE)-BG98)/1000,3),IF(AND(NOT(ISNA(VLOOKUP(BC98,BC6:BG97,5,FALSE))),BD98="",BE98&lt;&gt;""),ROUND((VLOOKUP(BC98,BC6:BG97,5,FALSE)-BG98)/1000,3),""))))))))))</f>
        <v/>
      </c>
    </row>
    <row r="99" spans="1:60" x14ac:dyDescent="0.25">
      <c r="A99" s="19">
        <f t="shared" si="9"/>
        <v>93</v>
      </c>
      <c r="B99" s="39"/>
      <c r="C99" s="39"/>
      <c r="D99" s="15" t="str">
        <f>IF(AND(B99&lt;&gt;"",C99&lt;&gt;""),ROUND(B99,3)+ROUND(D98,3)-ROUND(C99,3),IF(AND(EXACT(UPPER(A99),"TBM"),B99&lt;&gt;""),ROUND(B99,3),IF(B99="",D98,IF(ISNA(VLOOKUP(A99,A6:E98,5,FALSE)),"",ROUND(VLOOKUP(A99,A6:E98,5,FALSE),0)/1000+ROUND(B99,3)))))</f>
        <v/>
      </c>
      <c r="E99" s="21" t="str">
        <f t="shared" si="6"/>
        <v/>
      </c>
      <c r="F99" s="45" t="str">
        <f>IF(AND(NOT(ISNA(VLOOKUP(A99,A6:E98,5,FALSE))),B99="",C99&lt;&gt;""),ROUND((VLOOKUP(A99,A6:E98,5,FALSE)-E99)/1000,3),"")</f>
        <v/>
      </c>
      <c r="G99" s="19">
        <f t="shared" si="7"/>
        <v>193</v>
      </c>
      <c r="H99" s="39"/>
      <c r="I99" s="39"/>
      <c r="J99" s="15" t="str">
        <f>IF(AND(H99&lt;&gt;"",I99&lt;&gt;""),ROUND(H99,3)+ROUND(J98,3)-ROUND(I99,3),IF(AND(EXACT(UPPER(G99),"TBM"),H99&lt;&gt;""),ROUND(H99,3),IF(H99="",J98,IF(ISNA(VLOOKUP(G99,A6:E105,5,FALSE)),IF(ISNA(VLOOKUP(G99,G6:K98,5,FALSE)),"",ROUND(VLOOKUP(G99,G6:K98,5,FALSE),0)/1000+ROUND(H99,3)),ROUND(VLOOKUP(G99,A6:E105,5,FALSE),0)/1000+ROUND(H99,3)))))</f>
        <v/>
      </c>
      <c r="K99" s="18" t="str">
        <f t="shared" si="8"/>
        <v/>
      </c>
      <c r="L99" s="45" t="str">
        <f>IF(AND(NOT(ISNA(VLOOKUP(G99,A6:E105,5,FALSE))),H99="",I99&lt;&gt;""),ROUND((VLOOKUP(G99,A6:E105,5,FALSE)-K99)/1000,3),IF(AND(NOT(ISNA(VLOOKUP(G99,G6:K98,5,FALSE))),H99="",I99&lt;&gt;""),ROUND((VLOOKUP(G99,G6:K98,5,FALSE)-K99)/1000,3),""))</f>
        <v/>
      </c>
      <c r="M99" s="19">
        <f>IF(M98="","",M98+1)</f>
        <v>293</v>
      </c>
      <c r="N99" s="39"/>
      <c r="O99" s="39"/>
      <c r="P99" s="15" t="str">
        <f>IF(AND(N99&lt;&gt;"",O99&lt;&gt;""),ROUND(N99,3)+ROUND(P98,3)-ROUND(O99,3),IF(AND(EXACT(UPPER(M99),"TBM"),N99&lt;&gt;""),ROUND(N99,3),IF(N99="",P98,IF(ISNA(VLOOKUP(M99,A6:E105,5,FALSE)),IF(ISNA(VLOOKUP(M99,G6:K105,5,FALSE)),IF(ISNA(VLOOKUP(M99,M6:Q98,5,FALSE)),"",ROUND(VLOOKUP(M99,M6:Q98,5,FALSE),0)/1000+ROUND(N99,3)),ROUND(VLOOKUP(M99,G6:K105,5,FALSE),0)/1000+ROUND(N99,3)),ROUND(VLOOKUP(M99,A6:E105,5,FALSE),0)/1000+ROUND(N99,3)))))</f>
        <v/>
      </c>
      <c r="Q99" s="18" t="str">
        <f>IF(OR(NOT(EXACT(UPPER(M99),"TBM")),N99=""),IF(AND(N99&lt;&gt;"",O99="",P99&lt;&gt;""),"",IF(AND(N99="",O99&lt;&gt;"",P99&lt;&gt;""),ROUND(ROUND(P99,3)-ROUND(O99,3),3)*1000,IF(AND(N99&lt;&gt;"",O99&lt;&gt;"",P99&lt;&gt;""),ROUND(ROUND(P98,3)-ROUND(O99,3),3)*1000,""))),"")</f>
        <v/>
      </c>
      <c r="R99" s="45" t="str">
        <f>IF(AND(NOT(ISNA(VLOOKUP(M99,A6:E105,5,FALSE))),N99="",O99&lt;&gt;""),ROUND((VLOOKUP(M99,A6:E105,5,FALSE)-Q99)/1000,3),IF(AND(NOT(ISNA(VLOOKUP(M99,G6:K105,5,FALSE))),N99="",O99&lt;&gt;""),ROUND((VLOOKUP(M99,G6:K105,5,FALSE)-Q99)/1000,3),IF(AND(NOT(ISNA(VLOOKUP(M99,M6:Q98,5,FALSE))),N99="",O99&lt;&gt;""),ROUND((VLOOKUP(M99,M6:Q98,5,FALSE)-Q99)/1000,3),"")))</f>
        <v/>
      </c>
      <c r="S99" s="19">
        <f>IF(S98="","",S98+1)</f>
        <v>393</v>
      </c>
      <c r="T99" s="39"/>
      <c r="U99" s="39"/>
      <c r="V99" s="15" t="str">
        <f>IF(AND(T99&lt;&gt;"",U99&lt;&gt;""),ROUND(T99,3)+ROUND(V98,3)-ROUND(U99,3),IF(AND(EXACT(UPPER(S99),"TBM"),T99&lt;&gt;""),ROUND(T99,3),IF(T99="",V98,IF(ISNA(VLOOKUP(S99,A6:E105,5,FALSE)),IF(ISNA(VLOOKUP(S99,G6:K105,5,FALSE)),IF(ISNA(VLOOKUP(S99,M6:Q105,5,FALSE)),IF(ISNA(VLOOKUP(S99,S6:W98,5,FALSE)),"",ROUND(VLOOKUP(S99,S6:W98,5,FALSE),0)/1000+ROUND(T99,3)),ROUND(VLOOKUP(S99,M6:Q105,5,FALSE),0)/1000+ROUND(T99,3)),ROUND(VLOOKUP(S99,G6:K105,5,FALSE),0)/1000+ROUND(T99,3)),ROUND(VLOOKUP(S99,A6:E105,5,FALSE),0)/1000+ROUND(T99,3)))))</f>
        <v/>
      </c>
      <c r="W99" s="18" t="str">
        <f>IF(OR(NOT(EXACT(UPPER(S99),"TBM")),T99=""),IF(AND(T99&lt;&gt;"",U99="",V99&lt;&gt;""),"",IF(AND(T99="",U99&lt;&gt;"",V99&lt;&gt;""),ROUND(ROUND(V99,3)-ROUND(U99,3),3)*1000,IF(AND(T99&lt;&gt;"",U99&lt;&gt;"",V99&lt;&gt;""),ROUND(ROUND(V98,3)-ROUND(U99,3),3)*1000,""))),"")</f>
        <v/>
      </c>
      <c r="X99" s="45" t="str">
        <f>IF(AND(NOT(ISNA(VLOOKUP(S99,A6:E105,5,FALSE))),T99="",U99&lt;&gt;""),ROUND((VLOOKUP(S99,A6:E105,5,FALSE)-W99)/1000,3),IF(AND(NOT(ISNA(VLOOKUP(S99,G6:K105,5,FALSE))),T99="",U99&lt;&gt;""),ROUND((VLOOKUP(S99,G6:K105,5,FALSE)-W99)/1000,3),IF(AND(NOT(ISNA(VLOOKUP(S99,M6:Q105,5,FALSE))),T99="",U99&lt;&gt;""),ROUND((VLOOKUP(S99,M6:Q105,5,FALSE)-W99)/1000,3),IF(AND(NOT(ISNA(VLOOKUP(S99,S6:W98,5,FALSE))),T99="",U99&lt;&gt;""),ROUND((VLOOKUP(S99,S6:W98,5,FALSE)-W99)/1000,3),""))))</f>
        <v/>
      </c>
      <c r="Y99" s="19">
        <f>IF(Y98="","",Y98+1)</f>
        <v>493</v>
      </c>
      <c r="Z99" s="39"/>
      <c r="AA99" s="39"/>
      <c r="AB99" s="15" t="str">
        <f>IF(AND(Z99&lt;&gt;"",AA99&lt;&gt;""),ROUND(Z99,3)+ROUND(AB98,3)-ROUND(AA99,3),IF(AND(EXACT(UPPER(Y99),"TBM"),Z99&lt;&gt;""),ROUND(Z99,3),IF(Z99="",AB98,IF(ISNA(VLOOKUP(Y99,A6:E105,5,FALSE)),IF(ISNA(VLOOKUP(Y99,G6:K105,5,FALSE)),IF(ISNA(VLOOKUP(Y99,M6:Q105,5,FALSE)),IF(ISNA(VLOOKUP(Y99,S6:W105,5,FALSE)),IF(ISNA(VLOOKUP(Y99,Y6:AC98,5,FALSE)),"",ROUND(VLOOKUP(Y99,Y6:AC98,5,FALSE),0)/1000+ROUND(Z99,3)),ROUND(VLOOKUP(Y99,S6:W105,5,FALSE),0)/1000+ROUND(Z99,3)),ROUND(VLOOKUP(Y99,M6:Q105,5,FALSE),0)/1000+ROUND(Z99,3)),ROUND(VLOOKUP(Y99,G6:K105,5,FALSE),0)/1000+ROUND(Z99,3)),ROUND(VLOOKUP(Y99,A6:E105,5,FALSE),0)/1000+ROUND(Z99,3)))))</f>
        <v/>
      </c>
      <c r="AC99" s="18" t="str">
        <f>IF(OR(NOT(EXACT(UPPER(Y99),"TBM")),Z99=""),IF(AND(Z99&lt;&gt;"",AA99="",AB99&lt;&gt;""),"",IF(AND(Z99="",AA99&lt;&gt;"",AB99&lt;&gt;""),ROUND(ROUND(AB99,3)-ROUND(AA99,3),3)*1000,IF(AND(Z99&lt;&gt;"",AA99&lt;&gt;"",AB99&lt;&gt;""),ROUND(ROUND(AB98,3)-ROUND(AA99,3),3)*1000,""))),"")</f>
        <v/>
      </c>
      <c r="AD99" s="45" t="str">
        <f>IF(AND(NOT(ISNA(VLOOKUP(Y99,A6:E105,5,FALSE))),Z99="",AA99&lt;&gt;""),ROUND((VLOOKUP(Y99,A6:E105,5,FALSE)-AC99)/1000,3),IF(AND(NOT(ISNA(VLOOKUP(Y99,G6:K105,5,FALSE))),Z99="",AA99&lt;&gt;""),ROUND((VLOOKUP(Y99,G6:K105,5,FALSE)-AC99)/1000,3),IF(AND(NOT(ISNA(VLOOKUP(Y99,M6:Q105,5,FALSE))),Z99="",AA99&lt;&gt;""),ROUND((VLOOKUP(Y99,M6:Q105,5,FALSE)-AC99)/1000,3),IF(AND(NOT(ISNA(VLOOKUP(Y99,S6:W105,5,FALSE))),Z99="",AA99&lt;&gt;""),ROUND((VLOOKUP(Y99,S6:W105,5,FALSE)-AC99)/1000,3),IF(AND(NOT(ISNA(VLOOKUP(Y99,Y6:AC98,5,FALSE))),Z99="",AA99&lt;&gt;""),ROUND((VLOOKUP(Y99,Y6:AC98,5,FALSE)-AC99)/1000,3),"")))))</f>
        <v/>
      </c>
      <c r="AE99" s="19">
        <f>IF(AE98="","",AE98+1)</f>
        <v>593</v>
      </c>
      <c r="AF99" s="39"/>
      <c r="AG99" s="39"/>
      <c r="AH99" s="15" t="str">
        <f>IF(AND(AF99&lt;&gt;"",AG99&lt;&gt;""),ROUND(AF99,3)+ROUND(AH98,3)-ROUND(AG99,3),IF(AND(EXACT(UPPER(AE99),"TBM"),AF99&lt;&gt;""),ROUND(AF99,3),IF(AF99="",AH98,IF(ISNA(VLOOKUP(AE99,A6:E105,5,FALSE)),IF(ISNA(VLOOKUP(AE99,G6:K105,5,FALSE)),IF(ISNA(VLOOKUP(AE99,M6:Q105,5,FALSE)),IF(ISNA(VLOOKUP(AE99,S6:W105,5,FALSE)),IF(ISNA(VLOOKUP(AE99,Y6:AC105,5,FALSE)),IF(ISNA(VLOOKUP(AE99,AE6:AI98,5,FALSE)),"",ROUND(VLOOKUP(AE99,AE6:AI98,5,FALSE),0)/1000+ROUND(AF99,3)),ROUND(VLOOKUP(AE99,Y6:AC105,5,FALSE),0)/1000+ROUND(AF99,3)),ROUND(VLOOKUP(AE99,S6:W105,5,FALSE),0)/1000+ROUND(AF99,3)),ROUND(VLOOKUP(AE99,M6:Q105,5,FALSE),0)/1000+ROUND(AF99,3)),ROUND(VLOOKUP(AE99,G6:K105,5,FALSE),0)/1000+ROUND(AF99,3)),ROUND(VLOOKUP(AE99,A6:E105,5,FALSE),0)/1000+ROUND(AF99,3)))))</f>
        <v/>
      </c>
      <c r="AI99" s="18" t="str">
        <f>IF(OR(NOT(EXACT(UPPER(AE99),"TBM")),AF99=""),IF(AND(AF99&lt;&gt;"",AG99="",AH99&lt;&gt;""),"",IF(AND(AF99="",AG99&lt;&gt;"",AH99&lt;&gt;""),ROUND(ROUND(AH99,3)-ROUND(AG99,3),3)*1000,IF(AND(AF99&lt;&gt;"",AG99&lt;&gt;"",AH99&lt;&gt;""),ROUND(ROUND(AH98,3)-ROUND(AG99,3),3)*1000,""))),"")</f>
        <v/>
      </c>
      <c r="AJ99" s="45" t="str">
        <f>IF(AND(NOT(ISNA(VLOOKUP(AE99,A6:E105,5,FALSE))),AF99="",AG99&lt;&gt;""),ROUND((VLOOKUP(AE99,A6:E105,5,FALSE)-AI99)/1000,3),IF(AND(NOT(ISNA(VLOOKUP(AE99,G6:K105,5,FALSE))),AF99="",AG99&lt;&gt;""),ROUND((VLOOKUP(AE99,G6:K105,5,FALSE)-AI99)/1000,3),IF(AND(NOT(ISNA(VLOOKUP(AE99,M6:Q105,5,FALSE))),AF99="",AG99&lt;&gt;""),ROUND((VLOOKUP(AE99,M6:Q105,5,FALSE)-AI99)/1000,3),IF(AND(NOT(ISNA(VLOOKUP(AE99,S6:W105,5,FALSE))),AF99="",AG99&lt;&gt;""),ROUND((VLOOKUP(AE99,S6:W105,5,FALSE)-AI99)/1000,3),IF(AND(NOT(ISNA(VLOOKUP(AE99,Y6:AC105,5,FALSE))),AF99="",AG99&lt;&gt;""),ROUND((VLOOKUP(AE99,Y6:AC105,5,FALSE)-AI99)/1000,3),IF(AND(NOT(ISNA(VLOOKUP(AE99,AE6:AI98,5,FALSE))),AF99="",AG99&lt;&gt;""),ROUND((VLOOKUP(AE99,AE6:AI98,5,FALSE)-AI99)/1000,3),""))))))</f>
        <v/>
      </c>
      <c r="AK99" s="19">
        <f>IF(AK98="","",AK98+1)</f>
        <v>693</v>
      </c>
      <c r="AL99" s="39"/>
      <c r="AM99" s="39"/>
      <c r="AN99" s="15" t="str">
        <f>IF(AND(AL99&lt;&gt;"",AM99&lt;&gt;""),ROUND(AL99,3)+ROUND(AN98,3)-ROUND(AM99,3),IF(AND(EXACT(UPPER(AK99),"TBM"),AL99&lt;&gt;""),ROUND(AL99,3),IF(AL99="",AN98,IF(ISNA(VLOOKUP(AK99,A6:E105,5,FALSE)),IF(ISNA(VLOOKUP(AK99,G6:K105,5,FALSE)),IF(ISNA(VLOOKUP(AK99,M6:Q105,5,FALSE)),IF(ISNA(VLOOKUP(AK99,S6:W105,5,FALSE)),IF(ISNA(VLOOKUP(AK99,Y6:AC105,5,FALSE)),IF(ISNA(VLOOKUP(AK99,AE6:AI105,5,FALSE)),IF(ISNA(VLOOKUP(AK99,AK6:AO98,5,FALSE)),"",ROUND(VLOOKUP(AK99,AK6:AO98,5,FALSE),0)/1000+ROUND(AL99,3)),ROUND(VLOOKUP(AK99,AE6:AI105,5,FALSE),0)/1000+ROUND(AL99,3)),ROUND(VLOOKUP(AK99,Y6:AC105,5,FALSE),0)/1000+ROUND(AL99,3)),ROUND(VLOOKUP(AK99,S6:W105,5,FALSE),0)/1000+ROUND(AL99,3)),ROUND(VLOOKUP(AK99,M6:Q105,5,FALSE),0)/1000+ROUND(AL99,3)),ROUND(VLOOKUP(AK99,G6:K105,5,FALSE),0)/1000+ROUND(AL99,3)),ROUND(VLOOKUP(AK99,A6:E105,5,FALSE),0)/1000+ROUND(AL99,3)))))</f>
        <v/>
      </c>
      <c r="AO99" s="18" t="str">
        <f>IF(OR(NOT(EXACT(UPPER(AK99),"TBM")),AL99=""),IF(AND(AL99&lt;&gt;"",AM99="",AN99&lt;&gt;""),"",IF(AND(AL99="",AM99&lt;&gt;"",AN99&lt;&gt;""),ROUND(ROUND(AN99,3)-ROUND(AM99,3),3)*1000,IF(AND(AL99&lt;&gt;"",AM99&lt;&gt;"",AN99&lt;&gt;""),ROUND(ROUND(AN98,3)-ROUND(AM99,3),3)*1000,""))),"")</f>
        <v/>
      </c>
      <c r="AP99" s="45" t="str">
        <f>IF(AND(NOT(ISNA(VLOOKUP(AK99,A6:E105,5,FALSE))),AL99="",AM99&lt;&gt;""),ROUND((VLOOKUP(AK99,A6:E105,5,FALSE)-AO99)/1000,3),IF(AND(NOT(ISNA(VLOOKUP(AK99,G6:K105,5,FALSE))),AL99="",AM99&lt;&gt;""),ROUND((VLOOKUP(AK99,G6:K105,5,FALSE)-AO99)/1000,3),IF(AND(NOT(ISNA(VLOOKUP(AK99,M6:Q105,5,FALSE))),AL99="",AM99&lt;&gt;""),ROUND((VLOOKUP(AK99,M6:Q105,5,FALSE)-AO99)/1000,3),IF(AND(NOT(ISNA(VLOOKUP(AK99,S6:W105,5,FALSE))),AL99="",AM99&lt;&gt;""),ROUND((VLOOKUP(AK99,S6:W105,5,FALSE)-AO99)/1000,3),IF(AND(NOT(ISNA(VLOOKUP(AK99,Y6:AC105,5,FALSE))),AL99="",AM99&lt;&gt;""),ROUND((VLOOKUP(AK99,Y6:AC105,5,FALSE)-AO99)/1000,3),IF(AND(NOT(ISNA(VLOOKUP(AK99,AE6:AI105,5,FALSE))),AL99="",AM99&lt;&gt;""),ROUND((VLOOKUP(AK99,AE6:AI105,5,FALSE)-AO99)/1000,3),IF(AND(NOT(ISNA(VLOOKUP(AK99,AK6:AO98,5,FALSE))),AL99="",AM99&lt;&gt;""),ROUND((VLOOKUP(AK99,AK6:AO98,5,FALSE)-AO99)/1000,3),"")))))))</f>
        <v/>
      </c>
      <c r="AQ99" s="19">
        <f>IF(AQ98="","",AQ98+1)</f>
        <v>793</v>
      </c>
      <c r="AR99" s="39"/>
      <c r="AS99" s="39"/>
      <c r="AT99" s="15" t="str">
        <f>IF(AND(AR99&lt;&gt;"",AS99&lt;&gt;""),ROUND(AR99,3)+ROUND(AT98,3)-ROUND(AS99,3),IF(AND(EXACT(UPPER(AQ99),"TBM"),AR99&lt;&gt;""),ROUND(AR99,3),IF(AR99="",AT98,IF(ISNA(VLOOKUP(AQ99,A6:E105,5,FALSE)),IF(ISNA(VLOOKUP(AQ99,G6:K105,5,FALSE)),IF(ISNA(VLOOKUP(AQ99,M6:Q105,5,FALSE)),IF(ISNA(VLOOKUP(AQ99,S6:W105,5,FALSE)),IF(ISNA(VLOOKUP(AQ99,Y6:AC105,5,FALSE)),IF(ISNA(VLOOKUP(AQ99,AE6:AI105,5,FALSE)),IF(ISNA(VLOOKUP(AQ99,AK6:AO105,5,FALSE)),IF(ISNA(VLOOKUP(AQ99,AQ6:AU98,5,FALSE)),"",ROUND(VLOOKUP(AQ99,AQ6:AU98,5,FALSE),0)/1000+ROUND(AR99,3)),ROUND(VLOOKUP(AQ99,AK6:AO105,5,FALSE),0)/1000+ROUND(AR99,3)),ROUND(VLOOKUP(AQ99,AE6:AI105,5,FALSE),0)/1000+ROUND(AR99,3)),ROUND(VLOOKUP(AQ99,Y6:AC105,5,FALSE),0)/1000+ROUND(AR99,3)),ROUND(VLOOKUP(AQ99,S6:W105,5,FALSE),0)/1000+ROUND(AR99,3)),ROUND(VLOOKUP(AQ99,M6:Q105,5,FALSE),0)/1000+ROUND(AR99,3)),ROUND(VLOOKUP(AQ99,G6:K105,5,FALSE),0)/1000+ROUND(AR99,3)),ROUND(VLOOKUP(AQ99,A6:E105,5,FALSE),0)/1000+ROUND(AR99,3)))))</f>
        <v/>
      </c>
      <c r="AU99" s="18" t="str">
        <f>IF(OR(NOT(EXACT(UPPER(AQ99),"TBM")),AR99=""),IF(AND(AR99&lt;&gt;"",AS99="",AT99&lt;&gt;""),"",IF(AND(AR99="",AS99&lt;&gt;"",AT99&lt;&gt;""),ROUND(ROUND(AT99,3)-ROUND(AS99,3),3)*1000,IF(AND(AR99&lt;&gt;"",AS99&lt;&gt;"",AT99&lt;&gt;""),ROUND(ROUND(AT98,3)-ROUND(AS99,3),3)*1000,""))),"")</f>
        <v/>
      </c>
      <c r="AV99" s="45" t="str">
        <f>IF(AND(NOT(ISNA(VLOOKUP(AQ99,A6:E105,5,FALSE))),AR99="",AS99&lt;&gt;""),ROUND((VLOOKUP(AQ99,A6:E105,5,FALSE)-AU99)/1000,3),IF(AND(NOT(ISNA(VLOOKUP(AQ99,G6:K105,5,FALSE))),AR99="",AS99&lt;&gt;""),ROUND((VLOOKUP(AQ99,G6:K105,5,FALSE)-AU99)/1000,3),IF(AND(NOT(ISNA(VLOOKUP(AQ99,M6:Q105,5,FALSE))),AR99="",AS99&lt;&gt;""),ROUND((VLOOKUP(AQ99,M6:Q105,5,FALSE)-AU99)/1000,3),IF(AND(NOT(ISNA(VLOOKUP(AQ99,S6:W105,5,FALSE))),AR99="",AS99&lt;&gt;""),ROUND((VLOOKUP(AQ99,S6:W105,5,FALSE)-AU99)/1000,3),IF(AND(NOT(ISNA(VLOOKUP(AQ99,Y6:AC105,5,FALSE))),AR99="",AS99&lt;&gt;""),ROUND((VLOOKUP(AQ99,Y6:AC105,5,FALSE)-AU99)/1000,3),IF(AND(NOT(ISNA(VLOOKUP(AQ99,AE6:AI105,5,FALSE))),AR99="",AS99&lt;&gt;""),ROUND((VLOOKUP(AQ99,AE6:AI105,5,FALSE)-AU99)/1000,3),IF(AND(NOT(ISNA(VLOOKUP(AQ99,AK6:AO105,5,FALSE))),AR99="",AS99&lt;&gt;""),ROUND((VLOOKUP(AQ99,AK6:AO105,5,FALSE)-AU99)/1000,3),IF(AND(NOT(ISNA(VLOOKUP(AQ99,AQ6:AU98,5,FALSE))),AR99="",AS99&lt;&gt;""),ROUND((VLOOKUP(AQ99,AQ6:AU98,5,FALSE)-AU99)/1000,3),""))))))))</f>
        <v/>
      </c>
      <c r="AW99" s="19">
        <f>IF(AW98="","",AW98+1)</f>
        <v>893</v>
      </c>
      <c r="AX99" s="39"/>
      <c r="AY99" s="39"/>
      <c r="AZ99" s="15" t="str">
        <f>IF(AND(AX99&lt;&gt;"",AY99&lt;&gt;""),ROUND(AX99,3)+ROUND(AZ98,3)-ROUND(AY99,3),IF(AND(EXACT(UPPER(AW99),"TBM"),AX99&lt;&gt;""),ROUND(AX99,3),IF(AX99="",AZ98,IF(ISNA(VLOOKUP(AW99,A6:E105,5,FALSE)),IF(ISNA(VLOOKUP(AW99,G6:K105,5,FALSE)),IF(ISNA(VLOOKUP(AW99,M6:Q105,5,FALSE)),IF(ISNA(VLOOKUP(AW99,S6:W105,5,FALSE)),IF(ISNA(VLOOKUP(AW99,Y6:AC105,5,FALSE)),IF(ISNA(VLOOKUP(AW99,AE6:AI105,5,FALSE)),IF(ISNA(VLOOKUP(AW99,AK6:AO105,5,FALSE)),IF(ISNA(VLOOKUP(AW99,AQ6:AU105,5,FALSE)),IF(ISNA(VLOOKUP(AW99,AW6:BA98,5,FALSE)),"",ROUND(VLOOKUP(AW99,AW6:BA98,5,FALSE),0)/1000+ROUND(AX99,3)),ROUND(VLOOKUP(AW99,AQ6:AU105,5,FALSE),0)/1000+ROUND(AX99,3)),ROUND(VLOOKUP(AW99,AK6:AO105,5,FALSE),0)/1000+ROUND(AX99,3)),ROUND(VLOOKUP(AW99,AE6:AI105,5,FALSE),0)/1000+ROUND(AX99,3)),ROUND(VLOOKUP(AW99,Y6:AC105,5,FALSE),0)/1000+ROUND(AX99,3)),ROUND(VLOOKUP(AW99,S6:W105,5,FALSE),0)/1000+ROUND(AX99,3)),ROUND(VLOOKUP(AW99,M6:Q105,5,FALSE),0)/1000+ROUND(AX99,3)),ROUND(VLOOKUP(AW99,G6:K105,5,FALSE),0)/1000+ROUND(AX99,3)),ROUND(VLOOKUP(AW99,A6:E105,5,FALSE),0)/1000+ROUND(AX99,3)))))</f>
        <v/>
      </c>
      <c r="BA99" s="18" t="str">
        <f>IF(OR(NOT(EXACT(UPPER(AW99),"TBM")),AX99=""),IF(AND(AX99&lt;&gt;"",AY99="",AZ99&lt;&gt;""),"",IF(AND(AX99="",AY99&lt;&gt;"",AZ99&lt;&gt;""),ROUND(ROUND(AZ99,3)-ROUND(AY99,3),3)*1000,IF(AND(AX99&lt;&gt;"",AY99&lt;&gt;"",AZ99&lt;&gt;""),ROUND(ROUND(AZ98,3)-ROUND(AY99,3),3)*1000,""))),"")</f>
        <v/>
      </c>
      <c r="BB99" s="45" t="str">
        <f>IF(AND(NOT(ISNA(VLOOKUP(AW99,A6:E105,5,FALSE))),AX99="",AY99&lt;&gt;""),ROUND((VLOOKUP(AW99,A6:E105,5,FALSE)-BA99)/1000,3),IF(AND(NOT(ISNA(VLOOKUP(AW99,G6:K105,5,FALSE))),AX99="",AY99&lt;&gt;""),ROUND((VLOOKUP(AW99,G6:K105,5,FALSE)-BA99)/1000,3),IF(AND(NOT(ISNA(VLOOKUP(AW99,M6:Q105,5,FALSE))),AX99="",AY99&lt;&gt;""),ROUND((VLOOKUP(AW99,M6:Q105,5,FALSE)-BA99)/1000,3),IF(AND(NOT(ISNA(VLOOKUP(AW99,S6:W105,5,FALSE))),AX99="",AY99&lt;&gt;""),ROUND((VLOOKUP(AW99,S6:W105,5,FALSE)-BA99)/1000,3),IF(AND(NOT(ISNA(VLOOKUP(AW99,Y6:AC105,5,FALSE))),AX99="",AY99&lt;&gt;""),ROUND((VLOOKUP(AW99,Y6:AC105,5,FALSE)-BA99)/1000,3),IF(AND(NOT(ISNA(VLOOKUP(AW99,AE6:AI105,5,FALSE))),AX99="",AY99&lt;&gt;""),ROUND((VLOOKUP(AW99,AE6:AI105,5,FALSE)-BA99)/1000,3),IF(AND(NOT(ISNA(VLOOKUP(AW99,AK6:AO105,5,FALSE))),AX99="",AY99&lt;&gt;""),ROUND((VLOOKUP(AW99,AK6:AO105,5,FALSE)-BA99)/1000,3),IF(AND(NOT(ISNA(VLOOKUP(AW99,AQ6:AU105,5,FALSE))),AX99="",AY99&lt;&gt;""),ROUND((VLOOKUP(AW99,AQ6:AU105,5,FALSE)-BA99)/1000,3),IF(AND(NOT(ISNA(VLOOKUP(AW99,AW6:BA98,5,FALSE))),AX99="",AY99&lt;&gt;""),ROUND((VLOOKUP(AW99,AW6:BA98,5,FALSE)-BA99)/1000,3),"")))))))))</f>
        <v/>
      </c>
      <c r="BC99" s="19">
        <f>IF(BC98="","",BC98+1)</f>
        <v>993</v>
      </c>
      <c r="BD99" s="39"/>
      <c r="BE99" s="39"/>
      <c r="BF99" s="15" t="str">
        <f>IF(AND(BD99&lt;&gt;"",BE99&lt;&gt;""),ROUND(BD99,3)+ROUND(BF98,3)-ROUND(BE99,3),IF(AND(EXACT(UPPER(BC99),"TBM"),BD99&lt;&gt;""),ROUND(BD99,3),IF(BD99="",BF98,IF(ISNA(VLOOKUP(BC99,A6:E105,5,FALSE)),IF(ISNA(VLOOKUP(BC99,G6:K105,5,FALSE)),IF(ISNA(VLOOKUP(BC99,M6:Q105,5,FALSE)),IF(ISNA(VLOOKUP(BC99,S6:W105,5,FALSE)),IF(ISNA(VLOOKUP(BC99,Y6:AC105,5,FALSE)),IF(ISNA(VLOOKUP(BC99,AE6:AI105,5,FALSE)),IF(ISNA(VLOOKUP(BC99,AK6:AO105,5,FALSE)),IF(ISNA(VLOOKUP(BC99,AQ6:AU105,5,FALSE)),IF(ISNA(VLOOKUP(BC99,AW6:BA105,5,FALSE)),IF(ISNA(VLOOKUP(BC99,BC6:BG98,5,FALSE)),"",ROUND(VLOOKUP(BC99,BC6:BG98,5,FALSE),0)/1000+ROUND(BD99,3)),ROUND(VLOOKUP(BC99,AW6:BA105,5,FALSE),0)/1000+ROUND(BD99,3)),ROUND(VLOOKUP(BC99,AQ6:AU105,5,FALSE),0)/1000+ROUND(BD99,3)),ROUND(VLOOKUP(BC99,AK6:AO105,5,FALSE),0)/1000+ROUND(BD99,3)),ROUND(VLOOKUP(BC99,AE6:AI105,5,FALSE),0)/1000+ROUND(BD99,3)),ROUND(VLOOKUP(BC99,Y6:AC105,5,FALSE),0)/1000+ROUND(BD99,3)),ROUND(VLOOKUP(BC99,S6:W105,5,FALSE),0)/1000+ROUND(BD99,3)),ROUND(VLOOKUP(BC99,M6:Q105,5,FALSE),0)/1000+ROUND(BD99,3)),ROUND(VLOOKUP(BC99,G6:K105,5,FALSE),0)/1000+ROUND(BD99,3)),ROUND(VLOOKUP(BC99,A6:E105,5,FALSE),0)/1000+ROUND(BD99,3)))))</f>
        <v/>
      </c>
      <c r="BG99" s="18" t="str">
        <f>IF(OR(NOT(EXACT(UPPER(BC99),"TBM")),BD99=""),IF(AND(BD99&lt;&gt;"",BE99="",BF99&lt;&gt;""),"",IF(AND(BD99="",BE99&lt;&gt;"",BF99&lt;&gt;""),ROUND(ROUND(BF99,3)-ROUND(BE99,3),3)*1000,IF(AND(BD99&lt;&gt;"",BE99&lt;&gt;"",BF99&lt;&gt;""),ROUND(ROUND(BF98,3)-ROUND(BE99,3),3)*1000,""))),"")</f>
        <v/>
      </c>
      <c r="BH99" s="45" t="str">
        <f>IF(AND(NOT(ISNA(VLOOKUP(BC99,A6:E105,5,FALSE))),BD99="",BE99&lt;&gt;""),ROUND((VLOOKUP(BC99,A6:E105,5,FALSE)-BG99)/1000,3),IF(AND(NOT(ISNA(VLOOKUP(BC99,G6:K105,5,FALSE))),BD99="",BE99&lt;&gt;""),ROUND((VLOOKUP(BC99,G6:K105,5,FALSE)-BG99)/1000,3),IF(AND(NOT(ISNA(VLOOKUP(BC99,M6:Q105,5,FALSE))),BD99="",BE99&lt;&gt;""),ROUND((VLOOKUP(BC99,M6:Q105,5,FALSE)-BG99)/1000,3),IF(AND(NOT(ISNA(VLOOKUP(BC99,S6:W105,5,FALSE))),BD99="",BE99&lt;&gt;""),ROUND((VLOOKUP(BC99,S6:W105,5,FALSE)-BG99)/1000,3),IF(AND(NOT(ISNA(VLOOKUP(BC99,Y6:AC105,5,FALSE))),BD99="",BE99&lt;&gt;""),ROUND((VLOOKUP(BC99,Y6:AC105,5,FALSE)-BG99)/1000,3),IF(AND(NOT(ISNA(VLOOKUP(BC99,AE6:AI105,5,FALSE))),BD99="",BE99&lt;&gt;""),ROUND((VLOOKUP(BC99,AE6:AI105,5,FALSE)-BG99)/1000,3),IF(AND(NOT(ISNA(VLOOKUP(BC99,AK6:AO105,5,FALSE))),BD99="",BE99&lt;&gt;""),ROUND((VLOOKUP(BC99,AK6:AO105,5,FALSE)-BG99)/1000,3),IF(AND(NOT(ISNA(VLOOKUP(BC99,AQ6:AU105,5,FALSE))),BD99="",BE99&lt;&gt;""),ROUND((VLOOKUP(BC99,AQ6:AU105,5,FALSE)-BG99)/1000,3),IF(AND(NOT(ISNA(VLOOKUP(BC99,AW6:BA105,5,FALSE))),BD99="",BE99&lt;&gt;""),ROUND((VLOOKUP(BC99,AW6:BA105,5,FALSE)-BG99)/1000,3),IF(AND(NOT(ISNA(VLOOKUP(BC99,BC6:BG98,5,FALSE))),BD99="",BE99&lt;&gt;""),ROUND((VLOOKUP(BC99,BC6:BG98,5,FALSE)-BG99)/1000,3),""))))))))))</f>
        <v/>
      </c>
    </row>
    <row r="100" spans="1:60" x14ac:dyDescent="0.25">
      <c r="A100" s="67">
        <f t="shared" si="9"/>
        <v>94</v>
      </c>
      <c r="B100" s="40"/>
      <c r="C100" s="40"/>
      <c r="D100" s="62" t="str">
        <f>IF(AND(B100&lt;&gt;"",C100&lt;&gt;""),ROUND(B100,3)+ROUND(D99,3)-ROUND(C100,3),IF(AND(EXACT(UPPER(A100),"TBM"),B100&lt;&gt;""),ROUND(B100,3),IF(B100="",D99,IF(ISNA(VLOOKUP(A100,A6:E99,5,FALSE)),"",ROUND(VLOOKUP(A100,A6:E99,5,FALSE),0)/1000+ROUND(B100,3)))))</f>
        <v/>
      </c>
      <c r="E100" s="20" t="str">
        <f t="shared" si="6"/>
        <v/>
      </c>
      <c r="F100" s="46" t="str">
        <f>IF(AND(NOT(ISNA(VLOOKUP(A100,A6:E99,5,FALSE))),B100="",C100&lt;&gt;""),ROUND((VLOOKUP(A100,A6:E99,5,FALSE)-E100)/1000,3),"")</f>
        <v/>
      </c>
      <c r="G100" s="67">
        <f t="shared" si="7"/>
        <v>194</v>
      </c>
      <c r="H100" s="40"/>
      <c r="I100" s="40"/>
      <c r="J100" s="62" t="str">
        <f>IF(AND(H100&lt;&gt;"",I100&lt;&gt;""),ROUND(H100,3)+ROUND(J99,3)-ROUND(I100,3),IF(AND(EXACT(UPPER(G100),"TBM"),H100&lt;&gt;""),ROUND(H100,3),IF(H100="",J99,IF(ISNA(VLOOKUP(G100,A6:E105,5,FALSE)),IF(ISNA(VLOOKUP(G100,G6:K99,5,FALSE)),"",ROUND(VLOOKUP(G100,G6:K99,5,FALSE),0)/1000+ROUND(H100,3)),ROUND(VLOOKUP(G100,A6:E105,5,FALSE),0)/1000+ROUND(H100,3)))))</f>
        <v/>
      </c>
      <c r="K100" s="63" t="str">
        <f t="shared" si="8"/>
        <v/>
      </c>
      <c r="L100" s="46" t="str">
        <f>IF(AND(NOT(ISNA(VLOOKUP(G100,A6:E105,5,FALSE))),H100="",I100&lt;&gt;""),ROUND((VLOOKUP(G100,A6:E105,5,FALSE)-K100)/1000,3),IF(AND(NOT(ISNA(VLOOKUP(G100,G6:K99,5,FALSE))),H100="",I100&lt;&gt;""),ROUND((VLOOKUP(G100,G6:K99,5,FALSE)-K100)/1000,3),""))</f>
        <v/>
      </c>
      <c r="M100" s="67">
        <f>IF(M99="","",M99+1)</f>
        <v>294</v>
      </c>
      <c r="N100" s="40"/>
      <c r="O100" s="40"/>
      <c r="P100" s="62" t="str">
        <f>IF(AND(N100&lt;&gt;"",O100&lt;&gt;""),ROUND(N100,3)+ROUND(P99,3)-ROUND(O100,3),IF(AND(EXACT(UPPER(M100),"TBM"),N100&lt;&gt;""),ROUND(N100,3),IF(N100="",P99,IF(ISNA(VLOOKUP(M100,A6:E105,5,FALSE)),IF(ISNA(VLOOKUP(M100,G6:K105,5,FALSE)),IF(ISNA(VLOOKUP(M100,M6:Q99,5,FALSE)),"",ROUND(VLOOKUP(M100,M6:Q99,5,FALSE),0)/1000+ROUND(N100,3)),ROUND(VLOOKUP(M100,G6:K105,5,FALSE),0)/1000+ROUND(N100,3)),ROUND(VLOOKUP(M100,A6:E105,5,FALSE),0)/1000+ROUND(N100,3)))))</f>
        <v/>
      </c>
      <c r="Q100" s="63" t="str">
        <f>IF(OR(NOT(EXACT(UPPER(M100),"TBM")),N100=""),IF(AND(N100&lt;&gt;"",O100="",P100&lt;&gt;""),"",IF(AND(N100="",O100&lt;&gt;"",P100&lt;&gt;""),ROUND(ROUND(P100,3)-ROUND(O100,3),3)*1000,IF(AND(N100&lt;&gt;"",O100&lt;&gt;"",P100&lt;&gt;""),ROUND(ROUND(P99,3)-ROUND(O100,3),3)*1000,""))),"")</f>
        <v/>
      </c>
      <c r="R100" s="46" t="str">
        <f>IF(AND(NOT(ISNA(VLOOKUP(M100,A6:E105,5,FALSE))),N100="",O100&lt;&gt;""),ROUND((VLOOKUP(M100,A6:E105,5,FALSE)-Q100)/1000,3),IF(AND(NOT(ISNA(VLOOKUP(M100,G6:K105,5,FALSE))),N100="",O100&lt;&gt;""),ROUND((VLOOKUP(M100,G6:K105,5,FALSE)-Q100)/1000,3),IF(AND(NOT(ISNA(VLOOKUP(M100,M6:Q99,5,FALSE))),N100="",O100&lt;&gt;""),ROUND((VLOOKUP(M100,M6:Q99,5,FALSE)-Q100)/1000,3),"")))</f>
        <v/>
      </c>
      <c r="S100" s="67">
        <f>IF(S99="","",S99+1)</f>
        <v>394</v>
      </c>
      <c r="T100" s="40"/>
      <c r="U100" s="40"/>
      <c r="V100" s="62" t="str">
        <f>IF(AND(T100&lt;&gt;"",U100&lt;&gt;""),ROUND(T100,3)+ROUND(V99,3)-ROUND(U100,3),IF(AND(EXACT(UPPER(S100),"TBM"),T100&lt;&gt;""),ROUND(T100,3),IF(T100="",V99,IF(ISNA(VLOOKUP(S100,A6:E105,5,FALSE)),IF(ISNA(VLOOKUP(S100,G6:K105,5,FALSE)),IF(ISNA(VLOOKUP(S100,M6:Q105,5,FALSE)),IF(ISNA(VLOOKUP(S100,S6:W99,5,FALSE)),"",ROUND(VLOOKUP(S100,S6:W99,5,FALSE),0)/1000+ROUND(T100,3)),ROUND(VLOOKUP(S100,M6:Q105,5,FALSE),0)/1000+ROUND(T100,3)),ROUND(VLOOKUP(S100,G6:K105,5,FALSE),0)/1000+ROUND(T100,3)),ROUND(VLOOKUP(S100,A6:E105,5,FALSE),0)/1000+ROUND(T100,3)))))</f>
        <v/>
      </c>
      <c r="W100" s="63" t="str">
        <f>IF(OR(NOT(EXACT(UPPER(S100),"TBM")),T100=""),IF(AND(T100&lt;&gt;"",U100="",V100&lt;&gt;""),"",IF(AND(T100="",U100&lt;&gt;"",V100&lt;&gt;""),ROUND(ROUND(V100,3)-ROUND(U100,3),3)*1000,IF(AND(T100&lt;&gt;"",U100&lt;&gt;"",V100&lt;&gt;""),ROUND(ROUND(V99,3)-ROUND(U100,3),3)*1000,""))),"")</f>
        <v/>
      </c>
      <c r="X100" s="46" t="str">
        <f>IF(AND(NOT(ISNA(VLOOKUP(S100,A6:E105,5,FALSE))),T100="",U100&lt;&gt;""),ROUND((VLOOKUP(S100,A6:E105,5,FALSE)-W100)/1000,3),IF(AND(NOT(ISNA(VLOOKUP(S100,G6:K105,5,FALSE))),T100="",U100&lt;&gt;""),ROUND((VLOOKUP(S100,G6:K105,5,FALSE)-W100)/1000,3),IF(AND(NOT(ISNA(VLOOKUP(S100,M6:Q105,5,FALSE))),T100="",U100&lt;&gt;""),ROUND((VLOOKUP(S100,M6:Q105,5,FALSE)-W100)/1000,3),IF(AND(NOT(ISNA(VLOOKUP(S100,S6:W99,5,FALSE))),T100="",U100&lt;&gt;""),ROUND((VLOOKUP(S100,S6:W99,5,FALSE)-W100)/1000,3),""))))</f>
        <v/>
      </c>
      <c r="Y100" s="67">
        <f>IF(Y99="","",Y99+1)</f>
        <v>494</v>
      </c>
      <c r="Z100" s="40"/>
      <c r="AA100" s="40"/>
      <c r="AB100" s="62" t="str">
        <f>IF(AND(Z100&lt;&gt;"",AA100&lt;&gt;""),ROUND(Z100,3)+ROUND(AB99,3)-ROUND(AA100,3),IF(AND(EXACT(UPPER(Y100),"TBM"),Z100&lt;&gt;""),ROUND(Z100,3),IF(Z100="",AB99,IF(ISNA(VLOOKUP(Y100,A6:E105,5,FALSE)),IF(ISNA(VLOOKUP(Y100,G6:K105,5,FALSE)),IF(ISNA(VLOOKUP(Y100,M6:Q105,5,FALSE)),IF(ISNA(VLOOKUP(Y100,S6:W105,5,FALSE)),IF(ISNA(VLOOKUP(Y100,Y6:AC99,5,FALSE)),"",ROUND(VLOOKUP(Y100,Y6:AC99,5,FALSE),0)/1000+ROUND(Z100,3)),ROUND(VLOOKUP(Y100,S6:W105,5,FALSE),0)/1000+ROUND(Z100,3)),ROUND(VLOOKUP(Y100,M6:Q105,5,FALSE),0)/1000+ROUND(Z100,3)),ROUND(VLOOKUP(Y100,G6:K105,5,FALSE),0)/1000+ROUND(Z100,3)),ROUND(VLOOKUP(Y100,A6:E105,5,FALSE),0)/1000+ROUND(Z100,3)))))</f>
        <v/>
      </c>
      <c r="AC100" s="63" t="str">
        <f>IF(OR(NOT(EXACT(UPPER(Y100),"TBM")),Z100=""),IF(AND(Z100&lt;&gt;"",AA100="",AB100&lt;&gt;""),"",IF(AND(Z100="",AA100&lt;&gt;"",AB100&lt;&gt;""),ROUND(ROUND(AB100,3)-ROUND(AA100,3),3)*1000,IF(AND(Z100&lt;&gt;"",AA100&lt;&gt;"",AB100&lt;&gt;""),ROUND(ROUND(AB99,3)-ROUND(AA100,3),3)*1000,""))),"")</f>
        <v/>
      </c>
      <c r="AD100" s="46" t="str">
        <f>IF(AND(NOT(ISNA(VLOOKUP(Y100,A6:E105,5,FALSE))),Z100="",AA100&lt;&gt;""),ROUND((VLOOKUP(Y100,A6:E105,5,FALSE)-AC100)/1000,3),IF(AND(NOT(ISNA(VLOOKUP(Y100,G6:K105,5,FALSE))),Z100="",AA100&lt;&gt;""),ROUND((VLOOKUP(Y100,G6:K105,5,FALSE)-AC100)/1000,3),IF(AND(NOT(ISNA(VLOOKUP(Y100,M6:Q105,5,FALSE))),Z100="",AA100&lt;&gt;""),ROUND((VLOOKUP(Y100,M6:Q105,5,FALSE)-AC100)/1000,3),IF(AND(NOT(ISNA(VLOOKUP(Y100,S6:W105,5,FALSE))),Z100="",AA100&lt;&gt;""),ROUND((VLOOKUP(Y100,S6:W105,5,FALSE)-AC100)/1000,3),IF(AND(NOT(ISNA(VLOOKUP(Y100,Y6:AC99,5,FALSE))),Z100="",AA100&lt;&gt;""),ROUND((VLOOKUP(Y100,Y6:AC99,5,FALSE)-AC100)/1000,3),"")))))</f>
        <v/>
      </c>
      <c r="AE100" s="67">
        <f>IF(AE99="","",AE99+1)</f>
        <v>594</v>
      </c>
      <c r="AF100" s="40"/>
      <c r="AG100" s="40"/>
      <c r="AH100" s="62" t="str">
        <f>IF(AND(AF100&lt;&gt;"",AG100&lt;&gt;""),ROUND(AF100,3)+ROUND(AH99,3)-ROUND(AG100,3),IF(AND(EXACT(UPPER(AE100),"TBM"),AF100&lt;&gt;""),ROUND(AF100,3),IF(AF100="",AH99,IF(ISNA(VLOOKUP(AE100,A6:E105,5,FALSE)),IF(ISNA(VLOOKUP(AE100,G6:K105,5,FALSE)),IF(ISNA(VLOOKUP(AE100,M6:Q105,5,FALSE)),IF(ISNA(VLOOKUP(AE100,S6:W105,5,FALSE)),IF(ISNA(VLOOKUP(AE100,Y6:AC105,5,FALSE)),IF(ISNA(VLOOKUP(AE100,AE6:AI99,5,FALSE)),"",ROUND(VLOOKUP(AE100,AE6:AI99,5,FALSE),0)/1000+ROUND(AF100,3)),ROUND(VLOOKUP(AE100,Y6:AC105,5,FALSE),0)/1000+ROUND(AF100,3)),ROUND(VLOOKUP(AE100,S6:W105,5,FALSE),0)/1000+ROUND(AF100,3)),ROUND(VLOOKUP(AE100,M6:Q105,5,FALSE),0)/1000+ROUND(AF100,3)),ROUND(VLOOKUP(AE100,G6:K105,5,FALSE),0)/1000+ROUND(AF100,3)),ROUND(VLOOKUP(AE100,A6:E105,5,FALSE),0)/1000+ROUND(AF100,3)))))</f>
        <v/>
      </c>
      <c r="AI100" s="63" t="str">
        <f>IF(OR(NOT(EXACT(UPPER(AE100),"TBM")),AF100=""),IF(AND(AF100&lt;&gt;"",AG100="",AH100&lt;&gt;""),"",IF(AND(AF100="",AG100&lt;&gt;"",AH100&lt;&gt;""),ROUND(ROUND(AH100,3)-ROUND(AG100,3),3)*1000,IF(AND(AF100&lt;&gt;"",AG100&lt;&gt;"",AH100&lt;&gt;""),ROUND(ROUND(AH99,3)-ROUND(AG100,3),3)*1000,""))),"")</f>
        <v/>
      </c>
      <c r="AJ100" s="46" t="str">
        <f>IF(AND(NOT(ISNA(VLOOKUP(AE100,A6:E105,5,FALSE))),AF100="",AG100&lt;&gt;""),ROUND((VLOOKUP(AE100,A6:E105,5,FALSE)-AI100)/1000,3),IF(AND(NOT(ISNA(VLOOKUP(AE100,G6:K105,5,FALSE))),AF100="",AG100&lt;&gt;""),ROUND((VLOOKUP(AE100,G6:K105,5,FALSE)-AI100)/1000,3),IF(AND(NOT(ISNA(VLOOKUP(AE100,M6:Q105,5,FALSE))),AF100="",AG100&lt;&gt;""),ROUND((VLOOKUP(AE100,M6:Q105,5,FALSE)-AI100)/1000,3),IF(AND(NOT(ISNA(VLOOKUP(AE100,S6:W105,5,FALSE))),AF100="",AG100&lt;&gt;""),ROUND((VLOOKUP(AE100,S6:W105,5,FALSE)-AI100)/1000,3),IF(AND(NOT(ISNA(VLOOKUP(AE100,Y6:AC105,5,FALSE))),AF100="",AG100&lt;&gt;""),ROUND((VLOOKUP(AE100,Y6:AC105,5,FALSE)-AI100)/1000,3),IF(AND(NOT(ISNA(VLOOKUP(AE100,AE6:AI99,5,FALSE))),AF100="",AG100&lt;&gt;""),ROUND((VLOOKUP(AE100,AE6:AI99,5,FALSE)-AI100)/1000,3),""))))))</f>
        <v/>
      </c>
      <c r="AK100" s="67">
        <f>IF(AK99="","",AK99+1)</f>
        <v>694</v>
      </c>
      <c r="AL100" s="40"/>
      <c r="AM100" s="40"/>
      <c r="AN100" s="62" t="str">
        <f>IF(AND(AL100&lt;&gt;"",AM100&lt;&gt;""),ROUND(AL100,3)+ROUND(AN99,3)-ROUND(AM100,3),IF(AND(EXACT(UPPER(AK100),"TBM"),AL100&lt;&gt;""),ROUND(AL100,3),IF(AL100="",AN99,IF(ISNA(VLOOKUP(AK100,A6:E105,5,FALSE)),IF(ISNA(VLOOKUP(AK100,G6:K105,5,FALSE)),IF(ISNA(VLOOKUP(AK100,M6:Q105,5,FALSE)),IF(ISNA(VLOOKUP(AK100,S6:W105,5,FALSE)),IF(ISNA(VLOOKUP(AK100,Y6:AC105,5,FALSE)),IF(ISNA(VLOOKUP(AK100,AE6:AI105,5,FALSE)),IF(ISNA(VLOOKUP(AK100,AK6:AO99,5,FALSE)),"",ROUND(VLOOKUP(AK100,AK6:AO99,5,FALSE),0)/1000+ROUND(AL100,3)),ROUND(VLOOKUP(AK100,AE6:AI105,5,FALSE),0)/1000+ROUND(AL100,3)),ROUND(VLOOKUP(AK100,Y6:AC105,5,FALSE),0)/1000+ROUND(AL100,3)),ROUND(VLOOKUP(AK100,S6:W105,5,FALSE),0)/1000+ROUND(AL100,3)),ROUND(VLOOKUP(AK100,M6:Q105,5,FALSE),0)/1000+ROUND(AL100,3)),ROUND(VLOOKUP(AK100,G6:K105,5,FALSE),0)/1000+ROUND(AL100,3)),ROUND(VLOOKUP(AK100,A6:E105,5,FALSE),0)/1000+ROUND(AL100,3)))))</f>
        <v/>
      </c>
      <c r="AO100" s="63" t="str">
        <f>IF(OR(NOT(EXACT(UPPER(AK100),"TBM")),AL100=""),IF(AND(AL100&lt;&gt;"",AM100="",AN100&lt;&gt;""),"",IF(AND(AL100="",AM100&lt;&gt;"",AN100&lt;&gt;""),ROUND(ROUND(AN100,3)-ROUND(AM100,3),3)*1000,IF(AND(AL100&lt;&gt;"",AM100&lt;&gt;"",AN100&lt;&gt;""),ROUND(ROUND(AN99,3)-ROUND(AM100,3),3)*1000,""))),"")</f>
        <v/>
      </c>
      <c r="AP100" s="46" t="str">
        <f>IF(AND(NOT(ISNA(VLOOKUP(AK100,A6:E105,5,FALSE))),AL100="",AM100&lt;&gt;""),ROUND((VLOOKUP(AK100,A6:E105,5,FALSE)-AO100)/1000,3),IF(AND(NOT(ISNA(VLOOKUP(AK100,G6:K105,5,FALSE))),AL100="",AM100&lt;&gt;""),ROUND((VLOOKUP(AK100,G6:K105,5,FALSE)-AO100)/1000,3),IF(AND(NOT(ISNA(VLOOKUP(AK100,M6:Q105,5,FALSE))),AL100="",AM100&lt;&gt;""),ROUND((VLOOKUP(AK100,M6:Q105,5,FALSE)-AO100)/1000,3),IF(AND(NOT(ISNA(VLOOKUP(AK100,S6:W105,5,FALSE))),AL100="",AM100&lt;&gt;""),ROUND((VLOOKUP(AK100,S6:W105,5,FALSE)-AO100)/1000,3),IF(AND(NOT(ISNA(VLOOKUP(AK100,Y6:AC105,5,FALSE))),AL100="",AM100&lt;&gt;""),ROUND((VLOOKUP(AK100,Y6:AC105,5,FALSE)-AO100)/1000,3),IF(AND(NOT(ISNA(VLOOKUP(AK100,AE6:AI105,5,FALSE))),AL100="",AM100&lt;&gt;""),ROUND((VLOOKUP(AK100,AE6:AI105,5,FALSE)-AO100)/1000,3),IF(AND(NOT(ISNA(VLOOKUP(AK100,AK6:AO99,5,FALSE))),AL100="",AM100&lt;&gt;""),ROUND((VLOOKUP(AK100,AK6:AO99,5,FALSE)-AO100)/1000,3),"")))))))</f>
        <v/>
      </c>
      <c r="AQ100" s="67">
        <f>IF(AQ99="","",AQ99+1)</f>
        <v>794</v>
      </c>
      <c r="AR100" s="40"/>
      <c r="AS100" s="40"/>
      <c r="AT100" s="62" t="str">
        <f>IF(AND(AR100&lt;&gt;"",AS100&lt;&gt;""),ROUND(AR100,3)+ROUND(AT99,3)-ROUND(AS100,3),IF(AND(EXACT(UPPER(AQ100),"TBM"),AR100&lt;&gt;""),ROUND(AR100,3),IF(AR100="",AT99,IF(ISNA(VLOOKUP(AQ100,A6:E105,5,FALSE)),IF(ISNA(VLOOKUP(AQ100,G6:K105,5,FALSE)),IF(ISNA(VLOOKUP(AQ100,M6:Q105,5,FALSE)),IF(ISNA(VLOOKUP(AQ100,S6:W105,5,FALSE)),IF(ISNA(VLOOKUP(AQ100,Y6:AC105,5,FALSE)),IF(ISNA(VLOOKUP(AQ100,AE6:AI105,5,FALSE)),IF(ISNA(VLOOKUP(AQ100,AK6:AO105,5,FALSE)),IF(ISNA(VLOOKUP(AQ100,AQ6:AU99,5,FALSE)),"",ROUND(VLOOKUP(AQ100,AQ6:AU99,5,FALSE),0)/1000+ROUND(AR100,3)),ROUND(VLOOKUP(AQ100,AK6:AO105,5,FALSE),0)/1000+ROUND(AR100,3)),ROUND(VLOOKUP(AQ100,AE6:AI105,5,FALSE),0)/1000+ROUND(AR100,3)),ROUND(VLOOKUP(AQ100,Y6:AC105,5,FALSE),0)/1000+ROUND(AR100,3)),ROUND(VLOOKUP(AQ100,S6:W105,5,FALSE),0)/1000+ROUND(AR100,3)),ROUND(VLOOKUP(AQ100,M6:Q105,5,FALSE),0)/1000+ROUND(AR100,3)),ROUND(VLOOKUP(AQ100,G6:K105,5,FALSE),0)/1000+ROUND(AR100,3)),ROUND(VLOOKUP(AQ100,A6:E105,5,FALSE),0)/1000+ROUND(AR100,3)))))</f>
        <v/>
      </c>
      <c r="AU100" s="63" t="str">
        <f>IF(OR(NOT(EXACT(UPPER(AQ100),"TBM")),AR100=""),IF(AND(AR100&lt;&gt;"",AS100="",AT100&lt;&gt;""),"",IF(AND(AR100="",AS100&lt;&gt;"",AT100&lt;&gt;""),ROUND(ROUND(AT100,3)-ROUND(AS100,3),3)*1000,IF(AND(AR100&lt;&gt;"",AS100&lt;&gt;"",AT100&lt;&gt;""),ROUND(ROUND(AT99,3)-ROUND(AS100,3),3)*1000,""))),"")</f>
        <v/>
      </c>
      <c r="AV100" s="46" t="str">
        <f>IF(AND(NOT(ISNA(VLOOKUP(AQ100,A6:E105,5,FALSE))),AR100="",AS100&lt;&gt;""),ROUND((VLOOKUP(AQ100,A6:E105,5,FALSE)-AU100)/1000,3),IF(AND(NOT(ISNA(VLOOKUP(AQ100,G6:K105,5,FALSE))),AR100="",AS100&lt;&gt;""),ROUND((VLOOKUP(AQ100,G6:K105,5,FALSE)-AU100)/1000,3),IF(AND(NOT(ISNA(VLOOKUP(AQ100,M6:Q105,5,FALSE))),AR100="",AS100&lt;&gt;""),ROUND((VLOOKUP(AQ100,M6:Q105,5,FALSE)-AU100)/1000,3),IF(AND(NOT(ISNA(VLOOKUP(AQ100,S6:W105,5,FALSE))),AR100="",AS100&lt;&gt;""),ROUND((VLOOKUP(AQ100,S6:W105,5,FALSE)-AU100)/1000,3),IF(AND(NOT(ISNA(VLOOKUP(AQ100,Y6:AC105,5,FALSE))),AR100="",AS100&lt;&gt;""),ROUND((VLOOKUP(AQ100,Y6:AC105,5,FALSE)-AU100)/1000,3),IF(AND(NOT(ISNA(VLOOKUP(AQ100,AE6:AI105,5,FALSE))),AR100="",AS100&lt;&gt;""),ROUND((VLOOKUP(AQ100,AE6:AI105,5,FALSE)-AU100)/1000,3),IF(AND(NOT(ISNA(VLOOKUP(AQ100,AK6:AO105,5,FALSE))),AR100="",AS100&lt;&gt;""),ROUND((VLOOKUP(AQ100,AK6:AO105,5,FALSE)-AU100)/1000,3),IF(AND(NOT(ISNA(VLOOKUP(AQ100,AQ6:AU99,5,FALSE))),AR100="",AS100&lt;&gt;""),ROUND((VLOOKUP(AQ100,AQ6:AU99,5,FALSE)-AU100)/1000,3),""))))))))</f>
        <v/>
      </c>
      <c r="AW100" s="67">
        <f>IF(AW99="","",AW99+1)</f>
        <v>894</v>
      </c>
      <c r="AX100" s="40"/>
      <c r="AY100" s="40"/>
      <c r="AZ100" s="62" t="str">
        <f>IF(AND(AX100&lt;&gt;"",AY100&lt;&gt;""),ROUND(AX100,3)+ROUND(AZ99,3)-ROUND(AY100,3),IF(AND(EXACT(UPPER(AW100),"TBM"),AX100&lt;&gt;""),ROUND(AX100,3),IF(AX100="",AZ99,IF(ISNA(VLOOKUP(AW100,A6:E105,5,FALSE)),IF(ISNA(VLOOKUP(AW100,G6:K105,5,FALSE)),IF(ISNA(VLOOKUP(AW100,M6:Q105,5,FALSE)),IF(ISNA(VLOOKUP(AW100,S6:W105,5,FALSE)),IF(ISNA(VLOOKUP(AW100,Y6:AC105,5,FALSE)),IF(ISNA(VLOOKUP(AW100,AE6:AI105,5,FALSE)),IF(ISNA(VLOOKUP(AW100,AK6:AO105,5,FALSE)),IF(ISNA(VLOOKUP(AW100,AQ6:AU105,5,FALSE)),IF(ISNA(VLOOKUP(AW100,AW6:BA99,5,FALSE)),"",ROUND(VLOOKUP(AW100,AW6:BA99,5,FALSE),0)/1000+ROUND(AX100,3)),ROUND(VLOOKUP(AW100,AQ6:AU105,5,FALSE),0)/1000+ROUND(AX100,3)),ROUND(VLOOKUP(AW100,AK6:AO105,5,FALSE),0)/1000+ROUND(AX100,3)),ROUND(VLOOKUP(AW100,AE6:AI105,5,FALSE),0)/1000+ROUND(AX100,3)),ROUND(VLOOKUP(AW100,Y6:AC105,5,FALSE),0)/1000+ROUND(AX100,3)),ROUND(VLOOKUP(AW100,S6:W105,5,FALSE),0)/1000+ROUND(AX100,3)),ROUND(VLOOKUP(AW100,M6:Q105,5,FALSE),0)/1000+ROUND(AX100,3)),ROUND(VLOOKUP(AW100,G6:K105,5,FALSE),0)/1000+ROUND(AX100,3)),ROUND(VLOOKUP(AW100,A6:E105,5,FALSE),0)/1000+ROUND(AX100,3)))))</f>
        <v/>
      </c>
      <c r="BA100" s="63" t="str">
        <f>IF(OR(NOT(EXACT(UPPER(AW100),"TBM")),AX100=""),IF(AND(AX100&lt;&gt;"",AY100="",AZ100&lt;&gt;""),"",IF(AND(AX100="",AY100&lt;&gt;"",AZ100&lt;&gt;""),ROUND(ROUND(AZ100,3)-ROUND(AY100,3),3)*1000,IF(AND(AX100&lt;&gt;"",AY100&lt;&gt;"",AZ100&lt;&gt;""),ROUND(ROUND(AZ99,3)-ROUND(AY100,3),3)*1000,""))),"")</f>
        <v/>
      </c>
      <c r="BB100" s="46" t="str">
        <f>IF(AND(NOT(ISNA(VLOOKUP(AW100,A6:E105,5,FALSE))),AX100="",AY100&lt;&gt;""),ROUND((VLOOKUP(AW100,A6:E105,5,FALSE)-BA100)/1000,3),IF(AND(NOT(ISNA(VLOOKUP(AW100,G6:K105,5,FALSE))),AX100="",AY100&lt;&gt;""),ROUND((VLOOKUP(AW100,G6:K105,5,FALSE)-BA100)/1000,3),IF(AND(NOT(ISNA(VLOOKUP(AW100,M6:Q105,5,FALSE))),AX100="",AY100&lt;&gt;""),ROUND((VLOOKUP(AW100,M6:Q105,5,FALSE)-BA100)/1000,3),IF(AND(NOT(ISNA(VLOOKUP(AW100,S6:W105,5,FALSE))),AX100="",AY100&lt;&gt;""),ROUND((VLOOKUP(AW100,S6:W105,5,FALSE)-BA100)/1000,3),IF(AND(NOT(ISNA(VLOOKUP(AW100,Y6:AC105,5,FALSE))),AX100="",AY100&lt;&gt;""),ROUND((VLOOKUP(AW100,Y6:AC105,5,FALSE)-BA100)/1000,3),IF(AND(NOT(ISNA(VLOOKUP(AW100,AE6:AI105,5,FALSE))),AX100="",AY100&lt;&gt;""),ROUND((VLOOKUP(AW100,AE6:AI105,5,FALSE)-BA100)/1000,3),IF(AND(NOT(ISNA(VLOOKUP(AW100,AK6:AO105,5,FALSE))),AX100="",AY100&lt;&gt;""),ROUND((VLOOKUP(AW100,AK6:AO105,5,FALSE)-BA100)/1000,3),IF(AND(NOT(ISNA(VLOOKUP(AW100,AQ6:AU105,5,FALSE))),AX100="",AY100&lt;&gt;""),ROUND((VLOOKUP(AW100,AQ6:AU105,5,FALSE)-BA100)/1000,3),IF(AND(NOT(ISNA(VLOOKUP(AW100,AW6:BA99,5,FALSE))),AX100="",AY100&lt;&gt;""),ROUND((VLOOKUP(AW100,AW6:BA99,5,FALSE)-BA100)/1000,3),"")))))))))</f>
        <v/>
      </c>
      <c r="BC100" s="67">
        <f>IF(BC99="","",BC99+1)</f>
        <v>994</v>
      </c>
      <c r="BD100" s="40"/>
      <c r="BE100" s="40"/>
      <c r="BF100" s="62" t="str">
        <f>IF(AND(BD100&lt;&gt;"",BE100&lt;&gt;""),ROUND(BD100,3)+ROUND(BF99,3)-ROUND(BE100,3),IF(AND(EXACT(UPPER(BC100),"TBM"),BD100&lt;&gt;""),ROUND(BD100,3),IF(BD100="",BF99,IF(ISNA(VLOOKUP(BC100,A6:E105,5,FALSE)),IF(ISNA(VLOOKUP(BC100,G6:K105,5,FALSE)),IF(ISNA(VLOOKUP(BC100,M6:Q105,5,FALSE)),IF(ISNA(VLOOKUP(BC100,S6:W105,5,FALSE)),IF(ISNA(VLOOKUP(BC100,Y6:AC105,5,FALSE)),IF(ISNA(VLOOKUP(BC100,AE6:AI105,5,FALSE)),IF(ISNA(VLOOKUP(BC100,AK6:AO105,5,FALSE)),IF(ISNA(VLOOKUP(BC100,AQ6:AU105,5,FALSE)),IF(ISNA(VLOOKUP(BC100,AW6:BA105,5,FALSE)),IF(ISNA(VLOOKUP(BC100,BC6:BG99,5,FALSE)),"",ROUND(VLOOKUP(BC100,BC6:BG99,5,FALSE),0)/1000+ROUND(BD100,3)),ROUND(VLOOKUP(BC100,AW6:BA105,5,FALSE),0)/1000+ROUND(BD100,3)),ROUND(VLOOKUP(BC100,AQ6:AU105,5,FALSE),0)/1000+ROUND(BD100,3)),ROUND(VLOOKUP(BC100,AK6:AO105,5,FALSE),0)/1000+ROUND(BD100,3)),ROUND(VLOOKUP(BC100,AE6:AI105,5,FALSE),0)/1000+ROUND(BD100,3)),ROUND(VLOOKUP(BC100,Y6:AC105,5,FALSE),0)/1000+ROUND(BD100,3)),ROUND(VLOOKUP(BC100,S6:W105,5,FALSE),0)/1000+ROUND(BD100,3)),ROUND(VLOOKUP(BC100,M6:Q105,5,FALSE),0)/1000+ROUND(BD100,3)),ROUND(VLOOKUP(BC100,G6:K105,5,FALSE),0)/1000+ROUND(BD100,3)),ROUND(VLOOKUP(BC100,A6:E105,5,FALSE),0)/1000+ROUND(BD100,3)))))</f>
        <v/>
      </c>
      <c r="BG100" s="63" t="str">
        <f>IF(OR(NOT(EXACT(UPPER(BC100),"TBM")),BD100=""),IF(AND(BD100&lt;&gt;"",BE100="",BF100&lt;&gt;""),"",IF(AND(BD100="",BE100&lt;&gt;"",BF100&lt;&gt;""),ROUND(ROUND(BF100,3)-ROUND(BE100,3),3)*1000,IF(AND(BD100&lt;&gt;"",BE100&lt;&gt;"",BF100&lt;&gt;""),ROUND(ROUND(BF99,3)-ROUND(BE100,3),3)*1000,""))),"")</f>
        <v/>
      </c>
      <c r="BH100" s="46" t="str">
        <f>IF(AND(NOT(ISNA(VLOOKUP(BC100,A6:E105,5,FALSE))),BD100="",BE100&lt;&gt;""),ROUND((VLOOKUP(BC100,A6:E105,5,FALSE)-BG100)/1000,3),IF(AND(NOT(ISNA(VLOOKUP(BC100,G6:K105,5,FALSE))),BD100="",BE100&lt;&gt;""),ROUND((VLOOKUP(BC100,G6:K105,5,FALSE)-BG100)/1000,3),IF(AND(NOT(ISNA(VLOOKUP(BC100,M6:Q105,5,FALSE))),BD100="",BE100&lt;&gt;""),ROUND((VLOOKUP(BC100,M6:Q105,5,FALSE)-BG100)/1000,3),IF(AND(NOT(ISNA(VLOOKUP(BC100,S6:W105,5,FALSE))),BD100="",BE100&lt;&gt;""),ROUND((VLOOKUP(BC100,S6:W105,5,FALSE)-BG100)/1000,3),IF(AND(NOT(ISNA(VLOOKUP(BC100,Y6:AC105,5,FALSE))),BD100="",BE100&lt;&gt;""),ROUND((VLOOKUP(BC100,Y6:AC105,5,FALSE)-BG100)/1000,3),IF(AND(NOT(ISNA(VLOOKUP(BC100,AE6:AI105,5,FALSE))),BD100="",BE100&lt;&gt;""),ROUND((VLOOKUP(BC100,AE6:AI105,5,FALSE)-BG100)/1000,3),IF(AND(NOT(ISNA(VLOOKUP(BC100,AK6:AO105,5,FALSE))),BD100="",BE100&lt;&gt;""),ROUND((VLOOKUP(BC100,AK6:AO105,5,FALSE)-BG100)/1000,3),IF(AND(NOT(ISNA(VLOOKUP(BC100,AQ6:AU105,5,FALSE))),BD100="",BE100&lt;&gt;""),ROUND((VLOOKUP(BC100,AQ6:AU105,5,FALSE)-BG100)/1000,3),IF(AND(NOT(ISNA(VLOOKUP(BC100,AW6:BA105,5,FALSE))),BD100="",BE100&lt;&gt;""),ROUND((VLOOKUP(BC100,AW6:BA105,5,FALSE)-BG100)/1000,3),IF(AND(NOT(ISNA(VLOOKUP(BC100,BC6:BG99,5,FALSE))),BD100="",BE100&lt;&gt;""),ROUND((VLOOKUP(BC100,BC6:BG99,5,FALSE)-BG100)/1000,3),""))))))))))</f>
        <v/>
      </c>
    </row>
    <row r="101" spans="1:60" x14ac:dyDescent="0.25">
      <c r="A101" s="74">
        <f t="shared" si="9"/>
        <v>95</v>
      </c>
      <c r="B101" s="77"/>
      <c r="C101" s="77"/>
      <c r="D101" s="78" t="str">
        <f>IF(AND(B101&lt;&gt;"",C101&lt;&gt;""),ROUND(B101,3)+ROUND(D100,3)-ROUND(C101,3),IF(AND(EXACT(UPPER(A101),"TBM"),B101&lt;&gt;""),ROUND(B101,3),IF(B101="",D100,IF(ISNA(VLOOKUP(A101,A6:E100,5,FALSE)),"",ROUND(VLOOKUP(A101,A6:E100,5,FALSE),0)/1000+ROUND(B101,3)))))</f>
        <v/>
      </c>
      <c r="E101" s="96" t="str">
        <f t="shared" si="6"/>
        <v/>
      </c>
      <c r="F101" s="89" t="str">
        <f>IF(AND(NOT(ISNA(VLOOKUP(A101,A6:E100,5,FALSE))),B101="",C101&lt;&gt;""),ROUND((VLOOKUP(A101,A6:E100,5,FALSE)-E101)/1000,3),"")</f>
        <v/>
      </c>
      <c r="G101" s="74">
        <f t="shared" si="7"/>
        <v>195</v>
      </c>
      <c r="H101" s="77"/>
      <c r="I101" s="77"/>
      <c r="J101" s="78" t="str">
        <f>IF(AND(H101&lt;&gt;"",I101&lt;&gt;""),ROUND(H101,3)+ROUND(J100,3)-ROUND(I101,3),IF(AND(EXACT(UPPER(G101),"TBM"),H101&lt;&gt;""),ROUND(H101,3),IF(H101="",J100,IF(ISNA(VLOOKUP(G101,A6:E105,5,FALSE)),IF(ISNA(VLOOKUP(G101,G6:K100,5,FALSE)),"",ROUND(VLOOKUP(G101,G6:K100,5,FALSE),0)/1000+ROUND(H101,3)),ROUND(VLOOKUP(G101,A6:E105,5,FALSE),0)/1000+ROUND(H101,3)))))</f>
        <v/>
      </c>
      <c r="K101" s="87" t="str">
        <f t="shared" si="8"/>
        <v/>
      </c>
      <c r="L101" s="89" t="str">
        <f>IF(AND(NOT(ISNA(VLOOKUP(G101,A6:E105,5,FALSE))),H101="",I101&lt;&gt;""),ROUND((VLOOKUP(G101,A6:E105,5,FALSE)-K101)/1000,3),IF(AND(NOT(ISNA(VLOOKUP(G101,G6:K100,5,FALSE))),H101="",I101&lt;&gt;""),ROUND((VLOOKUP(G101,G6:K100,5,FALSE)-K101)/1000,3),""))</f>
        <v/>
      </c>
      <c r="M101" s="74">
        <f>IF(M100="","",M100+1)</f>
        <v>295</v>
      </c>
      <c r="N101" s="77"/>
      <c r="O101" s="77"/>
      <c r="P101" s="78" t="str">
        <f>IF(AND(N101&lt;&gt;"",O101&lt;&gt;""),ROUND(N101,3)+ROUND(P100,3)-ROUND(O101,3),IF(AND(EXACT(UPPER(M101),"TBM"),N101&lt;&gt;""),ROUND(N101,3),IF(N101="",P100,IF(ISNA(VLOOKUP(M101,A6:E105,5,FALSE)),IF(ISNA(VLOOKUP(M101,G6:K105,5,FALSE)),IF(ISNA(VLOOKUP(M101,M6:Q100,5,FALSE)),"",ROUND(VLOOKUP(M101,M6:Q100,5,FALSE),0)/1000+ROUND(N101,3)),ROUND(VLOOKUP(M101,G6:K105,5,FALSE),0)/1000+ROUND(N101,3)),ROUND(VLOOKUP(M101,A6:E105,5,FALSE),0)/1000+ROUND(N101,3)))))</f>
        <v/>
      </c>
      <c r="Q101" s="87" t="str">
        <f>IF(OR(NOT(EXACT(UPPER(M101),"TBM")),N101=""),IF(AND(N101&lt;&gt;"",O101="",P101&lt;&gt;""),"",IF(AND(N101="",O101&lt;&gt;"",P101&lt;&gt;""),ROUND(ROUND(P101,3)-ROUND(O101,3),3)*1000,IF(AND(N101&lt;&gt;"",O101&lt;&gt;"",P101&lt;&gt;""),ROUND(ROUND(P100,3)-ROUND(O101,3),3)*1000,""))),"")</f>
        <v/>
      </c>
      <c r="R101" s="89" t="str">
        <f>IF(AND(NOT(ISNA(VLOOKUP(M101,A6:E105,5,FALSE))),N101="",O101&lt;&gt;""),ROUND((VLOOKUP(M101,A6:E105,5,FALSE)-Q101)/1000,3),IF(AND(NOT(ISNA(VLOOKUP(M101,G6:K105,5,FALSE))),N101="",O101&lt;&gt;""),ROUND((VLOOKUP(M101,G6:K105,5,FALSE)-Q101)/1000,3),IF(AND(NOT(ISNA(VLOOKUP(M101,M6:Q100,5,FALSE))),N101="",O101&lt;&gt;""),ROUND((VLOOKUP(M101,M6:Q100,5,FALSE)-Q101)/1000,3),"")))</f>
        <v/>
      </c>
      <c r="S101" s="74">
        <f>IF(S100="","",S100+1)</f>
        <v>395</v>
      </c>
      <c r="T101" s="77"/>
      <c r="U101" s="77"/>
      <c r="V101" s="78" t="str">
        <f>IF(AND(T101&lt;&gt;"",U101&lt;&gt;""),ROUND(T101,3)+ROUND(V100,3)-ROUND(U101,3),IF(AND(EXACT(UPPER(S101),"TBM"),T101&lt;&gt;""),ROUND(T101,3),IF(T101="",V100,IF(ISNA(VLOOKUP(S101,A6:E105,5,FALSE)),IF(ISNA(VLOOKUP(S101,G6:K105,5,FALSE)),IF(ISNA(VLOOKUP(S101,M6:Q105,5,FALSE)),IF(ISNA(VLOOKUP(S101,S6:W100,5,FALSE)),"",ROUND(VLOOKUP(S101,S6:W100,5,FALSE),0)/1000+ROUND(T101,3)),ROUND(VLOOKUP(S101,M6:Q105,5,FALSE),0)/1000+ROUND(T101,3)),ROUND(VLOOKUP(S101,G6:K105,5,FALSE),0)/1000+ROUND(T101,3)),ROUND(VLOOKUP(S101,A6:E105,5,FALSE),0)/1000+ROUND(T101,3)))))</f>
        <v/>
      </c>
      <c r="W101" s="87" t="str">
        <f>IF(OR(NOT(EXACT(UPPER(S101),"TBM")),T101=""),IF(AND(T101&lt;&gt;"",U101="",V101&lt;&gt;""),"",IF(AND(T101="",U101&lt;&gt;"",V101&lt;&gt;""),ROUND(ROUND(V101,3)-ROUND(U101,3),3)*1000,IF(AND(T101&lt;&gt;"",U101&lt;&gt;"",V101&lt;&gt;""),ROUND(ROUND(V100,3)-ROUND(U101,3),3)*1000,""))),"")</f>
        <v/>
      </c>
      <c r="X101" s="89" t="str">
        <f>IF(AND(NOT(ISNA(VLOOKUP(S101,A6:E105,5,FALSE))),T101="",U101&lt;&gt;""),ROUND((VLOOKUP(S101,A6:E105,5,FALSE)-W101)/1000,3),IF(AND(NOT(ISNA(VLOOKUP(S101,G6:K105,5,FALSE))),T101="",U101&lt;&gt;""),ROUND((VLOOKUP(S101,G6:K105,5,FALSE)-W101)/1000,3),IF(AND(NOT(ISNA(VLOOKUP(S101,M6:Q105,5,FALSE))),T101="",U101&lt;&gt;""),ROUND((VLOOKUP(S101,M6:Q105,5,FALSE)-W101)/1000,3),IF(AND(NOT(ISNA(VLOOKUP(S101,S6:W100,5,FALSE))),T101="",U101&lt;&gt;""),ROUND((VLOOKUP(S101,S6:W100,5,FALSE)-W101)/1000,3),""))))</f>
        <v/>
      </c>
      <c r="Y101" s="74">
        <f>IF(Y100="","",Y100+1)</f>
        <v>495</v>
      </c>
      <c r="Z101" s="77"/>
      <c r="AA101" s="77"/>
      <c r="AB101" s="78" t="str">
        <f>IF(AND(Z101&lt;&gt;"",AA101&lt;&gt;""),ROUND(Z101,3)+ROUND(AB100,3)-ROUND(AA101,3),IF(AND(EXACT(UPPER(Y101),"TBM"),Z101&lt;&gt;""),ROUND(Z101,3),IF(Z101="",AB100,IF(ISNA(VLOOKUP(Y101,A6:E105,5,FALSE)),IF(ISNA(VLOOKUP(Y101,G6:K105,5,FALSE)),IF(ISNA(VLOOKUP(Y101,M6:Q105,5,FALSE)),IF(ISNA(VLOOKUP(Y101,S6:W105,5,FALSE)),IF(ISNA(VLOOKUP(Y101,Y6:AC100,5,FALSE)),"",ROUND(VLOOKUP(Y101,Y6:AC100,5,FALSE),0)/1000+ROUND(Z101,3)),ROUND(VLOOKUP(Y101,S6:W105,5,FALSE),0)/1000+ROUND(Z101,3)),ROUND(VLOOKUP(Y101,M6:Q105,5,FALSE),0)/1000+ROUND(Z101,3)),ROUND(VLOOKUP(Y101,G6:K105,5,FALSE),0)/1000+ROUND(Z101,3)),ROUND(VLOOKUP(Y101,A6:E105,5,FALSE),0)/1000+ROUND(Z101,3)))))</f>
        <v/>
      </c>
      <c r="AC101" s="87" t="str">
        <f>IF(OR(NOT(EXACT(UPPER(Y101),"TBM")),Z101=""),IF(AND(Z101&lt;&gt;"",AA101="",AB101&lt;&gt;""),"",IF(AND(Z101="",AA101&lt;&gt;"",AB101&lt;&gt;""),ROUND(ROUND(AB101,3)-ROUND(AA101,3),3)*1000,IF(AND(Z101&lt;&gt;"",AA101&lt;&gt;"",AB101&lt;&gt;""),ROUND(ROUND(AB100,3)-ROUND(AA101,3),3)*1000,""))),"")</f>
        <v/>
      </c>
      <c r="AD101" s="89" t="str">
        <f>IF(AND(NOT(ISNA(VLOOKUP(Y101,A6:E105,5,FALSE))),Z101="",AA101&lt;&gt;""),ROUND((VLOOKUP(Y101,A6:E105,5,FALSE)-AC101)/1000,3),IF(AND(NOT(ISNA(VLOOKUP(Y101,G6:K105,5,FALSE))),Z101="",AA101&lt;&gt;""),ROUND((VLOOKUP(Y101,G6:K105,5,FALSE)-AC101)/1000,3),IF(AND(NOT(ISNA(VLOOKUP(Y101,M6:Q105,5,FALSE))),Z101="",AA101&lt;&gt;""),ROUND((VLOOKUP(Y101,M6:Q105,5,FALSE)-AC101)/1000,3),IF(AND(NOT(ISNA(VLOOKUP(Y101,S6:W105,5,FALSE))),Z101="",AA101&lt;&gt;""),ROUND((VLOOKUP(Y101,S6:W105,5,FALSE)-AC101)/1000,3),IF(AND(NOT(ISNA(VLOOKUP(Y101,Y6:AC100,5,FALSE))),Z101="",AA101&lt;&gt;""),ROUND((VLOOKUP(Y101,Y6:AC100,5,FALSE)-AC101)/1000,3),"")))))</f>
        <v/>
      </c>
      <c r="AE101" s="74">
        <f>IF(AE100="","",AE100+1)</f>
        <v>595</v>
      </c>
      <c r="AF101" s="77"/>
      <c r="AG101" s="77"/>
      <c r="AH101" s="78" t="str">
        <f>IF(AND(AF101&lt;&gt;"",AG101&lt;&gt;""),ROUND(AF101,3)+ROUND(AH100,3)-ROUND(AG101,3),IF(AND(EXACT(UPPER(AE101),"TBM"),AF101&lt;&gt;""),ROUND(AF101,3),IF(AF101="",AH100,IF(ISNA(VLOOKUP(AE101,A6:E105,5,FALSE)),IF(ISNA(VLOOKUP(AE101,G6:K105,5,FALSE)),IF(ISNA(VLOOKUP(AE101,M6:Q105,5,FALSE)),IF(ISNA(VLOOKUP(AE101,S6:W105,5,FALSE)),IF(ISNA(VLOOKUP(AE101,Y6:AC105,5,FALSE)),IF(ISNA(VLOOKUP(AE101,AE6:AI100,5,FALSE)),"",ROUND(VLOOKUP(AE101,AE6:AI100,5,FALSE),0)/1000+ROUND(AF101,3)),ROUND(VLOOKUP(AE101,Y6:AC105,5,FALSE),0)/1000+ROUND(AF101,3)),ROUND(VLOOKUP(AE101,S6:W105,5,FALSE),0)/1000+ROUND(AF101,3)),ROUND(VLOOKUP(AE101,M6:Q105,5,FALSE),0)/1000+ROUND(AF101,3)),ROUND(VLOOKUP(AE101,G6:K105,5,FALSE),0)/1000+ROUND(AF101,3)),ROUND(VLOOKUP(AE101,A6:E105,5,FALSE),0)/1000+ROUND(AF101,3)))))</f>
        <v/>
      </c>
      <c r="AI101" s="87" t="str">
        <f>IF(OR(NOT(EXACT(UPPER(AE101),"TBM")),AF101=""),IF(AND(AF101&lt;&gt;"",AG101="",AH101&lt;&gt;""),"",IF(AND(AF101="",AG101&lt;&gt;"",AH101&lt;&gt;""),ROUND(ROUND(AH101,3)-ROUND(AG101,3),3)*1000,IF(AND(AF101&lt;&gt;"",AG101&lt;&gt;"",AH101&lt;&gt;""),ROUND(ROUND(AH100,3)-ROUND(AG101,3),3)*1000,""))),"")</f>
        <v/>
      </c>
      <c r="AJ101" s="89" t="str">
        <f>IF(AND(NOT(ISNA(VLOOKUP(AE101,A6:E105,5,FALSE))),AF101="",AG101&lt;&gt;""),ROUND((VLOOKUP(AE101,A6:E105,5,FALSE)-AI101)/1000,3),IF(AND(NOT(ISNA(VLOOKUP(AE101,G6:K105,5,FALSE))),AF101="",AG101&lt;&gt;""),ROUND((VLOOKUP(AE101,G6:K105,5,FALSE)-AI101)/1000,3),IF(AND(NOT(ISNA(VLOOKUP(AE101,M6:Q105,5,FALSE))),AF101="",AG101&lt;&gt;""),ROUND((VLOOKUP(AE101,M6:Q105,5,FALSE)-AI101)/1000,3),IF(AND(NOT(ISNA(VLOOKUP(AE101,S6:W105,5,FALSE))),AF101="",AG101&lt;&gt;""),ROUND((VLOOKUP(AE101,S6:W105,5,FALSE)-AI101)/1000,3),IF(AND(NOT(ISNA(VLOOKUP(AE101,Y6:AC105,5,FALSE))),AF101="",AG101&lt;&gt;""),ROUND((VLOOKUP(AE101,Y6:AC105,5,FALSE)-AI101)/1000,3),IF(AND(NOT(ISNA(VLOOKUP(AE101,AE6:AI100,5,FALSE))),AF101="",AG101&lt;&gt;""),ROUND((VLOOKUP(AE101,AE6:AI100,5,FALSE)-AI101)/1000,3),""))))))</f>
        <v/>
      </c>
      <c r="AK101" s="74">
        <f>IF(AK100="","",AK100+1)</f>
        <v>695</v>
      </c>
      <c r="AL101" s="77"/>
      <c r="AM101" s="77"/>
      <c r="AN101" s="78" t="str">
        <f>IF(AND(AL101&lt;&gt;"",AM101&lt;&gt;""),ROUND(AL101,3)+ROUND(AN100,3)-ROUND(AM101,3),IF(AND(EXACT(UPPER(AK101),"TBM"),AL101&lt;&gt;""),ROUND(AL101,3),IF(AL101="",AN100,IF(ISNA(VLOOKUP(AK101,A6:E105,5,FALSE)),IF(ISNA(VLOOKUP(AK101,G6:K105,5,FALSE)),IF(ISNA(VLOOKUP(AK101,M6:Q105,5,FALSE)),IF(ISNA(VLOOKUP(AK101,S6:W105,5,FALSE)),IF(ISNA(VLOOKUP(AK101,Y6:AC105,5,FALSE)),IF(ISNA(VLOOKUP(AK101,AE6:AI105,5,FALSE)),IF(ISNA(VLOOKUP(AK101,AK6:AO100,5,FALSE)),"",ROUND(VLOOKUP(AK101,AK6:AO100,5,FALSE),0)/1000+ROUND(AL101,3)),ROUND(VLOOKUP(AK101,AE6:AI105,5,FALSE),0)/1000+ROUND(AL101,3)),ROUND(VLOOKUP(AK101,Y6:AC105,5,FALSE),0)/1000+ROUND(AL101,3)),ROUND(VLOOKUP(AK101,S6:W105,5,FALSE),0)/1000+ROUND(AL101,3)),ROUND(VLOOKUP(AK101,M6:Q105,5,FALSE),0)/1000+ROUND(AL101,3)),ROUND(VLOOKUP(AK101,G6:K105,5,FALSE),0)/1000+ROUND(AL101,3)),ROUND(VLOOKUP(AK101,A6:E105,5,FALSE),0)/1000+ROUND(AL101,3)))))</f>
        <v/>
      </c>
      <c r="AO101" s="87" t="str">
        <f>IF(OR(NOT(EXACT(UPPER(AK101),"TBM")),AL101=""),IF(AND(AL101&lt;&gt;"",AM101="",AN101&lt;&gt;""),"",IF(AND(AL101="",AM101&lt;&gt;"",AN101&lt;&gt;""),ROUND(ROUND(AN101,3)-ROUND(AM101,3),3)*1000,IF(AND(AL101&lt;&gt;"",AM101&lt;&gt;"",AN101&lt;&gt;""),ROUND(ROUND(AN100,3)-ROUND(AM101,3),3)*1000,""))),"")</f>
        <v/>
      </c>
      <c r="AP101" s="89" t="str">
        <f>IF(AND(NOT(ISNA(VLOOKUP(AK101,A6:E105,5,FALSE))),AL101="",AM101&lt;&gt;""),ROUND((VLOOKUP(AK101,A6:E105,5,FALSE)-AO101)/1000,3),IF(AND(NOT(ISNA(VLOOKUP(AK101,G6:K105,5,FALSE))),AL101="",AM101&lt;&gt;""),ROUND((VLOOKUP(AK101,G6:K105,5,FALSE)-AO101)/1000,3),IF(AND(NOT(ISNA(VLOOKUP(AK101,M6:Q105,5,FALSE))),AL101="",AM101&lt;&gt;""),ROUND((VLOOKUP(AK101,M6:Q105,5,FALSE)-AO101)/1000,3),IF(AND(NOT(ISNA(VLOOKUP(AK101,S6:W105,5,FALSE))),AL101="",AM101&lt;&gt;""),ROUND((VLOOKUP(AK101,S6:W105,5,FALSE)-AO101)/1000,3),IF(AND(NOT(ISNA(VLOOKUP(AK101,Y6:AC105,5,FALSE))),AL101="",AM101&lt;&gt;""),ROUND((VLOOKUP(AK101,Y6:AC105,5,FALSE)-AO101)/1000,3),IF(AND(NOT(ISNA(VLOOKUP(AK101,AE6:AI105,5,FALSE))),AL101="",AM101&lt;&gt;""),ROUND((VLOOKUP(AK101,AE6:AI105,5,FALSE)-AO101)/1000,3),IF(AND(NOT(ISNA(VLOOKUP(AK101,AK6:AO100,5,FALSE))),AL101="",AM101&lt;&gt;""),ROUND((VLOOKUP(AK101,AK6:AO100,5,FALSE)-AO101)/1000,3),"")))))))</f>
        <v/>
      </c>
      <c r="AQ101" s="74">
        <f>IF(AQ100="","",AQ100+1)</f>
        <v>795</v>
      </c>
      <c r="AR101" s="77"/>
      <c r="AS101" s="77"/>
      <c r="AT101" s="78" t="str">
        <f>IF(AND(AR101&lt;&gt;"",AS101&lt;&gt;""),ROUND(AR101,3)+ROUND(AT100,3)-ROUND(AS101,3),IF(AND(EXACT(UPPER(AQ101),"TBM"),AR101&lt;&gt;""),ROUND(AR101,3),IF(AR101="",AT100,IF(ISNA(VLOOKUP(AQ101,A6:E105,5,FALSE)),IF(ISNA(VLOOKUP(AQ101,G6:K105,5,FALSE)),IF(ISNA(VLOOKUP(AQ101,M6:Q105,5,FALSE)),IF(ISNA(VLOOKUP(AQ101,S6:W105,5,FALSE)),IF(ISNA(VLOOKUP(AQ101,Y6:AC105,5,FALSE)),IF(ISNA(VLOOKUP(AQ101,AE6:AI105,5,FALSE)),IF(ISNA(VLOOKUP(AQ101,AK6:AO105,5,FALSE)),IF(ISNA(VLOOKUP(AQ101,AQ6:AU100,5,FALSE)),"",ROUND(VLOOKUP(AQ101,AQ6:AU100,5,FALSE),0)/1000+ROUND(AR101,3)),ROUND(VLOOKUP(AQ101,AK6:AO105,5,FALSE),0)/1000+ROUND(AR101,3)),ROUND(VLOOKUP(AQ101,AE6:AI105,5,FALSE),0)/1000+ROUND(AR101,3)),ROUND(VLOOKUP(AQ101,Y6:AC105,5,FALSE),0)/1000+ROUND(AR101,3)),ROUND(VLOOKUP(AQ101,S6:W105,5,FALSE),0)/1000+ROUND(AR101,3)),ROUND(VLOOKUP(AQ101,M6:Q105,5,FALSE),0)/1000+ROUND(AR101,3)),ROUND(VLOOKUP(AQ101,G6:K105,5,FALSE),0)/1000+ROUND(AR101,3)),ROUND(VLOOKUP(AQ101,A6:E105,5,FALSE),0)/1000+ROUND(AR101,3)))))</f>
        <v/>
      </c>
      <c r="AU101" s="87" t="str">
        <f>IF(OR(NOT(EXACT(UPPER(AQ101),"TBM")),AR101=""),IF(AND(AR101&lt;&gt;"",AS101="",AT101&lt;&gt;""),"",IF(AND(AR101="",AS101&lt;&gt;"",AT101&lt;&gt;""),ROUND(ROUND(AT101,3)-ROUND(AS101,3),3)*1000,IF(AND(AR101&lt;&gt;"",AS101&lt;&gt;"",AT101&lt;&gt;""),ROUND(ROUND(AT100,3)-ROUND(AS101,3),3)*1000,""))),"")</f>
        <v/>
      </c>
      <c r="AV101" s="89" t="str">
        <f>IF(AND(NOT(ISNA(VLOOKUP(AQ101,A6:E105,5,FALSE))),AR101="",AS101&lt;&gt;""),ROUND((VLOOKUP(AQ101,A6:E105,5,FALSE)-AU101)/1000,3),IF(AND(NOT(ISNA(VLOOKUP(AQ101,G6:K105,5,FALSE))),AR101="",AS101&lt;&gt;""),ROUND((VLOOKUP(AQ101,G6:K105,5,FALSE)-AU101)/1000,3),IF(AND(NOT(ISNA(VLOOKUP(AQ101,M6:Q105,5,FALSE))),AR101="",AS101&lt;&gt;""),ROUND((VLOOKUP(AQ101,M6:Q105,5,FALSE)-AU101)/1000,3),IF(AND(NOT(ISNA(VLOOKUP(AQ101,S6:W105,5,FALSE))),AR101="",AS101&lt;&gt;""),ROUND((VLOOKUP(AQ101,S6:W105,5,FALSE)-AU101)/1000,3),IF(AND(NOT(ISNA(VLOOKUP(AQ101,Y6:AC105,5,FALSE))),AR101="",AS101&lt;&gt;""),ROUND((VLOOKUP(AQ101,Y6:AC105,5,FALSE)-AU101)/1000,3),IF(AND(NOT(ISNA(VLOOKUP(AQ101,AE6:AI105,5,FALSE))),AR101="",AS101&lt;&gt;""),ROUND((VLOOKUP(AQ101,AE6:AI105,5,FALSE)-AU101)/1000,3),IF(AND(NOT(ISNA(VLOOKUP(AQ101,AK6:AO105,5,FALSE))),AR101="",AS101&lt;&gt;""),ROUND((VLOOKUP(AQ101,AK6:AO105,5,FALSE)-AU101)/1000,3),IF(AND(NOT(ISNA(VLOOKUP(AQ101,AQ6:AU100,5,FALSE))),AR101="",AS101&lt;&gt;""),ROUND((VLOOKUP(AQ101,AQ6:AU100,5,FALSE)-AU101)/1000,3),""))))))))</f>
        <v/>
      </c>
      <c r="AW101" s="74">
        <f>IF(AW100="","",AW100+1)</f>
        <v>895</v>
      </c>
      <c r="AX101" s="77"/>
      <c r="AY101" s="77"/>
      <c r="AZ101" s="78" t="str">
        <f>IF(AND(AX101&lt;&gt;"",AY101&lt;&gt;""),ROUND(AX101,3)+ROUND(AZ100,3)-ROUND(AY101,3),IF(AND(EXACT(UPPER(AW101),"TBM"),AX101&lt;&gt;""),ROUND(AX101,3),IF(AX101="",AZ100,IF(ISNA(VLOOKUP(AW101,A6:E105,5,FALSE)),IF(ISNA(VLOOKUP(AW101,G6:K105,5,FALSE)),IF(ISNA(VLOOKUP(AW101,M6:Q105,5,FALSE)),IF(ISNA(VLOOKUP(AW101,S6:W105,5,FALSE)),IF(ISNA(VLOOKUP(AW101,Y6:AC105,5,FALSE)),IF(ISNA(VLOOKUP(AW101,AE6:AI105,5,FALSE)),IF(ISNA(VLOOKUP(AW101,AK6:AO105,5,FALSE)),IF(ISNA(VLOOKUP(AW101,AQ6:AU105,5,FALSE)),IF(ISNA(VLOOKUP(AW101,AW6:BA100,5,FALSE)),"",ROUND(VLOOKUP(AW101,AW6:BA100,5,FALSE),0)/1000+ROUND(AX101,3)),ROUND(VLOOKUP(AW101,AQ6:AU105,5,FALSE),0)/1000+ROUND(AX101,3)),ROUND(VLOOKUP(AW101,AK6:AO105,5,FALSE),0)/1000+ROUND(AX101,3)),ROUND(VLOOKUP(AW101,AE6:AI105,5,FALSE),0)/1000+ROUND(AX101,3)),ROUND(VLOOKUP(AW101,Y6:AC105,5,FALSE),0)/1000+ROUND(AX101,3)),ROUND(VLOOKUP(AW101,S6:W105,5,FALSE),0)/1000+ROUND(AX101,3)),ROUND(VLOOKUP(AW101,M6:Q105,5,FALSE),0)/1000+ROUND(AX101,3)),ROUND(VLOOKUP(AW101,G6:K105,5,FALSE),0)/1000+ROUND(AX101,3)),ROUND(VLOOKUP(AW101,A6:E105,5,FALSE),0)/1000+ROUND(AX101,3)))))</f>
        <v/>
      </c>
      <c r="BA101" s="87" t="str">
        <f>IF(OR(NOT(EXACT(UPPER(AW101),"TBM")),AX101=""),IF(AND(AX101&lt;&gt;"",AY101="",AZ101&lt;&gt;""),"",IF(AND(AX101="",AY101&lt;&gt;"",AZ101&lt;&gt;""),ROUND(ROUND(AZ101,3)-ROUND(AY101,3),3)*1000,IF(AND(AX101&lt;&gt;"",AY101&lt;&gt;"",AZ101&lt;&gt;""),ROUND(ROUND(AZ100,3)-ROUND(AY101,3),3)*1000,""))),"")</f>
        <v/>
      </c>
      <c r="BB101" s="89" t="str">
        <f>IF(AND(NOT(ISNA(VLOOKUP(AW101,A6:E105,5,FALSE))),AX101="",AY101&lt;&gt;""),ROUND((VLOOKUP(AW101,A6:E105,5,FALSE)-BA101)/1000,3),IF(AND(NOT(ISNA(VLOOKUP(AW101,G6:K105,5,FALSE))),AX101="",AY101&lt;&gt;""),ROUND((VLOOKUP(AW101,G6:K105,5,FALSE)-BA101)/1000,3),IF(AND(NOT(ISNA(VLOOKUP(AW101,M6:Q105,5,FALSE))),AX101="",AY101&lt;&gt;""),ROUND((VLOOKUP(AW101,M6:Q105,5,FALSE)-BA101)/1000,3),IF(AND(NOT(ISNA(VLOOKUP(AW101,S6:W105,5,FALSE))),AX101="",AY101&lt;&gt;""),ROUND((VLOOKUP(AW101,S6:W105,5,FALSE)-BA101)/1000,3),IF(AND(NOT(ISNA(VLOOKUP(AW101,Y6:AC105,5,FALSE))),AX101="",AY101&lt;&gt;""),ROUND((VLOOKUP(AW101,Y6:AC105,5,FALSE)-BA101)/1000,3),IF(AND(NOT(ISNA(VLOOKUP(AW101,AE6:AI105,5,FALSE))),AX101="",AY101&lt;&gt;""),ROUND((VLOOKUP(AW101,AE6:AI105,5,FALSE)-BA101)/1000,3),IF(AND(NOT(ISNA(VLOOKUP(AW101,AK6:AO105,5,FALSE))),AX101="",AY101&lt;&gt;""),ROUND((VLOOKUP(AW101,AK6:AO105,5,FALSE)-BA101)/1000,3),IF(AND(NOT(ISNA(VLOOKUP(AW101,AQ6:AU105,5,FALSE))),AX101="",AY101&lt;&gt;""),ROUND((VLOOKUP(AW101,AQ6:AU105,5,FALSE)-BA101)/1000,3),IF(AND(NOT(ISNA(VLOOKUP(AW101,AW6:BA100,5,FALSE))),AX101="",AY101&lt;&gt;""),ROUND((VLOOKUP(AW101,AW6:BA100,5,FALSE)-BA101)/1000,3),"")))))))))</f>
        <v/>
      </c>
      <c r="BC101" s="74">
        <f>IF(BC100="","",BC100+1)</f>
        <v>995</v>
      </c>
      <c r="BD101" s="77"/>
      <c r="BE101" s="77"/>
      <c r="BF101" s="78" t="str">
        <f>IF(AND(BD101&lt;&gt;"",BE101&lt;&gt;""),ROUND(BD101,3)+ROUND(BF100,3)-ROUND(BE101,3),IF(AND(EXACT(UPPER(BC101),"TBM"),BD101&lt;&gt;""),ROUND(BD101,3),IF(BD101="",BF100,IF(ISNA(VLOOKUP(BC101,A6:E105,5,FALSE)),IF(ISNA(VLOOKUP(BC101,G6:K105,5,FALSE)),IF(ISNA(VLOOKUP(BC101,M6:Q105,5,FALSE)),IF(ISNA(VLOOKUP(BC101,S6:W105,5,FALSE)),IF(ISNA(VLOOKUP(BC101,Y6:AC105,5,FALSE)),IF(ISNA(VLOOKUP(BC101,AE6:AI105,5,FALSE)),IF(ISNA(VLOOKUP(BC101,AK6:AO105,5,FALSE)),IF(ISNA(VLOOKUP(BC101,AQ6:AU105,5,FALSE)),IF(ISNA(VLOOKUP(BC101,AW6:BA105,5,FALSE)),IF(ISNA(VLOOKUP(BC101,BC6:BG100,5,FALSE)),"",ROUND(VLOOKUP(BC101,BC6:BG100,5,FALSE),0)/1000+ROUND(BD101,3)),ROUND(VLOOKUP(BC101,AW6:BA105,5,FALSE),0)/1000+ROUND(BD101,3)),ROUND(VLOOKUP(BC101,AQ6:AU105,5,FALSE),0)/1000+ROUND(BD101,3)),ROUND(VLOOKUP(BC101,AK6:AO105,5,FALSE),0)/1000+ROUND(BD101,3)),ROUND(VLOOKUP(BC101,AE6:AI105,5,FALSE),0)/1000+ROUND(BD101,3)),ROUND(VLOOKUP(BC101,Y6:AC105,5,FALSE),0)/1000+ROUND(BD101,3)),ROUND(VLOOKUP(BC101,S6:W105,5,FALSE),0)/1000+ROUND(BD101,3)),ROUND(VLOOKUP(BC101,M6:Q105,5,FALSE),0)/1000+ROUND(BD101,3)),ROUND(VLOOKUP(BC101,G6:K105,5,FALSE),0)/1000+ROUND(BD101,3)),ROUND(VLOOKUP(BC101,A6:E105,5,FALSE),0)/1000+ROUND(BD101,3)))))</f>
        <v/>
      </c>
      <c r="BG101" s="87" t="str">
        <f>IF(OR(NOT(EXACT(UPPER(BC101),"TBM")),BD101=""),IF(AND(BD101&lt;&gt;"",BE101="",BF101&lt;&gt;""),"",IF(AND(BD101="",BE101&lt;&gt;"",BF101&lt;&gt;""),ROUND(ROUND(BF101,3)-ROUND(BE101,3),3)*1000,IF(AND(BD101&lt;&gt;"",BE101&lt;&gt;"",BF101&lt;&gt;""),ROUND(ROUND(BF100,3)-ROUND(BE101,3),3)*1000,""))),"")</f>
        <v/>
      </c>
      <c r="BH101" s="89" t="str">
        <f>IF(AND(NOT(ISNA(VLOOKUP(BC101,A6:E105,5,FALSE))),BD101="",BE101&lt;&gt;""),ROUND((VLOOKUP(BC101,A6:E105,5,FALSE)-BG101)/1000,3),IF(AND(NOT(ISNA(VLOOKUP(BC101,G6:K105,5,FALSE))),BD101="",BE101&lt;&gt;""),ROUND((VLOOKUP(BC101,G6:K105,5,FALSE)-BG101)/1000,3),IF(AND(NOT(ISNA(VLOOKUP(BC101,M6:Q105,5,FALSE))),BD101="",BE101&lt;&gt;""),ROUND((VLOOKUP(BC101,M6:Q105,5,FALSE)-BG101)/1000,3),IF(AND(NOT(ISNA(VLOOKUP(BC101,S6:W105,5,FALSE))),BD101="",BE101&lt;&gt;""),ROUND((VLOOKUP(BC101,S6:W105,5,FALSE)-BG101)/1000,3),IF(AND(NOT(ISNA(VLOOKUP(BC101,Y6:AC105,5,FALSE))),BD101="",BE101&lt;&gt;""),ROUND((VLOOKUP(BC101,Y6:AC105,5,FALSE)-BG101)/1000,3),IF(AND(NOT(ISNA(VLOOKUP(BC101,AE6:AI105,5,FALSE))),BD101="",BE101&lt;&gt;""),ROUND((VLOOKUP(BC101,AE6:AI105,5,FALSE)-BG101)/1000,3),IF(AND(NOT(ISNA(VLOOKUP(BC101,AK6:AO105,5,FALSE))),BD101="",BE101&lt;&gt;""),ROUND((VLOOKUP(BC101,AK6:AO105,5,FALSE)-BG101)/1000,3),IF(AND(NOT(ISNA(VLOOKUP(BC101,AQ6:AU105,5,FALSE))),BD101="",BE101&lt;&gt;""),ROUND((VLOOKUP(BC101,AQ6:AU105,5,FALSE)-BG101)/1000,3),IF(AND(NOT(ISNA(VLOOKUP(BC101,AW6:BA105,5,FALSE))),BD101="",BE101&lt;&gt;""),ROUND((VLOOKUP(BC101,AW6:BA105,5,FALSE)-BG101)/1000,3),IF(AND(NOT(ISNA(VLOOKUP(BC101,BC6:BG100,5,FALSE))),BD101="",BE101&lt;&gt;""),ROUND((VLOOKUP(BC101,BC6:BG100,5,FALSE)-BG101)/1000,3),""))))))))))</f>
        <v/>
      </c>
    </row>
    <row r="102" spans="1:60" x14ac:dyDescent="0.25">
      <c r="A102" s="19">
        <f t="shared" si="9"/>
        <v>96</v>
      </c>
      <c r="B102" s="39"/>
      <c r="C102" s="39"/>
      <c r="D102" s="15" t="str">
        <f>IF(AND(B102&lt;&gt;"",C102&lt;&gt;""),ROUND(B102,3)+ROUND(D101,3)-ROUND(C102,3),IF(AND(EXACT(UPPER(A102),"TBM"),B102&lt;&gt;""),ROUND(B102,3),IF(B102="",D101,IF(ISNA(VLOOKUP(A102,A6:E101,5,FALSE)),"",ROUND(VLOOKUP(A102,A6:E101,5,FALSE),0)/1000+ROUND(B102,3)))))</f>
        <v/>
      </c>
      <c r="E102" s="21" t="str">
        <f t="shared" si="6"/>
        <v/>
      </c>
      <c r="F102" s="45" t="str">
        <f>IF(AND(NOT(ISNA(VLOOKUP(A102,A6:E101,5,FALSE))),B102="",C102&lt;&gt;""),ROUND((VLOOKUP(A102,A6:E101,5,FALSE)-E102)/1000,3),"")</f>
        <v/>
      </c>
      <c r="G102" s="19">
        <f t="shared" si="7"/>
        <v>196</v>
      </c>
      <c r="H102" s="39"/>
      <c r="I102" s="39"/>
      <c r="J102" s="15" t="str">
        <f>IF(AND(H102&lt;&gt;"",I102&lt;&gt;""),ROUND(H102,3)+ROUND(J101,3)-ROUND(I102,3),IF(AND(EXACT(UPPER(G102),"TBM"),H102&lt;&gt;""),ROUND(H102,3),IF(H102="",J101,IF(ISNA(VLOOKUP(G102,A6:E105,5,FALSE)),IF(ISNA(VLOOKUP(G102,G6:K101,5,FALSE)),"",ROUND(VLOOKUP(G102,G6:K101,5,FALSE),0)/1000+ROUND(H102,3)),ROUND(VLOOKUP(G102,A6:E105,5,FALSE),0)/1000+ROUND(H102,3)))))</f>
        <v/>
      </c>
      <c r="K102" s="18" t="str">
        <f t="shared" si="8"/>
        <v/>
      </c>
      <c r="L102" s="45" t="str">
        <f>IF(AND(NOT(ISNA(VLOOKUP(G102,A6:E105,5,FALSE))),H102="",I102&lt;&gt;""),ROUND((VLOOKUP(G102,A6:E105,5,FALSE)-K102)/1000,3),IF(AND(NOT(ISNA(VLOOKUP(G102,G6:K101,5,FALSE))),H102="",I102&lt;&gt;""),ROUND((VLOOKUP(G102,G6:K101,5,FALSE)-K102)/1000,3),""))</f>
        <v/>
      </c>
      <c r="M102" s="19">
        <f>IF(M101="","",M101+1)</f>
        <v>296</v>
      </c>
      <c r="N102" s="39"/>
      <c r="O102" s="39"/>
      <c r="P102" s="15" t="str">
        <f>IF(AND(N102&lt;&gt;"",O102&lt;&gt;""),ROUND(N102,3)+ROUND(P101,3)-ROUND(O102,3),IF(AND(EXACT(UPPER(M102),"TBM"),N102&lt;&gt;""),ROUND(N102,3),IF(N102="",P101,IF(ISNA(VLOOKUP(M102,A6:E105,5,FALSE)),IF(ISNA(VLOOKUP(M102,G6:K105,5,FALSE)),IF(ISNA(VLOOKUP(M102,M6:Q101,5,FALSE)),"",ROUND(VLOOKUP(M102,M6:Q101,5,FALSE),0)/1000+ROUND(N102,3)),ROUND(VLOOKUP(M102,G6:K105,5,FALSE),0)/1000+ROUND(N102,3)),ROUND(VLOOKUP(M102,A6:E105,5,FALSE),0)/1000+ROUND(N102,3)))))</f>
        <v/>
      </c>
      <c r="Q102" s="18" t="str">
        <f>IF(OR(NOT(EXACT(UPPER(M102),"TBM")),N102=""),IF(AND(N102&lt;&gt;"",O102="",P102&lt;&gt;""),"",IF(AND(N102="",O102&lt;&gt;"",P102&lt;&gt;""),ROUND(ROUND(P102,3)-ROUND(O102,3),3)*1000,IF(AND(N102&lt;&gt;"",O102&lt;&gt;"",P102&lt;&gt;""),ROUND(ROUND(P101,3)-ROUND(O102,3),3)*1000,""))),"")</f>
        <v/>
      </c>
      <c r="R102" s="45" t="str">
        <f>IF(AND(NOT(ISNA(VLOOKUP(M102,A6:E105,5,FALSE))),N102="",O102&lt;&gt;""),ROUND((VLOOKUP(M102,A6:E105,5,FALSE)-Q102)/1000,3),IF(AND(NOT(ISNA(VLOOKUP(M102,G6:K105,5,FALSE))),N102="",O102&lt;&gt;""),ROUND((VLOOKUP(M102,G6:K105,5,FALSE)-Q102)/1000,3),IF(AND(NOT(ISNA(VLOOKUP(M102,M6:Q101,5,FALSE))),N102="",O102&lt;&gt;""),ROUND((VLOOKUP(M102,M6:Q101,5,FALSE)-Q102)/1000,3),"")))</f>
        <v/>
      </c>
      <c r="S102" s="19">
        <f>IF(S101="","",S101+1)</f>
        <v>396</v>
      </c>
      <c r="T102" s="39"/>
      <c r="U102" s="39"/>
      <c r="V102" s="15" t="str">
        <f>IF(AND(T102&lt;&gt;"",U102&lt;&gt;""),ROUND(T102,3)+ROUND(V101,3)-ROUND(U102,3),IF(AND(EXACT(UPPER(S102),"TBM"),T102&lt;&gt;""),ROUND(T102,3),IF(T102="",V101,IF(ISNA(VLOOKUP(S102,A6:E105,5,FALSE)),IF(ISNA(VLOOKUP(S102,G6:K105,5,FALSE)),IF(ISNA(VLOOKUP(S102,M6:Q105,5,FALSE)),IF(ISNA(VLOOKUP(S102,S6:W101,5,FALSE)),"",ROUND(VLOOKUP(S102,S6:W101,5,FALSE),0)/1000+ROUND(T102,3)),ROUND(VLOOKUP(S102,M6:Q105,5,FALSE),0)/1000+ROUND(T102,3)),ROUND(VLOOKUP(S102,G6:K105,5,FALSE),0)/1000+ROUND(T102,3)),ROUND(VLOOKUP(S102,A6:E105,5,FALSE),0)/1000+ROUND(T102,3)))))</f>
        <v/>
      </c>
      <c r="W102" s="18" t="str">
        <f>IF(OR(NOT(EXACT(UPPER(S102),"TBM")),T102=""),IF(AND(T102&lt;&gt;"",U102="",V102&lt;&gt;""),"",IF(AND(T102="",U102&lt;&gt;"",V102&lt;&gt;""),ROUND(ROUND(V102,3)-ROUND(U102,3),3)*1000,IF(AND(T102&lt;&gt;"",U102&lt;&gt;"",V102&lt;&gt;""),ROUND(ROUND(V101,3)-ROUND(U102,3),3)*1000,""))),"")</f>
        <v/>
      </c>
      <c r="X102" s="45" t="str">
        <f>IF(AND(NOT(ISNA(VLOOKUP(S102,A6:E105,5,FALSE))),T102="",U102&lt;&gt;""),ROUND((VLOOKUP(S102,A6:E105,5,FALSE)-W102)/1000,3),IF(AND(NOT(ISNA(VLOOKUP(S102,G6:K105,5,FALSE))),T102="",U102&lt;&gt;""),ROUND((VLOOKUP(S102,G6:K105,5,FALSE)-W102)/1000,3),IF(AND(NOT(ISNA(VLOOKUP(S102,M6:Q105,5,FALSE))),T102="",U102&lt;&gt;""),ROUND((VLOOKUP(S102,M6:Q105,5,FALSE)-W102)/1000,3),IF(AND(NOT(ISNA(VLOOKUP(S102,S6:W101,5,FALSE))),T102="",U102&lt;&gt;""),ROUND((VLOOKUP(S102,S6:W101,5,FALSE)-W102)/1000,3),""))))</f>
        <v/>
      </c>
      <c r="Y102" s="19">
        <f>IF(Y101="","",Y101+1)</f>
        <v>496</v>
      </c>
      <c r="Z102" s="39"/>
      <c r="AA102" s="39"/>
      <c r="AB102" s="15" t="str">
        <f>IF(AND(Z102&lt;&gt;"",AA102&lt;&gt;""),ROUND(Z102,3)+ROUND(AB101,3)-ROUND(AA102,3),IF(AND(EXACT(UPPER(Y102),"TBM"),Z102&lt;&gt;""),ROUND(Z102,3),IF(Z102="",AB101,IF(ISNA(VLOOKUP(Y102,A6:E105,5,FALSE)),IF(ISNA(VLOOKUP(Y102,G6:K105,5,FALSE)),IF(ISNA(VLOOKUP(Y102,M6:Q105,5,FALSE)),IF(ISNA(VLOOKUP(Y102,S6:W105,5,FALSE)),IF(ISNA(VLOOKUP(Y102,Y6:AC101,5,FALSE)),"",ROUND(VLOOKUP(Y102,Y6:AC101,5,FALSE),0)/1000+ROUND(Z102,3)),ROUND(VLOOKUP(Y102,S6:W105,5,FALSE),0)/1000+ROUND(Z102,3)),ROUND(VLOOKUP(Y102,M6:Q105,5,FALSE),0)/1000+ROUND(Z102,3)),ROUND(VLOOKUP(Y102,G6:K105,5,FALSE),0)/1000+ROUND(Z102,3)),ROUND(VLOOKUP(Y102,A6:E105,5,FALSE),0)/1000+ROUND(Z102,3)))))</f>
        <v/>
      </c>
      <c r="AC102" s="18" t="str">
        <f>IF(OR(NOT(EXACT(UPPER(Y102),"TBM")),Z102=""),IF(AND(Z102&lt;&gt;"",AA102="",AB102&lt;&gt;""),"",IF(AND(Z102="",AA102&lt;&gt;"",AB102&lt;&gt;""),ROUND(ROUND(AB102,3)-ROUND(AA102,3),3)*1000,IF(AND(Z102&lt;&gt;"",AA102&lt;&gt;"",AB102&lt;&gt;""),ROUND(ROUND(AB101,3)-ROUND(AA102,3),3)*1000,""))),"")</f>
        <v/>
      </c>
      <c r="AD102" s="45" t="str">
        <f>IF(AND(NOT(ISNA(VLOOKUP(Y102,A6:E105,5,FALSE))),Z102="",AA102&lt;&gt;""),ROUND((VLOOKUP(Y102,A6:E105,5,FALSE)-AC102)/1000,3),IF(AND(NOT(ISNA(VLOOKUP(Y102,G6:K105,5,FALSE))),Z102="",AA102&lt;&gt;""),ROUND((VLOOKUP(Y102,G6:K105,5,FALSE)-AC102)/1000,3),IF(AND(NOT(ISNA(VLOOKUP(Y102,M6:Q105,5,FALSE))),Z102="",AA102&lt;&gt;""),ROUND((VLOOKUP(Y102,M6:Q105,5,FALSE)-AC102)/1000,3),IF(AND(NOT(ISNA(VLOOKUP(Y102,S6:W105,5,FALSE))),Z102="",AA102&lt;&gt;""),ROUND((VLOOKUP(Y102,S6:W105,5,FALSE)-AC102)/1000,3),IF(AND(NOT(ISNA(VLOOKUP(Y102,Y6:AC101,5,FALSE))),Z102="",AA102&lt;&gt;""),ROUND((VLOOKUP(Y102,Y6:AC101,5,FALSE)-AC102)/1000,3),"")))))</f>
        <v/>
      </c>
      <c r="AE102" s="19">
        <f>IF(AE101="","",AE101+1)</f>
        <v>596</v>
      </c>
      <c r="AF102" s="39"/>
      <c r="AG102" s="39"/>
      <c r="AH102" s="15" t="str">
        <f>IF(AND(AF102&lt;&gt;"",AG102&lt;&gt;""),ROUND(AF102,3)+ROUND(AH101,3)-ROUND(AG102,3),IF(AND(EXACT(UPPER(AE102),"TBM"),AF102&lt;&gt;""),ROUND(AF102,3),IF(AF102="",AH101,IF(ISNA(VLOOKUP(AE102,A6:E105,5,FALSE)),IF(ISNA(VLOOKUP(AE102,G6:K105,5,FALSE)),IF(ISNA(VLOOKUP(AE102,M6:Q105,5,FALSE)),IF(ISNA(VLOOKUP(AE102,S6:W105,5,FALSE)),IF(ISNA(VLOOKUP(AE102,Y6:AC105,5,FALSE)),IF(ISNA(VLOOKUP(AE102,AE6:AI101,5,FALSE)),"",ROUND(VLOOKUP(AE102,AE6:AI101,5,FALSE),0)/1000+ROUND(AF102,3)),ROUND(VLOOKUP(AE102,Y6:AC105,5,FALSE),0)/1000+ROUND(AF102,3)),ROUND(VLOOKUP(AE102,S6:W105,5,FALSE),0)/1000+ROUND(AF102,3)),ROUND(VLOOKUP(AE102,M6:Q105,5,FALSE),0)/1000+ROUND(AF102,3)),ROUND(VLOOKUP(AE102,G6:K105,5,FALSE),0)/1000+ROUND(AF102,3)),ROUND(VLOOKUP(AE102,A6:E105,5,FALSE),0)/1000+ROUND(AF102,3)))))</f>
        <v/>
      </c>
      <c r="AI102" s="18" t="str">
        <f>IF(OR(NOT(EXACT(UPPER(AE102),"TBM")),AF102=""),IF(AND(AF102&lt;&gt;"",AG102="",AH102&lt;&gt;""),"",IF(AND(AF102="",AG102&lt;&gt;"",AH102&lt;&gt;""),ROUND(ROUND(AH102,3)-ROUND(AG102,3),3)*1000,IF(AND(AF102&lt;&gt;"",AG102&lt;&gt;"",AH102&lt;&gt;""),ROUND(ROUND(AH101,3)-ROUND(AG102,3),3)*1000,""))),"")</f>
        <v/>
      </c>
      <c r="AJ102" s="45" t="str">
        <f>IF(AND(NOT(ISNA(VLOOKUP(AE102,A6:E105,5,FALSE))),AF102="",AG102&lt;&gt;""),ROUND((VLOOKUP(AE102,A6:E105,5,FALSE)-AI102)/1000,3),IF(AND(NOT(ISNA(VLOOKUP(AE102,G6:K105,5,FALSE))),AF102="",AG102&lt;&gt;""),ROUND((VLOOKUP(AE102,G6:K105,5,FALSE)-AI102)/1000,3),IF(AND(NOT(ISNA(VLOOKUP(AE102,M6:Q105,5,FALSE))),AF102="",AG102&lt;&gt;""),ROUND((VLOOKUP(AE102,M6:Q105,5,FALSE)-AI102)/1000,3),IF(AND(NOT(ISNA(VLOOKUP(AE102,S6:W105,5,FALSE))),AF102="",AG102&lt;&gt;""),ROUND((VLOOKUP(AE102,S6:W105,5,FALSE)-AI102)/1000,3),IF(AND(NOT(ISNA(VLOOKUP(AE102,Y6:AC105,5,FALSE))),AF102="",AG102&lt;&gt;""),ROUND((VLOOKUP(AE102,Y6:AC105,5,FALSE)-AI102)/1000,3),IF(AND(NOT(ISNA(VLOOKUP(AE102,AE6:AI101,5,FALSE))),AF102="",AG102&lt;&gt;""),ROUND((VLOOKUP(AE102,AE6:AI101,5,FALSE)-AI102)/1000,3),""))))))</f>
        <v/>
      </c>
      <c r="AK102" s="19">
        <f>IF(AK101="","",AK101+1)</f>
        <v>696</v>
      </c>
      <c r="AL102" s="39"/>
      <c r="AM102" s="39"/>
      <c r="AN102" s="15" t="str">
        <f>IF(AND(AL102&lt;&gt;"",AM102&lt;&gt;""),ROUND(AL102,3)+ROUND(AN101,3)-ROUND(AM102,3),IF(AND(EXACT(UPPER(AK102),"TBM"),AL102&lt;&gt;""),ROUND(AL102,3),IF(AL102="",AN101,IF(ISNA(VLOOKUP(AK102,A6:E105,5,FALSE)),IF(ISNA(VLOOKUP(AK102,G6:K105,5,FALSE)),IF(ISNA(VLOOKUP(AK102,M6:Q105,5,FALSE)),IF(ISNA(VLOOKUP(AK102,S6:W105,5,FALSE)),IF(ISNA(VLOOKUP(AK102,Y6:AC105,5,FALSE)),IF(ISNA(VLOOKUP(AK102,AE6:AI105,5,FALSE)),IF(ISNA(VLOOKUP(AK102,AK6:AO101,5,FALSE)),"",ROUND(VLOOKUP(AK102,AK6:AO101,5,FALSE),0)/1000+ROUND(AL102,3)),ROUND(VLOOKUP(AK102,AE6:AI105,5,FALSE),0)/1000+ROUND(AL102,3)),ROUND(VLOOKUP(AK102,Y6:AC105,5,FALSE),0)/1000+ROUND(AL102,3)),ROUND(VLOOKUP(AK102,S6:W105,5,FALSE),0)/1000+ROUND(AL102,3)),ROUND(VLOOKUP(AK102,M6:Q105,5,FALSE),0)/1000+ROUND(AL102,3)),ROUND(VLOOKUP(AK102,G6:K105,5,FALSE),0)/1000+ROUND(AL102,3)),ROUND(VLOOKUP(AK102,A6:E105,5,FALSE),0)/1000+ROUND(AL102,3)))))</f>
        <v/>
      </c>
      <c r="AO102" s="18" t="str">
        <f>IF(OR(NOT(EXACT(UPPER(AK102),"TBM")),AL102=""),IF(AND(AL102&lt;&gt;"",AM102="",AN102&lt;&gt;""),"",IF(AND(AL102="",AM102&lt;&gt;"",AN102&lt;&gt;""),ROUND(ROUND(AN102,3)-ROUND(AM102,3),3)*1000,IF(AND(AL102&lt;&gt;"",AM102&lt;&gt;"",AN102&lt;&gt;""),ROUND(ROUND(AN101,3)-ROUND(AM102,3),3)*1000,""))),"")</f>
        <v/>
      </c>
      <c r="AP102" s="45" t="str">
        <f>IF(AND(NOT(ISNA(VLOOKUP(AK102,A6:E105,5,FALSE))),AL102="",AM102&lt;&gt;""),ROUND((VLOOKUP(AK102,A6:E105,5,FALSE)-AO102)/1000,3),IF(AND(NOT(ISNA(VLOOKUP(AK102,G6:K105,5,FALSE))),AL102="",AM102&lt;&gt;""),ROUND((VLOOKUP(AK102,G6:K105,5,FALSE)-AO102)/1000,3),IF(AND(NOT(ISNA(VLOOKUP(AK102,M6:Q105,5,FALSE))),AL102="",AM102&lt;&gt;""),ROUND((VLOOKUP(AK102,M6:Q105,5,FALSE)-AO102)/1000,3),IF(AND(NOT(ISNA(VLOOKUP(AK102,S6:W105,5,FALSE))),AL102="",AM102&lt;&gt;""),ROUND((VLOOKUP(AK102,S6:W105,5,FALSE)-AO102)/1000,3),IF(AND(NOT(ISNA(VLOOKUP(AK102,Y6:AC105,5,FALSE))),AL102="",AM102&lt;&gt;""),ROUND((VLOOKUP(AK102,Y6:AC105,5,FALSE)-AO102)/1000,3),IF(AND(NOT(ISNA(VLOOKUP(AK102,AE6:AI105,5,FALSE))),AL102="",AM102&lt;&gt;""),ROUND((VLOOKUP(AK102,AE6:AI105,5,FALSE)-AO102)/1000,3),IF(AND(NOT(ISNA(VLOOKUP(AK102,AK6:AO101,5,FALSE))),AL102="",AM102&lt;&gt;""),ROUND((VLOOKUP(AK102,AK6:AO101,5,FALSE)-AO102)/1000,3),"")))))))</f>
        <v/>
      </c>
      <c r="AQ102" s="19">
        <f>IF(AQ101="","",AQ101+1)</f>
        <v>796</v>
      </c>
      <c r="AR102" s="39"/>
      <c r="AS102" s="39"/>
      <c r="AT102" s="15" t="str">
        <f>IF(AND(AR102&lt;&gt;"",AS102&lt;&gt;""),ROUND(AR102,3)+ROUND(AT101,3)-ROUND(AS102,3),IF(AND(EXACT(UPPER(AQ102),"TBM"),AR102&lt;&gt;""),ROUND(AR102,3),IF(AR102="",AT101,IF(ISNA(VLOOKUP(AQ102,A6:E105,5,FALSE)),IF(ISNA(VLOOKUP(AQ102,G6:K105,5,FALSE)),IF(ISNA(VLOOKUP(AQ102,M6:Q105,5,FALSE)),IF(ISNA(VLOOKUP(AQ102,S6:W105,5,FALSE)),IF(ISNA(VLOOKUP(AQ102,Y6:AC105,5,FALSE)),IF(ISNA(VLOOKUP(AQ102,AE6:AI105,5,FALSE)),IF(ISNA(VLOOKUP(AQ102,AK6:AO105,5,FALSE)),IF(ISNA(VLOOKUP(AQ102,AQ6:AU101,5,FALSE)),"",ROUND(VLOOKUP(AQ102,AQ6:AU101,5,FALSE),0)/1000+ROUND(AR102,3)),ROUND(VLOOKUP(AQ102,AK6:AO105,5,FALSE),0)/1000+ROUND(AR102,3)),ROUND(VLOOKUP(AQ102,AE6:AI105,5,FALSE),0)/1000+ROUND(AR102,3)),ROUND(VLOOKUP(AQ102,Y6:AC105,5,FALSE),0)/1000+ROUND(AR102,3)),ROUND(VLOOKUP(AQ102,S6:W105,5,FALSE),0)/1000+ROUND(AR102,3)),ROUND(VLOOKUP(AQ102,M6:Q105,5,FALSE),0)/1000+ROUND(AR102,3)),ROUND(VLOOKUP(AQ102,G6:K105,5,FALSE),0)/1000+ROUND(AR102,3)),ROUND(VLOOKUP(AQ102,A6:E105,5,FALSE),0)/1000+ROUND(AR102,3)))))</f>
        <v/>
      </c>
      <c r="AU102" s="18" t="str">
        <f>IF(OR(NOT(EXACT(UPPER(AQ102),"TBM")),AR102=""),IF(AND(AR102&lt;&gt;"",AS102="",AT102&lt;&gt;""),"",IF(AND(AR102="",AS102&lt;&gt;"",AT102&lt;&gt;""),ROUND(ROUND(AT102,3)-ROUND(AS102,3),3)*1000,IF(AND(AR102&lt;&gt;"",AS102&lt;&gt;"",AT102&lt;&gt;""),ROUND(ROUND(AT101,3)-ROUND(AS102,3),3)*1000,""))),"")</f>
        <v/>
      </c>
      <c r="AV102" s="45" t="str">
        <f>IF(AND(NOT(ISNA(VLOOKUP(AQ102,A6:E105,5,FALSE))),AR102="",AS102&lt;&gt;""),ROUND((VLOOKUP(AQ102,A6:E105,5,FALSE)-AU102)/1000,3),IF(AND(NOT(ISNA(VLOOKUP(AQ102,G6:K105,5,FALSE))),AR102="",AS102&lt;&gt;""),ROUND((VLOOKUP(AQ102,G6:K105,5,FALSE)-AU102)/1000,3),IF(AND(NOT(ISNA(VLOOKUP(AQ102,M6:Q105,5,FALSE))),AR102="",AS102&lt;&gt;""),ROUND((VLOOKUP(AQ102,M6:Q105,5,FALSE)-AU102)/1000,3),IF(AND(NOT(ISNA(VLOOKUP(AQ102,S6:W105,5,FALSE))),AR102="",AS102&lt;&gt;""),ROUND((VLOOKUP(AQ102,S6:W105,5,FALSE)-AU102)/1000,3),IF(AND(NOT(ISNA(VLOOKUP(AQ102,Y6:AC105,5,FALSE))),AR102="",AS102&lt;&gt;""),ROUND((VLOOKUP(AQ102,Y6:AC105,5,FALSE)-AU102)/1000,3),IF(AND(NOT(ISNA(VLOOKUP(AQ102,AE6:AI105,5,FALSE))),AR102="",AS102&lt;&gt;""),ROUND((VLOOKUP(AQ102,AE6:AI105,5,FALSE)-AU102)/1000,3),IF(AND(NOT(ISNA(VLOOKUP(AQ102,AK6:AO105,5,FALSE))),AR102="",AS102&lt;&gt;""),ROUND((VLOOKUP(AQ102,AK6:AO105,5,FALSE)-AU102)/1000,3),IF(AND(NOT(ISNA(VLOOKUP(AQ102,AQ6:AU101,5,FALSE))),AR102="",AS102&lt;&gt;""),ROUND((VLOOKUP(AQ102,AQ6:AU101,5,FALSE)-AU102)/1000,3),""))))))))</f>
        <v/>
      </c>
      <c r="AW102" s="19">
        <f>IF(AW101="","",AW101+1)</f>
        <v>896</v>
      </c>
      <c r="AX102" s="39"/>
      <c r="AY102" s="39"/>
      <c r="AZ102" s="15" t="str">
        <f>IF(AND(AX102&lt;&gt;"",AY102&lt;&gt;""),ROUND(AX102,3)+ROUND(AZ101,3)-ROUND(AY102,3),IF(AND(EXACT(UPPER(AW102),"TBM"),AX102&lt;&gt;""),ROUND(AX102,3),IF(AX102="",AZ101,IF(ISNA(VLOOKUP(AW102,A6:E105,5,FALSE)),IF(ISNA(VLOOKUP(AW102,G6:K105,5,FALSE)),IF(ISNA(VLOOKUP(AW102,M6:Q105,5,FALSE)),IF(ISNA(VLOOKUP(AW102,S6:W105,5,FALSE)),IF(ISNA(VLOOKUP(AW102,Y6:AC105,5,FALSE)),IF(ISNA(VLOOKUP(AW102,AE6:AI105,5,FALSE)),IF(ISNA(VLOOKUP(AW102,AK6:AO105,5,FALSE)),IF(ISNA(VLOOKUP(AW102,AQ6:AU105,5,FALSE)),IF(ISNA(VLOOKUP(AW102,AW6:BA101,5,FALSE)),"",ROUND(VLOOKUP(AW102,AW6:BA101,5,FALSE),0)/1000+ROUND(AX102,3)),ROUND(VLOOKUP(AW102,AQ6:AU105,5,FALSE),0)/1000+ROUND(AX102,3)),ROUND(VLOOKUP(AW102,AK6:AO105,5,FALSE),0)/1000+ROUND(AX102,3)),ROUND(VLOOKUP(AW102,AE6:AI105,5,FALSE),0)/1000+ROUND(AX102,3)),ROUND(VLOOKUP(AW102,Y6:AC105,5,FALSE),0)/1000+ROUND(AX102,3)),ROUND(VLOOKUP(AW102,S6:W105,5,FALSE),0)/1000+ROUND(AX102,3)),ROUND(VLOOKUP(AW102,M6:Q105,5,FALSE),0)/1000+ROUND(AX102,3)),ROUND(VLOOKUP(AW102,G6:K105,5,FALSE),0)/1000+ROUND(AX102,3)),ROUND(VLOOKUP(AW102,A6:E105,5,FALSE),0)/1000+ROUND(AX102,3)))))</f>
        <v/>
      </c>
      <c r="BA102" s="18" t="str">
        <f>IF(OR(NOT(EXACT(UPPER(AW102),"TBM")),AX102=""),IF(AND(AX102&lt;&gt;"",AY102="",AZ102&lt;&gt;""),"",IF(AND(AX102="",AY102&lt;&gt;"",AZ102&lt;&gt;""),ROUND(ROUND(AZ102,3)-ROUND(AY102,3),3)*1000,IF(AND(AX102&lt;&gt;"",AY102&lt;&gt;"",AZ102&lt;&gt;""),ROUND(ROUND(AZ101,3)-ROUND(AY102,3),3)*1000,""))),"")</f>
        <v/>
      </c>
      <c r="BB102" s="45" t="str">
        <f>IF(AND(NOT(ISNA(VLOOKUP(AW102,A6:E105,5,FALSE))),AX102="",AY102&lt;&gt;""),ROUND((VLOOKUP(AW102,A6:E105,5,FALSE)-BA102)/1000,3),IF(AND(NOT(ISNA(VLOOKUP(AW102,G6:K105,5,FALSE))),AX102="",AY102&lt;&gt;""),ROUND((VLOOKUP(AW102,G6:K105,5,FALSE)-BA102)/1000,3),IF(AND(NOT(ISNA(VLOOKUP(AW102,M6:Q105,5,FALSE))),AX102="",AY102&lt;&gt;""),ROUND((VLOOKUP(AW102,M6:Q105,5,FALSE)-BA102)/1000,3),IF(AND(NOT(ISNA(VLOOKUP(AW102,S6:W105,5,FALSE))),AX102="",AY102&lt;&gt;""),ROUND((VLOOKUP(AW102,S6:W105,5,FALSE)-BA102)/1000,3),IF(AND(NOT(ISNA(VLOOKUP(AW102,Y6:AC105,5,FALSE))),AX102="",AY102&lt;&gt;""),ROUND((VLOOKUP(AW102,Y6:AC105,5,FALSE)-BA102)/1000,3),IF(AND(NOT(ISNA(VLOOKUP(AW102,AE6:AI105,5,FALSE))),AX102="",AY102&lt;&gt;""),ROUND((VLOOKUP(AW102,AE6:AI105,5,FALSE)-BA102)/1000,3),IF(AND(NOT(ISNA(VLOOKUP(AW102,AK6:AO105,5,FALSE))),AX102="",AY102&lt;&gt;""),ROUND((VLOOKUP(AW102,AK6:AO105,5,FALSE)-BA102)/1000,3),IF(AND(NOT(ISNA(VLOOKUP(AW102,AQ6:AU105,5,FALSE))),AX102="",AY102&lt;&gt;""),ROUND((VLOOKUP(AW102,AQ6:AU105,5,FALSE)-BA102)/1000,3),IF(AND(NOT(ISNA(VLOOKUP(AW102,AW6:BA101,5,FALSE))),AX102="",AY102&lt;&gt;""),ROUND((VLOOKUP(AW102,AW6:BA101,5,FALSE)-BA102)/1000,3),"")))))))))</f>
        <v/>
      </c>
      <c r="BC102" s="19">
        <f>IF(BC101="","",BC101+1)</f>
        <v>996</v>
      </c>
      <c r="BD102" s="39"/>
      <c r="BE102" s="39"/>
      <c r="BF102" s="15" t="str">
        <f>IF(AND(BD102&lt;&gt;"",BE102&lt;&gt;""),ROUND(BD102,3)+ROUND(BF101,3)-ROUND(BE102,3),IF(AND(EXACT(UPPER(BC102),"TBM"),BD102&lt;&gt;""),ROUND(BD102,3),IF(BD102="",BF101,IF(ISNA(VLOOKUP(BC102,A6:E105,5,FALSE)),IF(ISNA(VLOOKUP(BC102,G6:K105,5,FALSE)),IF(ISNA(VLOOKUP(BC102,M6:Q105,5,FALSE)),IF(ISNA(VLOOKUP(BC102,S6:W105,5,FALSE)),IF(ISNA(VLOOKUP(BC102,Y6:AC105,5,FALSE)),IF(ISNA(VLOOKUP(BC102,AE6:AI105,5,FALSE)),IF(ISNA(VLOOKUP(BC102,AK6:AO105,5,FALSE)),IF(ISNA(VLOOKUP(BC102,AQ6:AU105,5,FALSE)),IF(ISNA(VLOOKUP(BC102,AW6:BA105,5,FALSE)),IF(ISNA(VLOOKUP(BC102,BC6:BG101,5,FALSE)),"",ROUND(VLOOKUP(BC102,BC6:BG101,5,FALSE),0)/1000+ROUND(BD102,3)),ROUND(VLOOKUP(BC102,AW6:BA105,5,FALSE),0)/1000+ROUND(BD102,3)),ROUND(VLOOKUP(BC102,AQ6:AU105,5,FALSE),0)/1000+ROUND(BD102,3)),ROUND(VLOOKUP(BC102,AK6:AO105,5,FALSE),0)/1000+ROUND(BD102,3)),ROUND(VLOOKUP(BC102,AE6:AI105,5,FALSE),0)/1000+ROUND(BD102,3)),ROUND(VLOOKUP(BC102,Y6:AC105,5,FALSE),0)/1000+ROUND(BD102,3)),ROUND(VLOOKUP(BC102,S6:W105,5,FALSE),0)/1000+ROUND(BD102,3)),ROUND(VLOOKUP(BC102,M6:Q105,5,FALSE),0)/1000+ROUND(BD102,3)),ROUND(VLOOKUP(BC102,G6:K105,5,FALSE),0)/1000+ROUND(BD102,3)),ROUND(VLOOKUP(BC102,A6:E105,5,FALSE),0)/1000+ROUND(BD102,3)))))</f>
        <v/>
      </c>
      <c r="BG102" s="18" t="str">
        <f>IF(OR(NOT(EXACT(UPPER(BC102),"TBM")),BD102=""),IF(AND(BD102&lt;&gt;"",BE102="",BF102&lt;&gt;""),"",IF(AND(BD102="",BE102&lt;&gt;"",BF102&lt;&gt;""),ROUND(ROUND(BF102,3)-ROUND(BE102,3),3)*1000,IF(AND(BD102&lt;&gt;"",BE102&lt;&gt;"",BF102&lt;&gt;""),ROUND(ROUND(BF101,3)-ROUND(BE102,3),3)*1000,""))),"")</f>
        <v/>
      </c>
      <c r="BH102" s="45" t="str">
        <f>IF(AND(NOT(ISNA(VLOOKUP(BC102,A6:E105,5,FALSE))),BD102="",BE102&lt;&gt;""),ROUND((VLOOKUP(BC102,A6:E105,5,FALSE)-BG102)/1000,3),IF(AND(NOT(ISNA(VLOOKUP(BC102,G6:K105,5,FALSE))),BD102="",BE102&lt;&gt;""),ROUND((VLOOKUP(BC102,G6:K105,5,FALSE)-BG102)/1000,3),IF(AND(NOT(ISNA(VLOOKUP(BC102,M6:Q105,5,FALSE))),BD102="",BE102&lt;&gt;""),ROUND((VLOOKUP(BC102,M6:Q105,5,FALSE)-BG102)/1000,3),IF(AND(NOT(ISNA(VLOOKUP(BC102,S6:W105,5,FALSE))),BD102="",BE102&lt;&gt;""),ROUND((VLOOKUP(BC102,S6:W105,5,FALSE)-BG102)/1000,3),IF(AND(NOT(ISNA(VLOOKUP(BC102,Y6:AC105,5,FALSE))),BD102="",BE102&lt;&gt;""),ROUND((VLOOKUP(BC102,Y6:AC105,5,FALSE)-BG102)/1000,3),IF(AND(NOT(ISNA(VLOOKUP(BC102,AE6:AI105,5,FALSE))),BD102="",BE102&lt;&gt;""),ROUND((VLOOKUP(BC102,AE6:AI105,5,FALSE)-BG102)/1000,3),IF(AND(NOT(ISNA(VLOOKUP(BC102,AK6:AO105,5,FALSE))),BD102="",BE102&lt;&gt;""),ROUND((VLOOKUP(BC102,AK6:AO105,5,FALSE)-BG102)/1000,3),IF(AND(NOT(ISNA(VLOOKUP(BC102,AQ6:AU105,5,FALSE))),BD102="",BE102&lt;&gt;""),ROUND((VLOOKUP(BC102,AQ6:AU105,5,FALSE)-BG102)/1000,3),IF(AND(NOT(ISNA(VLOOKUP(BC102,AW6:BA105,5,FALSE))),BD102="",BE102&lt;&gt;""),ROUND((VLOOKUP(BC102,AW6:BA105,5,FALSE)-BG102)/1000,3),IF(AND(NOT(ISNA(VLOOKUP(BC102,BC6:BG101,5,FALSE))),BD102="",BE102&lt;&gt;""),ROUND((VLOOKUP(BC102,BC6:BG101,5,FALSE)-BG102)/1000,3),""))))))))))</f>
        <v/>
      </c>
    </row>
    <row r="103" spans="1:60" x14ac:dyDescent="0.25">
      <c r="A103" s="19">
        <f t="shared" si="9"/>
        <v>97</v>
      </c>
      <c r="B103" s="39"/>
      <c r="C103" s="39"/>
      <c r="D103" s="15" t="str">
        <f>IF(AND(B103&lt;&gt;"",C103&lt;&gt;""),ROUND(B103,3)+ROUND(D102,3)-ROUND(C103,3),IF(AND(EXACT(UPPER(A103),"TBM"),B103&lt;&gt;""),ROUND(B103,3),IF(B103="",D102,IF(ISNA(VLOOKUP(A103,A6:E102,5,FALSE)),"",ROUND(VLOOKUP(A103,A6:E102,5,FALSE),0)/1000+ROUND(B103,3)))))</f>
        <v/>
      </c>
      <c r="E103" s="21" t="str">
        <f t="shared" ref="E103:E134" si="10">IF(OR(NOT(EXACT(UPPER(A103),"TBM")),B103=""),IF(AND(B103&lt;&gt;"",C103="",D103&lt;&gt;""),"",IF(AND(B103="",C103&lt;&gt;"",D103&lt;&gt;""),ROUND(ROUND(D103,3)-ROUND(C103,3),3)*1000,IF(AND(B103&lt;&gt;"",C103&lt;&gt;"",D103&lt;&gt;""),ROUND(ROUND(D102,3)-ROUND(C103,3),3)*1000,""))),"")</f>
        <v/>
      </c>
      <c r="F103" s="45" t="str">
        <f>IF(AND(NOT(ISNA(VLOOKUP(A103,A6:E102,5,FALSE))),B103="",C103&lt;&gt;""),ROUND((VLOOKUP(A103,A6:E102,5,FALSE)-E103)/1000,3),"")</f>
        <v/>
      </c>
      <c r="G103" s="19">
        <f t="shared" si="7"/>
        <v>197</v>
      </c>
      <c r="H103" s="39"/>
      <c r="I103" s="39"/>
      <c r="J103" s="15" t="str">
        <f>IF(AND(H103&lt;&gt;"",I103&lt;&gt;""),ROUND(H103,3)+ROUND(J102,3)-ROUND(I103,3),IF(AND(EXACT(UPPER(G103),"TBM"),H103&lt;&gt;""),ROUND(H103,3),IF(H103="",J102,IF(ISNA(VLOOKUP(G103,A6:E105,5,FALSE)),IF(ISNA(VLOOKUP(G103,G6:K102,5,FALSE)),"",ROUND(VLOOKUP(G103,G6:K102,5,FALSE),0)/1000+ROUND(H103,3)),ROUND(VLOOKUP(G103,A6:E105,5,FALSE),0)/1000+ROUND(H103,3)))))</f>
        <v/>
      </c>
      <c r="K103" s="18" t="str">
        <f t="shared" ref="K103:K134" si="11">IF(OR(NOT(EXACT(UPPER(G103),"TBM")),H103=""),IF(AND(H103&lt;&gt;"",I103="",J103&lt;&gt;""),"",IF(AND(H103="",I103&lt;&gt;"",J103&lt;&gt;""),ROUND(ROUND(J103,3)-ROUND(I103,3),3)*1000,IF(AND(H103&lt;&gt;"",I103&lt;&gt;"",J103&lt;&gt;""),ROUND(ROUND(J102,3)-ROUND(I103,3),3)*1000,""))),"")</f>
        <v/>
      </c>
      <c r="L103" s="45" t="str">
        <f>IF(AND(NOT(ISNA(VLOOKUP(G103,A6:E105,5,FALSE))),H103="",I103&lt;&gt;""),ROUND((VLOOKUP(G103,A6:E105,5,FALSE)-K103)/1000,3),IF(AND(NOT(ISNA(VLOOKUP(G103,G6:K102,5,FALSE))),H103="",I103&lt;&gt;""),ROUND((VLOOKUP(G103,G6:K102,5,FALSE)-K103)/1000,3),""))</f>
        <v/>
      </c>
      <c r="M103" s="19">
        <f>IF(M102="","",M102+1)</f>
        <v>297</v>
      </c>
      <c r="N103" s="39"/>
      <c r="O103" s="39"/>
      <c r="P103" s="15" t="str">
        <f>IF(AND(N103&lt;&gt;"",O103&lt;&gt;""),ROUND(N103,3)+ROUND(P102,3)-ROUND(O103,3),IF(AND(EXACT(UPPER(M103),"TBM"),N103&lt;&gt;""),ROUND(N103,3),IF(N103="",P102,IF(ISNA(VLOOKUP(M103,A6:E105,5,FALSE)),IF(ISNA(VLOOKUP(M103,G6:K105,5,FALSE)),IF(ISNA(VLOOKUP(M103,M6:Q102,5,FALSE)),"",ROUND(VLOOKUP(M103,M6:Q102,5,FALSE),0)/1000+ROUND(N103,3)),ROUND(VLOOKUP(M103,G6:K105,5,FALSE),0)/1000+ROUND(N103,3)),ROUND(VLOOKUP(M103,A6:E105,5,FALSE),0)/1000+ROUND(N103,3)))))</f>
        <v/>
      </c>
      <c r="Q103" s="18" t="str">
        <f>IF(OR(NOT(EXACT(UPPER(M103),"TBM")),N103=""),IF(AND(N103&lt;&gt;"",O103="",P103&lt;&gt;""),"",IF(AND(N103="",O103&lt;&gt;"",P103&lt;&gt;""),ROUND(ROUND(P103,3)-ROUND(O103,3),3)*1000,IF(AND(N103&lt;&gt;"",O103&lt;&gt;"",P103&lt;&gt;""),ROUND(ROUND(P102,3)-ROUND(O103,3),3)*1000,""))),"")</f>
        <v/>
      </c>
      <c r="R103" s="45" t="str">
        <f>IF(AND(NOT(ISNA(VLOOKUP(M103,A6:E105,5,FALSE))),N103="",O103&lt;&gt;""),ROUND((VLOOKUP(M103,A6:E105,5,FALSE)-Q103)/1000,3),IF(AND(NOT(ISNA(VLOOKUP(M103,G6:K105,5,FALSE))),N103="",O103&lt;&gt;""),ROUND((VLOOKUP(M103,G6:K105,5,FALSE)-Q103)/1000,3),IF(AND(NOT(ISNA(VLOOKUP(M103,M6:Q102,5,FALSE))),N103="",O103&lt;&gt;""),ROUND((VLOOKUP(M103,M6:Q102,5,FALSE)-Q103)/1000,3),"")))</f>
        <v/>
      </c>
      <c r="S103" s="19">
        <f>IF(S102="","",S102+1)</f>
        <v>397</v>
      </c>
      <c r="T103" s="39"/>
      <c r="U103" s="39"/>
      <c r="V103" s="15" t="str">
        <f>IF(AND(T103&lt;&gt;"",U103&lt;&gt;""),ROUND(T103,3)+ROUND(V102,3)-ROUND(U103,3),IF(AND(EXACT(UPPER(S103),"TBM"),T103&lt;&gt;""),ROUND(T103,3),IF(T103="",V102,IF(ISNA(VLOOKUP(S103,A6:E105,5,FALSE)),IF(ISNA(VLOOKUP(S103,G6:K105,5,FALSE)),IF(ISNA(VLOOKUP(S103,M6:Q105,5,FALSE)),IF(ISNA(VLOOKUP(S103,S6:W102,5,FALSE)),"",ROUND(VLOOKUP(S103,S6:W102,5,FALSE),0)/1000+ROUND(T103,3)),ROUND(VLOOKUP(S103,M6:Q105,5,FALSE),0)/1000+ROUND(T103,3)),ROUND(VLOOKUP(S103,G6:K105,5,FALSE),0)/1000+ROUND(T103,3)),ROUND(VLOOKUP(S103,A6:E105,5,FALSE),0)/1000+ROUND(T103,3)))))</f>
        <v/>
      </c>
      <c r="W103" s="18" t="str">
        <f>IF(OR(NOT(EXACT(UPPER(S103),"TBM")),T103=""),IF(AND(T103&lt;&gt;"",U103="",V103&lt;&gt;""),"",IF(AND(T103="",U103&lt;&gt;"",V103&lt;&gt;""),ROUND(ROUND(V103,3)-ROUND(U103,3),3)*1000,IF(AND(T103&lt;&gt;"",U103&lt;&gt;"",V103&lt;&gt;""),ROUND(ROUND(V102,3)-ROUND(U103,3),3)*1000,""))),"")</f>
        <v/>
      </c>
      <c r="X103" s="45" t="str">
        <f>IF(AND(NOT(ISNA(VLOOKUP(S103,A6:E105,5,FALSE))),T103="",U103&lt;&gt;""),ROUND((VLOOKUP(S103,A6:E105,5,FALSE)-W103)/1000,3),IF(AND(NOT(ISNA(VLOOKUP(S103,G6:K105,5,FALSE))),T103="",U103&lt;&gt;""),ROUND((VLOOKUP(S103,G6:K105,5,FALSE)-W103)/1000,3),IF(AND(NOT(ISNA(VLOOKUP(S103,M6:Q105,5,FALSE))),T103="",U103&lt;&gt;""),ROUND((VLOOKUP(S103,M6:Q105,5,FALSE)-W103)/1000,3),IF(AND(NOT(ISNA(VLOOKUP(S103,S6:W102,5,FALSE))),T103="",U103&lt;&gt;""),ROUND((VLOOKUP(S103,S6:W102,5,FALSE)-W103)/1000,3),""))))</f>
        <v/>
      </c>
      <c r="Y103" s="19">
        <f>IF(Y102="","",Y102+1)</f>
        <v>497</v>
      </c>
      <c r="Z103" s="39"/>
      <c r="AA103" s="39"/>
      <c r="AB103" s="15" t="str">
        <f>IF(AND(Z103&lt;&gt;"",AA103&lt;&gt;""),ROUND(Z103,3)+ROUND(AB102,3)-ROUND(AA103,3),IF(AND(EXACT(UPPER(Y103),"TBM"),Z103&lt;&gt;""),ROUND(Z103,3),IF(Z103="",AB102,IF(ISNA(VLOOKUP(Y103,A6:E105,5,FALSE)),IF(ISNA(VLOOKUP(Y103,G6:K105,5,FALSE)),IF(ISNA(VLOOKUP(Y103,M6:Q105,5,FALSE)),IF(ISNA(VLOOKUP(Y103,S6:W105,5,FALSE)),IF(ISNA(VLOOKUP(Y103,Y6:AC102,5,FALSE)),"",ROUND(VLOOKUP(Y103,Y6:AC102,5,FALSE),0)/1000+ROUND(Z103,3)),ROUND(VLOOKUP(Y103,S6:W105,5,FALSE),0)/1000+ROUND(Z103,3)),ROUND(VLOOKUP(Y103,M6:Q105,5,FALSE),0)/1000+ROUND(Z103,3)),ROUND(VLOOKUP(Y103,G6:K105,5,FALSE),0)/1000+ROUND(Z103,3)),ROUND(VLOOKUP(Y103,A6:E105,5,FALSE),0)/1000+ROUND(Z103,3)))))</f>
        <v/>
      </c>
      <c r="AC103" s="18" t="str">
        <f>IF(OR(NOT(EXACT(UPPER(Y103),"TBM")),Z103=""),IF(AND(Z103&lt;&gt;"",AA103="",AB103&lt;&gt;""),"",IF(AND(Z103="",AA103&lt;&gt;"",AB103&lt;&gt;""),ROUND(ROUND(AB103,3)-ROUND(AA103,3),3)*1000,IF(AND(Z103&lt;&gt;"",AA103&lt;&gt;"",AB103&lt;&gt;""),ROUND(ROUND(AB102,3)-ROUND(AA103,3),3)*1000,""))),"")</f>
        <v/>
      </c>
      <c r="AD103" s="45" t="str">
        <f>IF(AND(NOT(ISNA(VLOOKUP(Y103,A6:E105,5,FALSE))),Z103="",AA103&lt;&gt;""),ROUND((VLOOKUP(Y103,A6:E105,5,FALSE)-AC103)/1000,3),IF(AND(NOT(ISNA(VLOOKUP(Y103,G6:K105,5,FALSE))),Z103="",AA103&lt;&gt;""),ROUND((VLOOKUP(Y103,G6:K105,5,FALSE)-AC103)/1000,3),IF(AND(NOT(ISNA(VLOOKUP(Y103,M6:Q105,5,FALSE))),Z103="",AA103&lt;&gt;""),ROUND((VLOOKUP(Y103,M6:Q105,5,FALSE)-AC103)/1000,3),IF(AND(NOT(ISNA(VLOOKUP(Y103,S6:W105,5,FALSE))),Z103="",AA103&lt;&gt;""),ROUND((VLOOKUP(Y103,S6:W105,5,FALSE)-AC103)/1000,3),IF(AND(NOT(ISNA(VLOOKUP(Y103,Y6:AC102,5,FALSE))),Z103="",AA103&lt;&gt;""),ROUND((VLOOKUP(Y103,Y6:AC102,5,FALSE)-AC103)/1000,3),"")))))</f>
        <v/>
      </c>
      <c r="AE103" s="19">
        <f>IF(AE102="","",AE102+1)</f>
        <v>597</v>
      </c>
      <c r="AF103" s="39"/>
      <c r="AG103" s="39"/>
      <c r="AH103" s="15" t="str">
        <f>IF(AND(AF103&lt;&gt;"",AG103&lt;&gt;""),ROUND(AF103,3)+ROUND(AH102,3)-ROUND(AG103,3),IF(AND(EXACT(UPPER(AE103),"TBM"),AF103&lt;&gt;""),ROUND(AF103,3),IF(AF103="",AH102,IF(ISNA(VLOOKUP(AE103,A6:E105,5,FALSE)),IF(ISNA(VLOOKUP(AE103,G6:K105,5,FALSE)),IF(ISNA(VLOOKUP(AE103,M6:Q105,5,FALSE)),IF(ISNA(VLOOKUP(AE103,S6:W105,5,FALSE)),IF(ISNA(VLOOKUP(AE103,Y6:AC105,5,FALSE)),IF(ISNA(VLOOKUP(AE103,AE6:AI102,5,FALSE)),"",ROUND(VLOOKUP(AE103,AE6:AI102,5,FALSE),0)/1000+ROUND(AF103,3)),ROUND(VLOOKUP(AE103,Y6:AC105,5,FALSE),0)/1000+ROUND(AF103,3)),ROUND(VLOOKUP(AE103,S6:W105,5,FALSE),0)/1000+ROUND(AF103,3)),ROUND(VLOOKUP(AE103,M6:Q105,5,FALSE),0)/1000+ROUND(AF103,3)),ROUND(VLOOKUP(AE103,G6:K105,5,FALSE),0)/1000+ROUND(AF103,3)),ROUND(VLOOKUP(AE103,A6:E105,5,FALSE),0)/1000+ROUND(AF103,3)))))</f>
        <v/>
      </c>
      <c r="AI103" s="18" t="str">
        <f>IF(OR(NOT(EXACT(UPPER(AE103),"TBM")),AF103=""),IF(AND(AF103&lt;&gt;"",AG103="",AH103&lt;&gt;""),"",IF(AND(AF103="",AG103&lt;&gt;"",AH103&lt;&gt;""),ROUND(ROUND(AH103,3)-ROUND(AG103,3),3)*1000,IF(AND(AF103&lt;&gt;"",AG103&lt;&gt;"",AH103&lt;&gt;""),ROUND(ROUND(AH102,3)-ROUND(AG103,3),3)*1000,""))),"")</f>
        <v/>
      </c>
      <c r="AJ103" s="45" t="str">
        <f>IF(AND(NOT(ISNA(VLOOKUP(AE103,A6:E105,5,FALSE))),AF103="",AG103&lt;&gt;""),ROUND((VLOOKUP(AE103,A6:E105,5,FALSE)-AI103)/1000,3),IF(AND(NOT(ISNA(VLOOKUP(AE103,G6:K105,5,FALSE))),AF103="",AG103&lt;&gt;""),ROUND((VLOOKUP(AE103,G6:K105,5,FALSE)-AI103)/1000,3),IF(AND(NOT(ISNA(VLOOKUP(AE103,M6:Q105,5,FALSE))),AF103="",AG103&lt;&gt;""),ROUND((VLOOKUP(AE103,M6:Q105,5,FALSE)-AI103)/1000,3),IF(AND(NOT(ISNA(VLOOKUP(AE103,S6:W105,5,FALSE))),AF103="",AG103&lt;&gt;""),ROUND((VLOOKUP(AE103,S6:W105,5,FALSE)-AI103)/1000,3),IF(AND(NOT(ISNA(VLOOKUP(AE103,Y6:AC105,5,FALSE))),AF103="",AG103&lt;&gt;""),ROUND((VLOOKUP(AE103,Y6:AC105,5,FALSE)-AI103)/1000,3),IF(AND(NOT(ISNA(VLOOKUP(AE103,AE6:AI102,5,FALSE))),AF103="",AG103&lt;&gt;""),ROUND((VLOOKUP(AE103,AE6:AI102,5,FALSE)-AI103)/1000,3),""))))))</f>
        <v/>
      </c>
      <c r="AK103" s="19">
        <f>IF(AK102="","",AK102+1)</f>
        <v>697</v>
      </c>
      <c r="AL103" s="39"/>
      <c r="AM103" s="39"/>
      <c r="AN103" s="15" t="str">
        <f>IF(AND(AL103&lt;&gt;"",AM103&lt;&gt;""),ROUND(AL103,3)+ROUND(AN102,3)-ROUND(AM103,3),IF(AND(EXACT(UPPER(AK103),"TBM"),AL103&lt;&gt;""),ROUND(AL103,3),IF(AL103="",AN102,IF(ISNA(VLOOKUP(AK103,A6:E105,5,FALSE)),IF(ISNA(VLOOKUP(AK103,G6:K105,5,FALSE)),IF(ISNA(VLOOKUP(AK103,M6:Q105,5,FALSE)),IF(ISNA(VLOOKUP(AK103,S6:W105,5,FALSE)),IF(ISNA(VLOOKUP(AK103,Y6:AC105,5,FALSE)),IF(ISNA(VLOOKUP(AK103,AE6:AI105,5,FALSE)),IF(ISNA(VLOOKUP(AK103,AK6:AO102,5,FALSE)),"",ROUND(VLOOKUP(AK103,AK6:AO102,5,FALSE),0)/1000+ROUND(AL103,3)),ROUND(VLOOKUP(AK103,AE6:AI105,5,FALSE),0)/1000+ROUND(AL103,3)),ROUND(VLOOKUP(AK103,Y6:AC105,5,FALSE),0)/1000+ROUND(AL103,3)),ROUND(VLOOKUP(AK103,S6:W105,5,FALSE),0)/1000+ROUND(AL103,3)),ROUND(VLOOKUP(AK103,M6:Q105,5,FALSE),0)/1000+ROUND(AL103,3)),ROUND(VLOOKUP(AK103,G6:K105,5,FALSE),0)/1000+ROUND(AL103,3)),ROUND(VLOOKUP(AK103,A6:E105,5,FALSE),0)/1000+ROUND(AL103,3)))))</f>
        <v/>
      </c>
      <c r="AO103" s="18" t="str">
        <f>IF(OR(NOT(EXACT(UPPER(AK103),"TBM")),AL103=""),IF(AND(AL103&lt;&gt;"",AM103="",AN103&lt;&gt;""),"",IF(AND(AL103="",AM103&lt;&gt;"",AN103&lt;&gt;""),ROUND(ROUND(AN103,3)-ROUND(AM103,3),3)*1000,IF(AND(AL103&lt;&gt;"",AM103&lt;&gt;"",AN103&lt;&gt;""),ROUND(ROUND(AN102,3)-ROUND(AM103,3),3)*1000,""))),"")</f>
        <v/>
      </c>
      <c r="AP103" s="45" t="str">
        <f>IF(AND(NOT(ISNA(VLOOKUP(AK103,A6:E105,5,FALSE))),AL103="",AM103&lt;&gt;""),ROUND((VLOOKUP(AK103,A6:E105,5,FALSE)-AO103)/1000,3),IF(AND(NOT(ISNA(VLOOKUP(AK103,G6:K105,5,FALSE))),AL103="",AM103&lt;&gt;""),ROUND((VLOOKUP(AK103,G6:K105,5,FALSE)-AO103)/1000,3),IF(AND(NOT(ISNA(VLOOKUP(AK103,M6:Q105,5,FALSE))),AL103="",AM103&lt;&gt;""),ROUND((VLOOKUP(AK103,M6:Q105,5,FALSE)-AO103)/1000,3),IF(AND(NOT(ISNA(VLOOKUP(AK103,S6:W105,5,FALSE))),AL103="",AM103&lt;&gt;""),ROUND((VLOOKUP(AK103,S6:W105,5,FALSE)-AO103)/1000,3),IF(AND(NOT(ISNA(VLOOKUP(AK103,Y6:AC105,5,FALSE))),AL103="",AM103&lt;&gt;""),ROUND((VLOOKUP(AK103,Y6:AC105,5,FALSE)-AO103)/1000,3),IF(AND(NOT(ISNA(VLOOKUP(AK103,AE6:AI105,5,FALSE))),AL103="",AM103&lt;&gt;""),ROUND((VLOOKUP(AK103,AE6:AI105,5,FALSE)-AO103)/1000,3),IF(AND(NOT(ISNA(VLOOKUP(AK103,AK6:AO102,5,FALSE))),AL103="",AM103&lt;&gt;""),ROUND((VLOOKUP(AK103,AK6:AO102,5,FALSE)-AO103)/1000,3),"")))))))</f>
        <v/>
      </c>
      <c r="AQ103" s="19">
        <f>IF(AQ102="","",AQ102+1)</f>
        <v>797</v>
      </c>
      <c r="AR103" s="39"/>
      <c r="AS103" s="39"/>
      <c r="AT103" s="15" t="str">
        <f>IF(AND(AR103&lt;&gt;"",AS103&lt;&gt;""),ROUND(AR103,3)+ROUND(AT102,3)-ROUND(AS103,3),IF(AND(EXACT(UPPER(AQ103),"TBM"),AR103&lt;&gt;""),ROUND(AR103,3),IF(AR103="",AT102,IF(ISNA(VLOOKUP(AQ103,A6:E105,5,FALSE)),IF(ISNA(VLOOKUP(AQ103,G6:K105,5,FALSE)),IF(ISNA(VLOOKUP(AQ103,M6:Q105,5,FALSE)),IF(ISNA(VLOOKUP(AQ103,S6:W105,5,FALSE)),IF(ISNA(VLOOKUP(AQ103,Y6:AC105,5,FALSE)),IF(ISNA(VLOOKUP(AQ103,AE6:AI105,5,FALSE)),IF(ISNA(VLOOKUP(AQ103,AK6:AO105,5,FALSE)),IF(ISNA(VLOOKUP(AQ103,AQ6:AU102,5,FALSE)),"",ROUND(VLOOKUP(AQ103,AQ6:AU102,5,FALSE),0)/1000+ROUND(AR103,3)),ROUND(VLOOKUP(AQ103,AK6:AO105,5,FALSE),0)/1000+ROUND(AR103,3)),ROUND(VLOOKUP(AQ103,AE6:AI105,5,FALSE),0)/1000+ROUND(AR103,3)),ROUND(VLOOKUP(AQ103,Y6:AC105,5,FALSE),0)/1000+ROUND(AR103,3)),ROUND(VLOOKUP(AQ103,S6:W105,5,FALSE),0)/1000+ROUND(AR103,3)),ROUND(VLOOKUP(AQ103,M6:Q105,5,FALSE),0)/1000+ROUND(AR103,3)),ROUND(VLOOKUP(AQ103,G6:K105,5,FALSE),0)/1000+ROUND(AR103,3)),ROUND(VLOOKUP(AQ103,A6:E105,5,FALSE),0)/1000+ROUND(AR103,3)))))</f>
        <v/>
      </c>
      <c r="AU103" s="18" t="str">
        <f>IF(OR(NOT(EXACT(UPPER(AQ103),"TBM")),AR103=""),IF(AND(AR103&lt;&gt;"",AS103="",AT103&lt;&gt;""),"",IF(AND(AR103="",AS103&lt;&gt;"",AT103&lt;&gt;""),ROUND(ROUND(AT103,3)-ROUND(AS103,3),3)*1000,IF(AND(AR103&lt;&gt;"",AS103&lt;&gt;"",AT103&lt;&gt;""),ROUND(ROUND(AT102,3)-ROUND(AS103,3),3)*1000,""))),"")</f>
        <v/>
      </c>
      <c r="AV103" s="45" t="str">
        <f>IF(AND(NOT(ISNA(VLOOKUP(AQ103,A6:E105,5,FALSE))),AR103="",AS103&lt;&gt;""),ROUND((VLOOKUP(AQ103,A6:E105,5,FALSE)-AU103)/1000,3),IF(AND(NOT(ISNA(VLOOKUP(AQ103,G6:K105,5,FALSE))),AR103="",AS103&lt;&gt;""),ROUND((VLOOKUP(AQ103,G6:K105,5,FALSE)-AU103)/1000,3),IF(AND(NOT(ISNA(VLOOKUP(AQ103,M6:Q105,5,FALSE))),AR103="",AS103&lt;&gt;""),ROUND((VLOOKUP(AQ103,M6:Q105,5,FALSE)-AU103)/1000,3),IF(AND(NOT(ISNA(VLOOKUP(AQ103,S6:W105,5,FALSE))),AR103="",AS103&lt;&gt;""),ROUND((VLOOKUP(AQ103,S6:W105,5,FALSE)-AU103)/1000,3),IF(AND(NOT(ISNA(VLOOKUP(AQ103,Y6:AC105,5,FALSE))),AR103="",AS103&lt;&gt;""),ROUND((VLOOKUP(AQ103,Y6:AC105,5,FALSE)-AU103)/1000,3),IF(AND(NOT(ISNA(VLOOKUP(AQ103,AE6:AI105,5,FALSE))),AR103="",AS103&lt;&gt;""),ROUND((VLOOKUP(AQ103,AE6:AI105,5,FALSE)-AU103)/1000,3),IF(AND(NOT(ISNA(VLOOKUP(AQ103,AK6:AO105,5,FALSE))),AR103="",AS103&lt;&gt;""),ROUND((VLOOKUP(AQ103,AK6:AO105,5,FALSE)-AU103)/1000,3),IF(AND(NOT(ISNA(VLOOKUP(AQ103,AQ6:AU102,5,FALSE))),AR103="",AS103&lt;&gt;""),ROUND((VLOOKUP(AQ103,AQ6:AU102,5,FALSE)-AU103)/1000,3),""))))))))</f>
        <v/>
      </c>
      <c r="AW103" s="19">
        <f>IF(AW102="","",AW102+1)</f>
        <v>897</v>
      </c>
      <c r="AX103" s="39"/>
      <c r="AY103" s="39"/>
      <c r="AZ103" s="15" t="str">
        <f>IF(AND(AX103&lt;&gt;"",AY103&lt;&gt;""),ROUND(AX103,3)+ROUND(AZ102,3)-ROUND(AY103,3),IF(AND(EXACT(UPPER(AW103),"TBM"),AX103&lt;&gt;""),ROUND(AX103,3),IF(AX103="",AZ102,IF(ISNA(VLOOKUP(AW103,A6:E105,5,FALSE)),IF(ISNA(VLOOKUP(AW103,G6:K105,5,FALSE)),IF(ISNA(VLOOKUP(AW103,M6:Q105,5,FALSE)),IF(ISNA(VLOOKUP(AW103,S6:W105,5,FALSE)),IF(ISNA(VLOOKUP(AW103,Y6:AC105,5,FALSE)),IF(ISNA(VLOOKUP(AW103,AE6:AI105,5,FALSE)),IF(ISNA(VLOOKUP(AW103,AK6:AO105,5,FALSE)),IF(ISNA(VLOOKUP(AW103,AQ6:AU105,5,FALSE)),IF(ISNA(VLOOKUP(AW103,AW6:BA102,5,FALSE)),"",ROUND(VLOOKUP(AW103,AW6:BA102,5,FALSE),0)/1000+ROUND(AX103,3)),ROUND(VLOOKUP(AW103,AQ6:AU105,5,FALSE),0)/1000+ROUND(AX103,3)),ROUND(VLOOKUP(AW103,AK6:AO105,5,FALSE),0)/1000+ROUND(AX103,3)),ROUND(VLOOKUP(AW103,AE6:AI105,5,FALSE),0)/1000+ROUND(AX103,3)),ROUND(VLOOKUP(AW103,Y6:AC105,5,FALSE),0)/1000+ROUND(AX103,3)),ROUND(VLOOKUP(AW103,S6:W105,5,FALSE),0)/1000+ROUND(AX103,3)),ROUND(VLOOKUP(AW103,M6:Q105,5,FALSE),0)/1000+ROUND(AX103,3)),ROUND(VLOOKUP(AW103,G6:K105,5,FALSE),0)/1000+ROUND(AX103,3)),ROUND(VLOOKUP(AW103,A6:E105,5,FALSE),0)/1000+ROUND(AX103,3)))))</f>
        <v/>
      </c>
      <c r="BA103" s="18" t="str">
        <f>IF(OR(NOT(EXACT(UPPER(AW103),"TBM")),AX103=""),IF(AND(AX103&lt;&gt;"",AY103="",AZ103&lt;&gt;""),"",IF(AND(AX103="",AY103&lt;&gt;"",AZ103&lt;&gt;""),ROUND(ROUND(AZ103,3)-ROUND(AY103,3),3)*1000,IF(AND(AX103&lt;&gt;"",AY103&lt;&gt;"",AZ103&lt;&gt;""),ROUND(ROUND(AZ102,3)-ROUND(AY103,3),3)*1000,""))),"")</f>
        <v/>
      </c>
      <c r="BB103" s="45" t="str">
        <f>IF(AND(NOT(ISNA(VLOOKUP(AW103,A6:E105,5,FALSE))),AX103="",AY103&lt;&gt;""),ROUND((VLOOKUP(AW103,A6:E105,5,FALSE)-BA103)/1000,3),IF(AND(NOT(ISNA(VLOOKUP(AW103,G6:K105,5,FALSE))),AX103="",AY103&lt;&gt;""),ROUND((VLOOKUP(AW103,G6:K105,5,FALSE)-BA103)/1000,3),IF(AND(NOT(ISNA(VLOOKUP(AW103,M6:Q105,5,FALSE))),AX103="",AY103&lt;&gt;""),ROUND((VLOOKUP(AW103,M6:Q105,5,FALSE)-BA103)/1000,3),IF(AND(NOT(ISNA(VLOOKUP(AW103,S6:W105,5,FALSE))),AX103="",AY103&lt;&gt;""),ROUND((VLOOKUP(AW103,S6:W105,5,FALSE)-BA103)/1000,3),IF(AND(NOT(ISNA(VLOOKUP(AW103,Y6:AC105,5,FALSE))),AX103="",AY103&lt;&gt;""),ROUND((VLOOKUP(AW103,Y6:AC105,5,FALSE)-BA103)/1000,3),IF(AND(NOT(ISNA(VLOOKUP(AW103,AE6:AI105,5,FALSE))),AX103="",AY103&lt;&gt;""),ROUND((VLOOKUP(AW103,AE6:AI105,5,FALSE)-BA103)/1000,3),IF(AND(NOT(ISNA(VLOOKUP(AW103,AK6:AO105,5,FALSE))),AX103="",AY103&lt;&gt;""),ROUND((VLOOKUP(AW103,AK6:AO105,5,FALSE)-BA103)/1000,3),IF(AND(NOT(ISNA(VLOOKUP(AW103,AQ6:AU105,5,FALSE))),AX103="",AY103&lt;&gt;""),ROUND((VLOOKUP(AW103,AQ6:AU105,5,FALSE)-BA103)/1000,3),IF(AND(NOT(ISNA(VLOOKUP(AW103,AW6:BA102,5,FALSE))),AX103="",AY103&lt;&gt;""),ROUND((VLOOKUP(AW103,AW6:BA102,5,FALSE)-BA103)/1000,3),"")))))))))</f>
        <v/>
      </c>
      <c r="BC103" s="19">
        <f>IF(BC102="","",BC102+1)</f>
        <v>997</v>
      </c>
      <c r="BD103" s="39"/>
      <c r="BE103" s="39"/>
      <c r="BF103" s="15" t="str">
        <f>IF(AND(BD103&lt;&gt;"",BE103&lt;&gt;""),ROUND(BD103,3)+ROUND(BF102,3)-ROUND(BE103,3),IF(AND(EXACT(UPPER(BC103),"TBM"),BD103&lt;&gt;""),ROUND(BD103,3),IF(BD103="",BF102,IF(ISNA(VLOOKUP(BC103,A6:E105,5,FALSE)),IF(ISNA(VLOOKUP(BC103,G6:K105,5,FALSE)),IF(ISNA(VLOOKUP(BC103,M6:Q105,5,FALSE)),IF(ISNA(VLOOKUP(BC103,S6:W105,5,FALSE)),IF(ISNA(VLOOKUP(BC103,Y6:AC105,5,FALSE)),IF(ISNA(VLOOKUP(BC103,AE6:AI105,5,FALSE)),IF(ISNA(VLOOKUP(BC103,AK6:AO105,5,FALSE)),IF(ISNA(VLOOKUP(BC103,AQ6:AU105,5,FALSE)),IF(ISNA(VLOOKUP(BC103,AW6:BA105,5,FALSE)),IF(ISNA(VLOOKUP(BC103,BC6:BG102,5,FALSE)),"",ROUND(VLOOKUP(BC103,BC6:BG102,5,FALSE),0)/1000+ROUND(BD103,3)),ROUND(VLOOKUP(BC103,AW6:BA105,5,FALSE),0)/1000+ROUND(BD103,3)),ROUND(VLOOKUP(BC103,AQ6:AU105,5,FALSE),0)/1000+ROUND(BD103,3)),ROUND(VLOOKUP(BC103,AK6:AO105,5,FALSE),0)/1000+ROUND(BD103,3)),ROUND(VLOOKUP(BC103,AE6:AI105,5,FALSE),0)/1000+ROUND(BD103,3)),ROUND(VLOOKUP(BC103,Y6:AC105,5,FALSE),0)/1000+ROUND(BD103,3)),ROUND(VLOOKUP(BC103,S6:W105,5,FALSE),0)/1000+ROUND(BD103,3)),ROUND(VLOOKUP(BC103,M6:Q105,5,FALSE),0)/1000+ROUND(BD103,3)),ROUND(VLOOKUP(BC103,G6:K105,5,FALSE),0)/1000+ROUND(BD103,3)),ROUND(VLOOKUP(BC103,A6:E105,5,FALSE),0)/1000+ROUND(BD103,3)))))</f>
        <v/>
      </c>
      <c r="BG103" s="18" t="str">
        <f>IF(OR(NOT(EXACT(UPPER(BC103),"TBM")),BD103=""),IF(AND(BD103&lt;&gt;"",BE103="",BF103&lt;&gt;""),"",IF(AND(BD103="",BE103&lt;&gt;"",BF103&lt;&gt;""),ROUND(ROUND(BF103,3)-ROUND(BE103,3),3)*1000,IF(AND(BD103&lt;&gt;"",BE103&lt;&gt;"",BF103&lt;&gt;""),ROUND(ROUND(BF102,3)-ROUND(BE103,3),3)*1000,""))),"")</f>
        <v/>
      </c>
      <c r="BH103" s="45" t="str">
        <f>IF(AND(NOT(ISNA(VLOOKUP(BC103,A6:E105,5,FALSE))),BD103="",BE103&lt;&gt;""),ROUND((VLOOKUP(BC103,A6:E105,5,FALSE)-BG103)/1000,3),IF(AND(NOT(ISNA(VLOOKUP(BC103,G6:K105,5,FALSE))),BD103="",BE103&lt;&gt;""),ROUND((VLOOKUP(BC103,G6:K105,5,FALSE)-BG103)/1000,3),IF(AND(NOT(ISNA(VLOOKUP(BC103,M6:Q105,5,FALSE))),BD103="",BE103&lt;&gt;""),ROUND((VLOOKUP(BC103,M6:Q105,5,FALSE)-BG103)/1000,3),IF(AND(NOT(ISNA(VLOOKUP(BC103,S6:W105,5,FALSE))),BD103="",BE103&lt;&gt;""),ROUND((VLOOKUP(BC103,S6:W105,5,FALSE)-BG103)/1000,3),IF(AND(NOT(ISNA(VLOOKUP(BC103,Y6:AC105,5,FALSE))),BD103="",BE103&lt;&gt;""),ROUND((VLOOKUP(BC103,Y6:AC105,5,FALSE)-BG103)/1000,3),IF(AND(NOT(ISNA(VLOOKUP(BC103,AE6:AI105,5,FALSE))),BD103="",BE103&lt;&gt;""),ROUND((VLOOKUP(BC103,AE6:AI105,5,FALSE)-BG103)/1000,3),IF(AND(NOT(ISNA(VLOOKUP(BC103,AK6:AO105,5,FALSE))),BD103="",BE103&lt;&gt;""),ROUND((VLOOKUP(BC103,AK6:AO105,5,FALSE)-BG103)/1000,3),IF(AND(NOT(ISNA(VLOOKUP(BC103,AQ6:AU105,5,FALSE))),BD103="",BE103&lt;&gt;""),ROUND((VLOOKUP(BC103,AQ6:AU105,5,FALSE)-BG103)/1000,3),IF(AND(NOT(ISNA(VLOOKUP(BC103,AW6:BA105,5,FALSE))),BD103="",BE103&lt;&gt;""),ROUND((VLOOKUP(BC103,AW6:BA105,5,FALSE)-BG103)/1000,3),IF(AND(NOT(ISNA(VLOOKUP(BC103,BC6:BG102,5,FALSE))),BD103="",BE103&lt;&gt;""),ROUND((VLOOKUP(BC103,BC6:BG102,5,FALSE)-BG103)/1000,3),""))))))))))</f>
        <v/>
      </c>
    </row>
    <row r="104" spans="1:60" x14ac:dyDescent="0.25">
      <c r="A104" s="19">
        <f t="shared" si="9"/>
        <v>98</v>
      </c>
      <c r="B104" s="39"/>
      <c r="C104" s="39"/>
      <c r="D104" s="15" t="str">
        <f>IF(AND(B104&lt;&gt;"",C104&lt;&gt;""),ROUND(B104,3)+ROUND(D103,3)-ROUND(C104,3),IF(AND(EXACT(UPPER(A104),"TBM"),B104&lt;&gt;""),ROUND(B104,3),IF(B104="",D103,IF(ISNA(VLOOKUP(A104,A6:E103,5,FALSE)),"",ROUND(VLOOKUP(A104,A6:E103,5,FALSE),0)/1000+ROUND(B104,3)))))</f>
        <v/>
      </c>
      <c r="E104" s="21" t="str">
        <f t="shared" si="10"/>
        <v/>
      </c>
      <c r="F104" s="45" t="str">
        <f>IF(AND(NOT(ISNA(VLOOKUP(A104,A6:E103,5,FALSE))),B104="",C104&lt;&gt;""),ROUND((VLOOKUP(A104,A6:E103,5,FALSE)-E104)/1000,3),"")</f>
        <v/>
      </c>
      <c r="G104" s="19">
        <f t="shared" si="7"/>
        <v>198</v>
      </c>
      <c r="H104" s="39"/>
      <c r="I104" s="39"/>
      <c r="J104" s="15" t="str">
        <f>IF(AND(H104&lt;&gt;"",I104&lt;&gt;""),ROUND(H104,3)+ROUND(J103,3)-ROUND(I104,3),IF(AND(EXACT(UPPER(G104),"TBM"),H104&lt;&gt;""),ROUND(H104,3),IF(H104="",J103,IF(ISNA(VLOOKUP(G104,A6:E105,5,FALSE)),IF(ISNA(VLOOKUP(G104,G6:K103,5,FALSE)),"",ROUND(VLOOKUP(G104,G6:K103,5,FALSE),0)/1000+ROUND(H104,3)),ROUND(VLOOKUP(G104,A6:E105,5,FALSE),0)/1000+ROUND(H104,3)))))</f>
        <v/>
      </c>
      <c r="K104" s="18" t="str">
        <f t="shared" si="11"/>
        <v/>
      </c>
      <c r="L104" s="45" t="str">
        <f>IF(AND(NOT(ISNA(VLOOKUP(G104,A6:E105,5,FALSE))),H104="",I104&lt;&gt;""),ROUND((VLOOKUP(G104,A6:E105,5,FALSE)-K104)/1000,3),IF(AND(NOT(ISNA(VLOOKUP(G104,G6:K103,5,FALSE))),H104="",I104&lt;&gt;""),ROUND((VLOOKUP(G104,G6:K103,5,FALSE)-K104)/1000,3),""))</f>
        <v/>
      </c>
      <c r="M104" s="19">
        <f>IF(M103="","",M103+1)</f>
        <v>298</v>
      </c>
      <c r="N104" s="39"/>
      <c r="O104" s="39"/>
      <c r="P104" s="15" t="str">
        <f>IF(AND(N104&lt;&gt;"",O104&lt;&gt;""),ROUND(N104,3)+ROUND(P103,3)-ROUND(O104,3),IF(AND(EXACT(UPPER(M104),"TBM"),N104&lt;&gt;""),ROUND(N104,3),IF(N104="",P103,IF(ISNA(VLOOKUP(M104,A6:E105,5,FALSE)),IF(ISNA(VLOOKUP(M104,G6:K105,5,FALSE)),IF(ISNA(VLOOKUP(M104,M6:Q103,5,FALSE)),"",ROUND(VLOOKUP(M104,M6:Q103,5,FALSE),0)/1000+ROUND(N104,3)),ROUND(VLOOKUP(M104,G6:K105,5,FALSE),0)/1000+ROUND(N104,3)),ROUND(VLOOKUP(M104,A6:E105,5,FALSE),0)/1000+ROUND(N104,3)))))</f>
        <v/>
      </c>
      <c r="Q104" s="18" t="str">
        <f>IF(OR(NOT(EXACT(UPPER(M104),"TBM")),N104=""),IF(AND(N104&lt;&gt;"",O104="",P104&lt;&gt;""),"",IF(AND(N104="",O104&lt;&gt;"",P104&lt;&gt;""),ROUND(ROUND(P104,3)-ROUND(O104,3),3)*1000,IF(AND(N104&lt;&gt;"",O104&lt;&gt;"",P104&lt;&gt;""),ROUND(ROUND(P103,3)-ROUND(O104,3),3)*1000,""))),"")</f>
        <v/>
      </c>
      <c r="R104" s="45" t="str">
        <f>IF(AND(NOT(ISNA(VLOOKUP(M104,A6:E105,5,FALSE))),N104="",O104&lt;&gt;""),ROUND((VLOOKUP(M104,A6:E105,5,FALSE)-Q104)/1000,3),IF(AND(NOT(ISNA(VLOOKUP(M104,G6:K105,5,FALSE))),N104="",O104&lt;&gt;""),ROUND((VLOOKUP(M104,G6:K105,5,FALSE)-Q104)/1000,3),IF(AND(NOT(ISNA(VLOOKUP(M104,M6:Q103,5,FALSE))),N104="",O104&lt;&gt;""),ROUND((VLOOKUP(M104,M6:Q103,5,FALSE)-Q104)/1000,3),"")))</f>
        <v/>
      </c>
      <c r="S104" s="19">
        <f>IF(S103="","",S103+1)</f>
        <v>398</v>
      </c>
      <c r="T104" s="39"/>
      <c r="U104" s="39"/>
      <c r="V104" s="15" t="str">
        <f>IF(AND(T104&lt;&gt;"",U104&lt;&gt;""),ROUND(T104,3)+ROUND(V103,3)-ROUND(U104,3),IF(AND(EXACT(UPPER(S104),"TBM"),T104&lt;&gt;""),ROUND(T104,3),IF(T104="",V103,IF(ISNA(VLOOKUP(S104,A6:E105,5,FALSE)),IF(ISNA(VLOOKUP(S104,G6:K105,5,FALSE)),IF(ISNA(VLOOKUP(S104,M6:Q105,5,FALSE)),IF(ISNA(VLOOKUP(S104,S6:W103,5,FALSE)),"",ROUND(VLOOKUP(S104,S6:W103,5,FALSE),0)/1000+ROUND(T104,3)),ROUND(VLOOKUP(S104,M6:Q105,5,FALSE),0)/1000+ROUND(T104,3)),ROUND(VLOOKUP(S104,G6:K105,5,FALSE),0)/1000+ROUND(T104,3)),ROUND(VLOOKUP(S104,A6:E105,5,FALSE),0)/1000+ROUND(T104,3)))))</f>
        <v/>
      </c>
      <c r="W104" s="18" t="str">
        <f>IF(OR(NOT(EXACT(UPPER(S104),"TBM")),T104=""),IF(AND(T104&lt;&gt;"",U104="",V104&lt;&gt;""),"",IF(AND(T104="",U104&lt;&gt;"",V104&lt;&gt;""),ROUND(ROUND(V104,3)-ROUND(U104,3),3)*1000,IF(AND(T104&lt;&gt;"",U104&lt;&gt;"",V104&lt;&gt;""),ROUND(ROUND(V103,3)-ROUND(U104,3),3)*1000,""))),"")</f>
        <v/>
      </c>
      <c r="X104" s="45" t="str">
        <f>IF(AND(NOT(ISNA(VLOOKUP(S104,A6:E105,5,FALSE))),T104="",U104&lt;&gt;""),ROUND((VLOOKUP(S104,A6:E105,5,FALSE)-W104)/1000,3),IF(AND(NOT(ISNA(VLOOKUP(S104,G6:K105,5,FALSE))),T104="",U104&lt;&gt;""),ROUND((VLOOKUP(S104,G6:K105,5,FALSE)-W104)/1000,3),IF(AND(NOT(ISNA(VLOOKUP(S104,M6:Q105,5,FALSE))),T104="",U104&lt;&gt;""),ROUND((VLOOKUP(S104,M6:Q105,5,FALSE)-W104)/1000,3),IF(AND(NOT(ISNA(VLOOKUP(S104,S6:W103,5,FALSE))),T104="",U104&lt;&gt;""),ROUND((VLOOKUP(S104,S6:W103,5,FALSE)-W104)/1000,3),""))))</f>
        <v/>
      </c>
      <c r="Y104" s="19">
        <f>IF(Y103="","",Y103+1)</f>
        <v>498</v>
      </c>
      <c r="Z104" s="39"/>
      <c r="AA104" s="39"/>
      <c r="AB104" s="15" t="str">
        <f>IF(AND(Z104&lt;&gt;"",AA104&lt;&gt;""),ROUND(Z104,3)+ROUND(AB103,3)-ROUND(AA104,3),IF(AND(EXACT(UPPER(Y104),"TBM"),Z104&lt;&gt;""),ROUND(Z104,3),IF(Z104="",AB103,IF(ISNA(VLOOKUP(Y104,A6:E105,5,FALSE)),IF(ISNA(VLOOKUP(Y104,G6:K105,5,FALSE)),IF(ISNA(VLOOKUP(Y104,M6:Q105,5,FALSE)),IF(ISNA(VLOOKUP(Y104,S6:W105,5,FALSE)),IF(ISNA(VLOOKUP(Y104,Y6:AC103,5,FALSE)),"",ROUND(VLOOKUP(Y104,Y6:AC103,5,FALSE),0)/1000+ROUND(Z104,3)),ROUND(VLOOKUP(Y104,S6:W105,5,FALSE),0)/1000+ROUND(Z104,3)),ROUND(VLOOKUP(Y104,M6:Q105,5,FALSE),0)/1000+ROUND(Z104,3)),ROUND(VLOOKUP(Y104,G6:K105,5,FALSE),0)/1000+ROUND(Z104,3)),ROUND(VLOOKUP(Y104,A6:E105,5,FALSE),0)/1000+ROUND(Z104,3)))))</f>
        <v/>
      </c>
      <c r="AC104" s="18" t="str">
        <f>IF(OR(NOT(EXACT(UPPER(Y104),"TBM")),Z104=""),IF(AND(Z104&lt;&gt;"",AA104="",AB104&lt;&gt;""),"",IF(AND(Z104="",AA104&lt;&gt;"",AB104&lt;&gt;""),ROUND(ROUND(AB104,3)-ROUND(AA104,3),3)*1000,IF(AND(Z104&lt;&gt;"",AA104&lt;&gt;"",AB104&lt;&gt;""),ROUND(ROUND(AB103,3)-ROUND(AA104,3),3)*1000,""))),"")</f>
        <v/>
      </c>
      <c r="AD104" s="45" t="str">
        <f>IF(AND(NOT(ISNA(VLOOKUP(Y104,A6:E105,5,FALSE))),Z104="",AA104&lt;&gt;""),ROUND((VLOOKUP(Y104,A6:E105,5,FALSE)-AC104)/1000,3),IF(AND(NOT(ISNA(VLOOKUP(Y104,G6:K105,5,FALSE))),Z104="",AA104&lt;&gt;""),ROUND((VLOOKUP(Y104,G6:K105,5,FALSE)-AC104)/1000,3),IF(AND(NOT(ISNA(VLOOKUP(Y104,M6:Q105,5,FALSE))),Z104="",AA104&lt;&gt;""),ROUND((VLOOKUP(Y104,M6:Q105,5,FALSE)-AC104)/1000,3),IF(AND(NOT(ISNA(VLOOKUP(Y104,S6:W105,5,FALSE))),Z104="",AA104&lt;&gt;""),ROUND((VLOOKUP(Y104,S6:W105,5,FALSE)-AC104)/1000,3),IF(AND(NOT(ISNA(VLOOKUP(Y104,Y6:AC103,5,FALSE))),Z104="",AA104&lt;&gt;""),ROUND((VLOOKUP(Y104,Y6:AC103,5,FALSE)-AC104)/1000,3),"")))))</f>
        <v/>
      </c>
      <c r="AE104" s="19">
        <f>IF(AE103="","",AE103+1)</f>
        <v>598</v>
      </c>
      <c r="AF104" s="39"/>
      <c r="AG104" s="39"/>
      <c r="AH104" s="15" t="str">
        <f>IF(AND(AF104&lt;&gt;"",AG104&lt;&gt;""),ROUND(AF104,3)+ROUND(AH103,3)-ROUND(AG104,3),IF(AND(EXACT(UPPER(AE104),"TBM"),AF104&lt;&gt;""),ROUND(AF104,3),IF(AF104="",AH103,IF(ISNA(VLOOKUP(AE104,A6:E105,5,FALSE)),IF(ISNA(VLOOKUP(AE104,G6:K105,5,FALSE)),IF(ISNA(VLOOKUP(AE104,M6:Q105,5,FALSE)),IF(ISNA(VLOOKUP(AE104,S6:W105,5,FALSE)),IF(ISNA(VLOOKUP(AE104,Y6:AC105,5,FALSE)),IF(ISNA(VLOOKUP(AE104,AE6:AI103,5,FALSE)),"",ROUND(VLOOKUP(AE104,AE6:AI103,5,FALSE),0)/1000+ROUND(AF104,3)),ROUND(VLOOKUP(AE104,Y6:AC105,5,FALSE),0)/1000+ROUND(AF104,3)),ROUND(VLOOKUP(AE104,S6:W105,5,FALSE),0)/1000+ROUND(AF104,3)),ROUND(VLOOKUP(AE104,M6:Q105,5,FALSE),0)/1000+ROUND(AF104,3)),ROUND(VLOOKUP(AE104,G6:K105,5,FALSE),0)/1000+ROUND(AF104,3)),ROUND(VLOOKUP(AE104,A6:E105,5,FALSE),0)/1000+ROUND(AF104,3)))))</f>
        <v/>
      </c>
      <c r="AI104" s="18" t="str">
        <f>IF(OR(NOT(EXACT(UPPER(AE104),"TBM")),AF104=""),IF(AND(AF104&lt;&gt;"",AG104="",AH104&lt;&gt;""),"",IF(AND(AF104="",AG104&lt;&gt;"",AH104&lt;&gt;""),ROUND(ROUND(AH104,3)-ROUND(AG104,3),3)*1000,IF(AND(AF104&lt;&gt;"",AG104&lt;&gt;"",AH104&lt;&gt;""),ROUND(ROUND(AH103,3)-ROUND(AG104,3),3)*1000,""))),"")</f>
        <v/>
      </c>
      <c r="AJ104" s="45" t="str">
        <f>IF(AND(NOT(ISNA(VLOOKUP(AE104,A6:E105,5,FALSE))),AF104="",AG104&lt;&gt;""),ROUND((VLOOKUP(AE104,A6:E105,5,FALSE)-AI104)/1000,3),IF(AND(NOT(ISNA(VLOOKUP(AE104,G6:K105,5,FALSE))),AF104="",AG104&lt;&gt;""),ROUND((VLOOKUP(AE104,G6:K105,5,FALSE)-AI104)/1000,3),IF(AND(NOT(ISNA(VLOOKUP(AE104,M6:Q105,5,FALSE))),AF104="",AG104&lt;&gt;""),ROUND((VLOOKUP(AE104,M6:Q105,5,FALSE)-AI104)/1000,3),IF(AND(NOT(ISNA(VLOOKUP(AE104,S6:W105,5,FALSE))),AF104="",AG104&lt;&gt;""),ROUND((VLOOKUP(AE104,S6:W105,5,FALSE)-AI104)/1000,3),IF(AND(NOT(ISNA(VLOOKUP(AE104,Y6:AC105,5,FALSE))),AF104="",AG104&lt;&gt;""),ROUND((VLOOKUP(AE104,Y6:AC105,5,FALSE)-AI104)/1000,3),IF(AND(NOT(ISNA(VLOOKUP(AE104,AE6:AI103,5,FALSE))),AF104="",AG104&lt;&gt;""),ROUND((VLOOKUP(AE104,AE6:AI103,5,FALSE)-AI104)/1000,3),""))))))</f>
        <v/>
      </c>
      <c r="AK104" s="19">
        <f>IF(AK103="","",AK103+1)</f>
        <v>698</v>
      </c>
      <c r="AL104" s="39"/>
      <c r="AM104" s="39"/>
      <c r="AN104" s="15" t="str">
        <f>IF(AND(AL104&lt;&gt;"",AM104&lt;&gt;""),ROUND(AL104,3)+ROUND(AN103,3)-ROUND(AM104,3),IF(AND(EXACT(UPPER(AK104),"TBM"),AL104&lt;&gt;""),ROUND(AL104,3),IF(AL104="",AN103,IF(ISNA(VLOOKUP(AK104,A6:E105,5,FALSE)),IF(ISNA(VLOOKUP(AK104,G6:K105,5,FALSE)),IF(ISNA(VLOOKUP(AK104,M6:Q105,5,FALSE)),IF(ISNA(VLOOKUP(AK104,S6:W105,5,FALSE)),IF(ISNA(VLOOKUP(AK104,Y6:AC105,5,FALSE)),IF(ISNA(VLOOKUP(AK104,AE6:AI105,5,FALSE)),IF(ISNA(VLOOKUP(AK104,AK6:AO103,5,FALSE)),"",ROUND(VLOOKUP(AK104,AK6:AO103,5,FALSE),0)/1000+ROUND(AL104,3)),ROUND(VLOOKUP(AK104,AE6:AI105,5,FALSE),0)/1000+ROUND(AL104,3)),ROUND(VLOOKUP(AK104,Y6:AC105,5,FALSE),0)/1000+ROUND(AL104,3)),ROUND(VLOOKUP(AK104,S6:W105,5,FALSE),0)/1000+ROUND(AL104,3)),ROUND(VLOOKUP(AK104,M6:Q105,5,FALSE),0)/1000+ROUND(AL104,3)),ROUND(VLOOKUP(AK104,G6:K105,5,FALSE),0)/1000+ROUND(AL104,3)),ROUND(VLOOKUP(AK104,A6:E105,5,FALSE),0)/1000+ROUND(AL104,3)))))</f>
        <v/>
      </c>
      <c r="AO104" s="18" t="str">
        <f>IF(OR(NOT(EXACT(UPPER(AK104),"TBM")),AL104=""),IF(AND(AL104&lt;&gt;"",AM104="",AN104&lt;&gt;""),"",IF(AND(AL104="",AM104&lt;&gt;"",AN104&lt;&gt;""),ROUND(ROUND(AN104,3)-ROUND(AM104,3),3)*1000,IF(AND(AL104&lt;&gt;"",AM104&lt;&gt;"",AN104&lt;&gt;""),ROUND(ROUND(AN103,3)-ROUND(AM104,3),3)*1000,""))),"")</f>
        <v/>
      </c>
      <c r="AP104" s="45" t="str">
        <f>IF(AND(NOT(ISNA(VLOOKUP(AK104,A6:E105,5,FALSE))),AL104="",AM104&lt;&gt;""),ROUND((VLOOKUP(AK104,A6:E105,5,FALSE)-AO104)/1000,3),IF(AND(NOT(ISNA(VLOOKUP(AK104,G6:K105,5,FALSE))),AL104="",AM104&lt;&gt;""),ROUND((VLOOKUP(AK104,G6:K105,5,FALSE)-AO104)/1000,3),IF(AND(NOT(ISNA(VLOOKUP(AK104,M6:Q105,5,FALSE))),AL104="",AM104&lt;&gt;""),ROUND((VLOOKUP(AK104,M6:Q105,5,FALSE)-AO104)/1000,3),IF(AND(NOT(ISNA(VLOOKUP(AK104,S6:W105,5,FALSE))),AL104="",AM104&lt;&gt;""),ROUND((VLOOKUP(AK104,S6:W105,5,FALSE)-AO104)/1000,3),IF(AND(NOT(ISNA(VLOOKUP(AK104,Y6:AC105,5,FALSE))),AL104="",AM104&lt;&gt;""),ROUND((VLOOKUP(AK104,Y6:AC105,5,FALSE)-AO104)/1000,3),IF(AND(NOT(ISNA(VLOOKUP(AK104,AE6:AI105,5,FALSE))),AL104="",AM104&lt;&gt;""),ROUND((VLOOKUP(AK104,AE6:AI105,5,FALSE)-AO104)/1000,3),IF(AND(NOT(ISNA(VLOOKUP(AK104,AK6:AO103,5,FALSE))),AL104="",AM104&lt;&gt;""),ROUND((VLOOKUP(AK104,AK6:AO103,5,FALSE)-AO104)/1000,3),"")))))))</f>
        <v/>
      </c>
      <c r="AQ104" s="19">
        <f>IF(AQ103="","",AQ103+1)</f>
        <v>798</v>
      </c>
      <c r="AR104" s="39"/>
      <c r="AS104" s="39"/>
      <c r="AT104" s="15" t="str">
        <f>IF(AND(AR104&lt;&gt;"",AS104&lt;&gt;""),ROUND(AR104,3)+ROUND(AT103,3)-ROUND(AS104,3),IF(AND(EXACT(UPPER(AQ104),"TBM"),AR104&lt;&gt;""),ROUND(AR104,3),IF(AR104="",AT103,IF(ISNA(VLOOKUP(AQ104,A6:E105,5,FALSE)),IF(ISNA(VLOOKUP(AQ104,G6:K105,5,FALSE)),IF(ISNA(VLOOKUP(AQ104,M6:Q105,5,FALSE)),IF(ISNA(VLOOKUP(AQ104,S6:W105,5,FALSE)),IF(ISNA(VLOOKUP(AQ104,Y6:AC105,5,FALSE)),IF(ISNA(VLOOKUP(AQ104,AE6:AI105,5,FALSE)),IF(ISNA(VLOOKUP(AQ104,AK6:AO105,5,FALSE)),IF(ISNA(VLOOKUP(AQ104,AQ6:AU103,5,FALSE)),"",ROUND(VLOOKUP(AQ104,AQ6:AU103,5,FALSE),0)/1000+ROUND(AR104,3)),ROUND(VLOOKUP(AQ104,AK6:AO105,5,FALSE),0)/1000+ROUND(AR104,3)),ROUND(VLOOKUP(AQ104,AE6:AI105,5,FALSE),0)/1000+ROUND(AR104,3)),ROUND(VLOOKUP(AQ104,Y6:AC105,5,FALSE),0)/1000+ROUND(AR104,3)),ROUND(VLOOKUP(AQ104,S6:W105,5,FALSE),0)/1000+ROUND(AR104,3)),ROUND(VLOOKUP(AQ104,M6:Q105,5,FALSE),0)/1000+ROUND(AR104,3)),ROUND(VLOOKUP(AQ104,G6:K105,5,FALSE),0)/1000+ROUND(AR104,3)),ROUND(VLOOKUP(AQ104,A6:E105,5,FALSE),0)/1000+ROUND(AR104,3)))))</f>
        <v/>
      </c>
      <c r="AU104" s="18" t="str">
        <f>IF(OR(NOT(EXACT(UPPER(AQ104),"TBM")),AR104=""),IF(AND(AR104&lt;&gt;"",AS104="",AT104&lt;&gt;""),"",IF(AND(AR104="",AS104&lt;&gt;"",AT104&lt;&gt;""),ROUND(ROUND(AT104,3)-ROUND(AS104,3),3)*1000,IF(AND(AR104&lt;&gt;"",AS104&lt;&gt;"",AT104&lt;&gt;""),ROUND(ROUND(AT103,3)-ROUND(AS104,3),3)*1000,""))),"")</f>
        <v/>
      </c>
      <c r="AV104" s="45" t="str">
        <f>IF(AND(NOT(ISNA(VLOOKUP(AQ104,A6:E105,5,FALSE))),AR104="",AS104&lt;&gt;""),ROUND((VLOOKUP(AQ104,A6:E105,5,FALSE)-AU104)/1000,3),IF(AND(NOT(ISNA(VLOOKUP(AQ104,G6:K105,5,FALSE))),AR104="",AS104&lt;&gt;""),ROUND((VLOOKUP(AQ104,G6:K105,5,FALSE)-AU104)/1000,3),IF(AND(NOT(ISNA(VLOOKUP(AQ104,M6:Q105,5,FALSE))),AR104="",AS104&lt;&gt;""),ROUND((VLOOKUP(AQ104,M6:Q105,5,FALSE)-AU104)/1000,3),IF(AND(NOT(ISNA(VLOOKUP(AQ104,S6:W105,5,FALSE))),AR104="",AS104&lt;&gt;""),ROUND((VLOOKUP(AQ104,S6:W105,5,FALSE)-AU104)/1000,3),IF(AND(NOT(ISNA(VLOOKUP(AQ104,Y6:AC105,5,FALSE))),AR104="",AS104&lt;&gt;""),ROUND((VLOOKUP(AQ104,Y6:AC105,5,FALSE)-AU104)/1000,3),IF(AND(NOT(ISNA(VLOOKUP(AQ104,AE6:AI105,5,FALSE))),AR104="",AS104&lt;&gt;""),ROUND((VLOOKUP(AQ104,AE6:AI105,5,FALSE)-AU104)/1000,3),IF(AND(NOT(ISNA(VLOOKUP(AQ104,AK6:AO105,5,FALSE))),AR104="",AS104&lt;&gt;""),ROUND((VLOOKUP(AQ104,AK6:AO105,5,FALSE)-AU104)/1000,3),IF(AND(NOT(ISNA(VLOOKUP(AQ104,AQ6:AU103,5,FALSE))),AR104="",AS104&lt;&gt;""),ROUND((VLOOKUP(AQ104,AQ6:AU103,5,FALSE)-AU104)/1000,3),""))))))))</f>
        <v/>
      </c>
      <c r="AW104" s="19">
        <f>IF(AW103="","",AW103+1)</f>
        <v>898</v>
      </c>
      <c r="AX104" s="39"/>
      <c r="AY104" s="39"/>
      <c r="AZ104" s="15" t="str">
        <f>IF(AND(AX104&lt;&gt;"",AY104&lt;&gt;""),ROUND(AX104,3)+ROUND(AZ103,3)-ROUND(AY104,3),IF(AND(EXACT(UPPER(AW104),"TBM"),AX104&lt;&gt;""),ROUND(AX104,3),IF(AX104="",AZ103,IF(ISNA(VLOOKUP(AW104,A6:E105,5,FALSE)),IF(ISNA(VLOOKUP(AW104,G6:K105,5,FALSE)),IF(ISNA(VLOOKUP(AW104,M6:Q105,5,FALSE)),IF(ISNA(VLOOKUP(AW104,S6:W105,5,FALSE)),IF(ISNA(VLOOKUP(AW104,Y6:AC105,5,FALSE)),IF(ISNA(VLOOKUP(AW104,AE6:AI105,5,FALSE)),IF(ISNA(VLOOKUP(AW104,AK6:AO105,5,FALSE)),IF(ISNA(VLOOKUP(AW104,AQ6:AU105,5,FALSE)),IF(ISNA(VLOOKUP(AW104,AW6:BA103,5,FALSE)),"",ROUND(VLOOKUP(AW104,AW6:BA103,5,FALSE),0)/1000+ROUND(AX104,3)),ROUND(VLOOKUP(AW104,AQ6:AU105,5,FALSE),0)/1000+ROUND(AX104,3)),ROUND(VLOOKUP(AW104,AK6:AO105,5,FALSE),0)/1000+ROUND(AX104,3)),ROUND(VLOOKUP(AW104,AE6:AI105,5,FALSE),0)/1000+ROUND(AX104,3)),ROUND(VLOOKUP(AW104,Y6:AC105,5,FALSE),0)/1000+ROUND(AX104,3)),ROUND(VLOOKUP(AW104,S6:W105,5,FALSE),0)/1000+ROUND(AX104,3)),ROUND(VLOOKUP(AW104,M6:Q105,5,FALSE),0)/1000+ROUND(AX104,3)),ROUND(VLOOKUP(AW104,G6:K105,5,FALSE),0)/1000+ROUND(AX104,3)),ROUND(VLOOKUP(AW104,A6:E105,5,FALSE),0)/1000+ROUND(AX104,3)))))</f>
        <v/>
      </c>
      <c r="BA104" s="18" t="str">
        <f>IF(OR(NOT(EXACT(UPPER(AW104),"TBM")),AX104=""),IF(AND(AX104&lt;&gt;"",AY104="",AZ104&lt;&gt;""),"",IF(AND(AX104="",AY104&lt;&gt;"",AZ104&lt;&gt;""),ROUND(ROUND(AZ104,3)-ROUND(AY104,3),3)*1000,IF(AND(AX104&lt;&gt;"",AY104&lt;&gt;"",AZ104&lt;&gt;""),ROUND(ROUND(AZ103,3)-ROUND(AY104,3),3)*1000,""))),"")</f>
        <v/>
      </c>
      <c r="BB104" s="45" t="str">
        <f>IF(AND(NOT(ISNA(VLOOKUP(AW104,A6:E105,5,FALSE))),AX104="",AY104&lt;&gt;""),ROUND((VLOOKUP(AW104,A6:E105,5,FALSE)-BA104)/1000,3),IF(AND(NOT(ISNA(VLOOKUP(AW104,G6:K105,5,FALSE))),AX104="",AY104&lt;&gt;""),ROUND((VLOOKUP(AW104,G6:K105,5,FALSE)-BA104)/1000,3),IF(AND(NOT(ISNA(VLOOKUP(AW104,M6:Q105,5,FALSE))),AX104="",AY104&lt;&gt;""),ROUND((VLOOKUP(AW104,M6:Q105,5,FALSE)-BA104)/1000,3),IF(AND(NOT(ISNA(VLOOKUP(AW104,S6:W105,5,FALSE))),AX104="",AY104&lt;&gt;""),ROUND((VLOOKUP(AW104,S6:W105,5,FALSE)-BA104)/1000,3),IF(AND(NOT(ISNA(VLOOKUP(AW104,Y6:AC105,5,FALSE))),AX104="",AY104&lt;&gt;""),ROUND((VLOOKUP(AW104,Y6:AC105,5,FALSE)-BA104)/1000,3),IF(AND(NOT(ISNA(VLOOKUP(AW104,AE6:AI105,5,FALSE))),AX104="",AY104&lt;&gt;""),ROUND((VLOOKUP(AW104,AE6:AI105,5,FALSE)-BA104)/1000,3),IF(AND(NOT(ISNA(VLOOKUP(AW104,AK6:AO105,5,FALSE))),AX104="",AY104&lt;&gt;""),ROUND((VLOOKUP(AW104,AK6:AO105,5,FALSE)-BA104)/1000,3),IF(AND(NOT(ISNA(VLOOKUP(AW104,AQ6:AU105,5,FALSE))),AX104="",AY104&lt;&gt;""),ROUND((VLOOKUP(AW104,AQ6:AU105,5,FALSE)-BA104)/1000,3),IF(AND(NOT(ISNA(VLOOKUP(AW104,AW6:BA103,5,FALSE))),AX104="",AY104&lt;&gt;""),ROUND((VLOOKUP(AW104,AW6:BA103,5,FALSE)-BA104)/1000,3),"")))))))))</f>
        <v/>
      </c>
      <c r="BC104" s="19">
        <f>IF(BC103="","",BC103+1)</f>
        <v>998</v>
      </c>
      <c r="BD104" s="39"/>
      <c r="BE104" s="39"/>
      <c r="BF104" s="15" t="str">
        <f>IF(AND(BD104&lt;&gt;"",BE104&lt;&gt;""),ROUND(BD104,3)+ROUND(BF103,3)-ROUND(BE104,3),IF(AND(EXACT(UPPER(BC104),"TBM"),BD104&lt;&gt;""),ROUND(BD104,3),IF(BD104="",BF103,IF(ISNA(VLOOKUP(BC104,A6:E105,5,FALSE)),IF(ISNA(VLOOKUP(BC104,G6:K105,5,FALSE)),IF(ISNA(VLOOKUP(BC104,M6:Q105,5,FALSE)),IF(ISNA(VLOOKUP(BC104,S6:W105,5,FALSE)),IF(ISNA(VLOOKUP(BC104,Y6:AC105,5,FALSE)),IF(ISNA(VLOOKUP(BC104,AE6:AI105,5,FALSE)),IF(ISNA(VLOOKUP(BC104,AK6:AO105,5,FALSE)),IF(ISNA(VLOOKUP(BC104,AQ6:AU105,5,FALSE)),IF(ISNA(VLOOKUP(BC104,AW6:BA105,5,FALSE)),IF(ISNA(VLOOKUP(BC104,BC6:BG103,5,FALSE)),"",ROUND(VLOOKUP(BC104,BC6:BG103,5,FALSE),0)/1000+ROUND(BD104,3)),ROUND(VLOOKUP(BC104,AW6:BA105,5,FALSE),0)/1000+ROUND(BD104,3)),ROUND(VLOOKUP(BC104,AQ6:AU105,5,FALSE),0)/1000+ROUND(BD104,3)),ROUND(VLOOKUP(BC104,AK6:AO105,5,FALSE),0)/1000+ROUND(BD104,3)),ROUND(VLOOKUP(BC104,AE6:AI105,5,FALSE),0)/1000+ROUND(BD104,3)),ROUND(VLOOKUP(BC104,Y6:AC105,5,FALSE),0)/1000+ROUND(BD104,3)),ROUND(VLOOKUP(BC104,S6:W105,5,FALSE),0)/1000+ROUND(BD104,3)),ROUND(VLOOKUP(BC104,M6:Q105,5,FALSE),0)/1000+ROUND(BD104,3)),ROUND(VLOOKUP(BC104,G6:K105,5,FALSE),0)/1000+ROUND(BD104,3)),ROUND(VLOOKUP(BC104,A6:E105,5,FALSE),0)/1000+ROUND(BD104,3)))))</f>
        <v/>
      </c>
      <c r="BG104" s="18" t="str">
        <f>IF(OR(NOT(EXACT(UPPER(BC104),"TBM")),BD104=""),IF(AND(BD104&lt;&gt;"",BE104="",BF104&lt;&gt;""),"",IF(AND(BD104="",BE104&lt;&gt;"",BF104&lt;&gt;""),ROUND(ROUND(BF104,3)-ROUND(BE104,3),3)*1000,IF(AND(BD104&lt;&gt;"",BE104&lt;&gt;"",BF104&lt;&gt;""),ROUND(ROUND(BF103,3)-ROUND(BE104,3),3)*1000,""))),"")</f>
        <v/>
      </c>
      <c r="BH104" s="45" t="str">
        <f>IF(AND(NOT(ISNA(VLOOKUP(BC104,A6:E105,5,FALSE))),BD104="",BE104&lt;&gt;""),ROUND((VLOOKUP(BC104,A6:E105,5,FALSE)-BG104)/1000,3),IF(AND(NOT(ISNA(VLOOKUP(BC104,G6:K105,5,FALSE))),BD104="",BE104&lt;&gt;""),ROUND((VLOOKUP(BC104,G6:K105,5,FALSE)-BG104)/1000,3),IF(AND(NOT(ISNA(VLOOKUP(BC104,M6:Q105,5,FALSE))),BD104="",BE104&lt;&gt;""),ROUND((VLOOKUP(BC104,M6:Q105,5,FALSE)-BG104)/1000,3),IF(AND(NOT(ISNA(VLOOKUP(BC104,S6:W105,5,FALSE))),BD104="",BE104&lt;&gt;""),ROUND((VLOOKUP(BC104,S6:W105,5,FALSE)-BG104)/1000,3),IF(AND(NOT(ISNA(VLOOKUP(BC104,Y6:AC105,5,FALSE))),BD104="",BE104&lt;&gt;""),ROUND((VLOOKUP(BC104,Y6:AC105,5,FALSE)-BG104)/1000,3),IF(AND(NOT(ISNA(VLOOKUP(BC104,AE6:AI105,5,FALSE))),BD104="",BE104&lt;&gt;""),ROUND((VLOOKUP(BC104,AE6:AI105,5,FALSE)-BG104)/1000,3),IF(AND(NOT(ISNA(VLOOKUP(BC104,AK6:AO105,5,FALSE))),BD104="",BE104&lt;&gt;""),ROUND((VLOOKUP(BC104,AK6:AO105,5,FALSE)-BG104)/1000,3),IF(AND(NOT(ISNA(VLOOKUP(BC104,AQ6:AU105,5,FALSE))),BD104="",BE104&lt;&gt;""),ROUND((VLOOKUP(BC104,AQ6:AU105,5,FALSE)-BG104)/1000,3),IF(AND(NOT(ISNA(VLOOKUP(BC104,AW6:BA105,5,FALSE))),BD104="",BE104&lt;&gt;""),ROUND((VLOOKUP(BC104,AW6:BA105,5,FALSE)-BG104)/1000,3),IF(AND(NOT(ISNA(VLOOKUP(BC104,BC6:BG103,5,FALSE))),BD104="",BE104&lt;&gt;""),ROUND((VLOOKUP(BC104,BC6:BG103,5,FALSE)-BG104)/1000,3),""))))))))))</f>
        <v/>
      </c>
    </row>
    <row r="105" spans="1:60" ht="15.75" thickBot="1" x14ac:dyDescent="0.3">
      <c r="A105" s="68">
        <f t="shared" si="9"/>
        <v>99</v>
      </c>
      <c r="B105" s="69"/>
      <c r="C105" s="69"/>
      <c r="D105" s="70" t="str">
        <f>IF(AND(B105&lt;&gt;"",C105&lt;&gt;""),ROUND(B105,3)+ROUND(D104,3)-ROUND(C105,3),IF(AND(EXACT(UPPER(A105),"TBM"),B105&lt;&gt;""),ROUND(B105,3),IF(B105="",D104,IF(ISNA(VLOOKUP(A105,A6:E104,5,FALSE)),"",ROUND(VLOOKUP(A105,A6:E104,5,FALSE),0)/1000+ROUND(B105,3)))))</f>
        <v/>
      </c>
      <c r="E105" s="71" t="str">
        <f t="shared" si="10"/>
        <v/>
      </c>
      <c r="F105" s="73" t="str">
        <f>IF(AND(NOT(ISNA(VLOOKUP(A105,A6:E104,5,FALSE))),B105="",C105&lt;&gt;""),ROUND((VLOOKUP(A105,A6:E104,5,FALSE)-E105)/1000,3),"")</f>
        <v/>
      </c>
      <c r="G105" s="68">
        <f t="shared" si="7"/>
        <v>199</v>
      </c>
      <c r="H105" s="69"/>
      <c r="I105" s="69"/>
      <c r="J105" s="70" t="str">
        <f>IF(AND(H105&lt;&gt;"",I105&lt;&gt;""),ROUND(H105,3)+ROUND(J104,3)-ROUND(I105,3),IF(AND(EXACT(UPPER(G105),"TBM"),H105&lt;&gt;""),ROUND(H105,3),IF(H105="",J104,IF(ISNA(VLOOKUP(G105,A6:E105,5,FALSE)),IF(ISNA(VLOOKUP(G105,G6:K104,5,FALSE)),"",ROUND(VLOOKUP(G105,G6:K104,5,FALSE),0)/1000+ROUND(H105,3)),ROUND(VLOOKUP(G105,A6:E105,5,FALSE),0)/1000+ROUND(H105,3)))))</f>
        <v/>
      </c>
      <c r="K105" s="72" t="str">
        <f t="shared" si="11"/>
        <v/>
      </c>
      <c r="L105" s="73" t="str">
        <f>IF(AND(NOT(ISNA(VLOOKUP(G105,A6:E105,5,FALSE))),H105="",I105&lt;&gt;""),ROUND((VLOOKUP(G105,A6:E105,5,FALSE)-K105)/1000,3),IF(AND(NOT(ISNA(VLOOKUP(G105,G6:K104,5,FALSE))),H105="",I105&lt;&gt;""),ROUND((VLOOKUP(G105,G6:K104,5,FALSE)-K105)/1000,3),""))</f>
        <v/>
      </c>
      <c r="M105" s="68">
        <f>IF(M104="","",M104+1)</f>
        <v>299</v>
      </c>
      <c r="N105" s="69"/>
      <c r="O105" s="69"/>
      <c r="P105" s="70" t="str">
        <f>IF(AND(N105&lt;&gt;"",O105&lt;&gt;""),ROUND(N105,3)+ROUND(P104,3)-ROUND(O105,3),IF(AND(EXACT(UPPER(M105),"TBM"),N105&lt;&gt;""),ROUND(N105,3),IF(N105="",P104,IF(ISNA(VLOOKUP(M105,A6:E105,5,FALSE)),IF(ISNA(VLOOKUP(M105,G6:K105,5,FALSE)),IF(ISNA(VLOOKUP(M105,M6:Q104,5,FALSE)),"",ROUND(VLOOKUP(M105,M6:Q104,5,FALSE),0)/1000+ROUND(N105,3)),ROUND(VLOOKUP(M105,G6:K105,5,FALSE),0)/1000+ROUND(N105,3)),ROUND(VLOOKUP(M105,A6:E105,5,FALSE),0)/1000+ROUND(N105,3)))))</f>
        <v/>
      </c>
      <c r="Q105" s="72" t="str">
        <f>IF(OR(NOT(EXACT(UPPER(M105),"TBM")),N105=""),IF(AND(N105&lt;&gt;"",O105="",P105&lt;&gt;""),"",IF(AND(N105="",O105&lt;&gt;"",P105&lt;&gt;""),ROUND(ROUND(P105,3)-ROUND(O105,3),3)*1000,IF(AND(N105&lt;&gt;"",O105&lt;&gt;"",P105&lt;&gt;""),ROUND(ROUND(P104,3)-ROUND(O105,3),3)*1000,""))),"")</f>
        <v/>
      </c>
      <c r="R105" s="73" t="str">
        <f>IF(AND(NOT(ISNA(VLOOKUP(M105,A6:E105,5,FALSE))),N105="",O105&lt;&gt;""),ROUND((VLOOKUP(M105,A6:E105,5,FALSE)-Q105)/1000,3),IF(AND(NOT(ISNA(VLOOKUP(M105,G6:K105,5,FALSE))),N105="",O105&lt;&gt;""),ROUND((VLOOKUP(M105,G6:K105,5,FALSE)-Q105)/1000,3),IF(AND(NOT(ISNA(VLOOKUP(M105,M6:Q104,5,FALSE))),N105="",O105&lt;&gt;""),ROUND((VLOOKUP(M105,M6:Q104,5,FALSE)-Q105)/1000,3),"")))</f>
        <v/>
      </c>
      <c r="S105" s="68">
        <f>IF(S104="","",S104+1)</f>
        <v>399</v>
      </c>
      <c r="T105" s="69"/>
      <c r="U105" s="69"/>
      <c r="V105" s="70" t="str">
        <f>IF(AND(T105&lt;&gt;"",U105&lt;&gt;""),ROUND(T105,3)+ROUND(V104,3)-ROUND(U105,3),IF(AND(EXACT(UPPER(S105),"TBM"),T105&lt;&gt;""),ROUND(T105,3),IF(T105="",V104,IF(ISNA(VLOOKUP(S105,A6:E105,5,FALSE)),IF(ISNA(VLOOKUP(S105,G6:K105,5,FALSE)),IF(ISNA(VLOOKUP(S105,M6:Q105,5,FALSE)),IF(ISNA(VLOOKUP(S105,S6:W104,5,FALSE)),"",ROUND(VLOOKUP(S105,S6:W104,5,FALSE),0)/1000+ROUND(T105,3)),ROUND(VLOOKUP(S105,M6:Q105,5,FALSE),0)/1000+ROUND(T105,3)),ROUND(VLOOKUP(S105,G6:K105,5,FALSE),0)/1000+ROUND(T105,3)),ROUND(VLOOKUP(S105,A6:E105,5,FALSE),0)/1000+ROUND(T105,3)))))</f>
        <v/>
      </c>
      <c r="W105" s="72" t="str">
        <f>IF(OR(NOT(EXACT(UPPER(S105),"TBM")),T105=""),IF(AND(T105&lt;&gt;"",U105="",V105&lt;&gt;""),"",IF(AND(T105="",U105&lt;&gt;"",V105&lt;&gt;""),ROUND(ROUND(V105,3)-ROUND(U105,3),3)*1000,IF(AND(T105&lt;&gt;"",U105&lt;&gt;"",V105&lt;&gt;""),ROUND(ROUND(V104,3)-ROUND(U105,3),3)*1000,""))),"")</f>
        <v/>
      </c>
      <c r="X105" s="73" t="str">
        <f>IF(AND(NOT(ISNA(VLOOKUP(S105,A6:E105,5,FALSE))),T105="",U105&lt;&gt;""),ROUND((VLOOKUP(S105,A6:E105,5,FALSE)-W105)/1000,3),IF(AND(NOT(ISNA(VLOOKUP(S105,G6:K105,5,FALSE))),T105="",U105&lt;&gt;""),ROUND((VLOOKUP(S105,G6:K105,5,FALSE)-W105)/1000,3),IF(AND(NOT(ISNA(VLOOKUP(S105,M6:Q105,5,FALSE))),T105="",U105&lt;&gt;""),ROUND((VLOOKUP(S105,M6:Q105,5,FALSE)-W105)/1000,3),IF(AND(NOT(ISNA(VLOOKUP(S105,S6:W104,5,FALSE))),T105="",U105&lt;&gt;""),ROUND((VLOOKUP(S105,S6:W104,5,FALSE)-W105)/1000,3),""))))</f>
        <v/>
      </c>
      <c r="Y105" s="68">
        <f>IF(Y104="","",Y104+1)</f>
        <v>499</v>
      </c>
      <c r="Z105" s="69"/>
      <c r="AA105" s="69"/>
      <c r="AB105" s="70" t="str">
        <f>IF(AND(Z105&lt;&gt;"",AA105&lt;&gt;""),ROUND(Z105,3)+ROUND(AB104,3)-ROUND(AA105,3),IF(AND(EXACT(UPPER(Y105),"TBM"),Z105&lt;&gt;""),ROUND(Z105,3),IF(Z105="",AB104,IF(ISNA(VLOOKUP(Y105,A6:E105,5,FALSE)),IF(ISNA(VLOOKUP(Y105,G6:K105,5,FALSE)),IF(ISNA(VLOOKUP(Y105,M6:Q105,5,FALSE)),IF(ISNA(VLOOKUP(Y105,S6:W105,5,FALSE)),IF(ISNA(VLOOKUP(Y105,Y6:AC104,5,FALSE)),"",ROUND(VLOOKUP(Y105,Y6:AC104,5,FALSE),0)/1000+ROUND(Z105,3)),ROUND(VLOOKUP(Y105,S6:W105,5,FALSE),0)/1000+ROUND(Z105,3)),ROUND(VLOOKUP(Y105,M6:Q105,5,FALSE),0)/1000+ROUND(Z105,3)),ROUND(VLOOKUP(Y105,G6:K105,5,FALSE),0)/1000+ROUND(Z105,3)),ROUND(VLOOKUP(Y105,A6:E105,5,FALSE),0)/1000+ROUND(Z105,3)))))</f>
        <v/>
      </c>
      <c r="AC105" s="72" t="str">
        <f>IF(OR(NOT(EXACT(UPPER(Y105),"TBM")),Z105=""),IF(AND(Z105&lt;&gt;"",AA105="",AB105&lt;&gt;""),"",IF(AND(Z105="",AA105&lt;&gt;"",AB105&lt;&gt;""),ROUND(ROUND(AB105,3)-ROUND(AA105,3),3)*1000,IF(AND(Z105&lt;&gt;"",AA105&lt;&gt;"",AB105&lt;&gt;""),ROUND(ROUND(AB104,3)-ROUND(AA105,3),3)*1000,""))),"")</f>
        <v/>
      </c>
      <c r="AD105" s="73" t="str">
        <f>IF(AND(NOT(ISNA(VLOOKUP(Y105,A6:E105,5,FALSE))),Z105="",AA105&lt;&gt;""),ROUND((VLOOKUP(Y105,A6:E105,5,FALSE)-AC105)/1000,3),IF(AND(NOT(ISNA(VLOOKUP(Y105,G6:K105,5,FALSE))),Z105="",AA105&lt;&gt;""),ROUND((VLOOKUP(Y105,G6:K105,5,FALSE)-AC105)/1000,3),IF(AND(NOT(ISNA(VLOOKUP(Y105,M6:Q105,5,FALSE))),Z105="",AA105&lt;&gt;""),ROUND((VLOOKUP(Y105,M6:Q105,5,FALSE)-AC105)/1000,3),IF(AND(NOT(ISNA(VLOOKUP(Y105,S6:W105,5,FALSE))),Z105="",AA105&lt;&gt;""),ROUND((VLOOKUP(Y105,S6:W105,5,FALSE)-AC105)/1000,3),IF(AND(NOT(ISNA(VLOOKUP(Y105,Y6:AC104,5,FALSE))),Z105="",AA105&lt;&gt;""),ROUND((VLOOKUP(Y105,Y6:AC104,5,FALSE)-AC105)/1000,3),"")))))</f>
        <v/>
      </c>
      <c r="AE105" s="68">
        <f>IF(AE104="","",AE104+1)</f>
        <v>599</v>
      </c>
      <c r="AF105" s="69"/>
      <c r="AG105" s="69"/>
      <c r="AH105" s="70" t="str">
        <f>IF(AND(AF105&lt;&gt;"",AG105&lt;&gt;""),ROUND(AF105,3)+ROUND(AH104,3)-ROUND(AG105,3),IF(AND(EXACT(UPPER(AE105),"TBM"),AF105&lt;&gt;""),ROUND(AF105,3),IF(AF105="",AH104,IF(ISNA(VLOOKUP(AE105,A6:E105,5,FALSE)),IF(ISNA(VLOOKUP(AE105,G6:K105,5,FALSE)),IF(ISNA(VLOOKUP(AE105,M6:Q105,5,FALSE)),IF(ISNA(VLOOKUP(AE105,S6:W105,5,FALSE)),IF(ISNA(VLOOKUP(AE105,Y6:AC105,5,FALSE)),IF(ISNA(VLOOKUP(AE105,AE6:AI104,5,FALSE)),"",ROUND(VLOOKUP(AE105,AE6:AI104,5,FALSE),0)/1000+ROUND(AF105,3)),ROUND(VLOOKUP(AE105,Y6:AC105,5,FALSE),0)/1000+ROUND(AF105,3)),ROUND(VLOOKUP(AE105,S6:W105,5,FALSE),0)/1000+ROUND(AF105,3)),ROUND(VLOOKUP(AE105,M6:Q105,5,FALSE),0)/1000+ROUND(AF105,3)),ROUND(VLOOKUP(AE105,G6:K105,5,FALSE),0)/1000+ROUND(AF105,3)),ROUND(VLOOKUP(AE105,A6:E105,5,FALSE),0)/1000+ROUND(AF105,3)))))</f>
        <v/>
      </c>
      <c r="AI105" s="72" t="str">
        <f>IF(OR(NOT(EXACT(UPPER(AE105),"TBM")),AF105=""),IF(AND(AF105&lt;&gt;"",AG105="",AH105&lt;&gt;""),"",IF(AND(AF105="",AG105&lt;&gt;"",AH105&lt;&gt;""),ROUND(ROUND(AH105,3)-ROUND(AG105,3),3)*1000,IF(AND(AF105&lt;&gt;"",AG105&lt;&gt;"",AH105&lt;&gt;""),ROUND(ROUND(AH104,3)-ROUND(AG105,3),3)*1000,""))),"")</f>
        <v/>
      </c>
      <c r="AJ105" s="73" t="str">
        <f>IF(AND(NOT(ISNA(VLOOKUP(AE105,A6:E105,5,FALSE))),AF105="",AG105&lt;&gt;""),ROUND((VLOOKUP(AE105,A6:E105,5,FALSE)-AI105)/1000,3),IF(AND(NOT(ISNA(VLOOKUP(AE105,G6:K105,5,FALSE))),AF105="",AG105&lt;&gt;""),ROUND((VLOOKUP(AE105,G6:K105,5,FALSE)-AI105)/1000,3),IF(AND(NOT(ISNA(VLOOKUP(AE105,M6:Q105,5,FALSE))),AF105="",AG105&lt;&gt;""),ROUND((VLOOKUP(AE105,M6:Q105,5,FALSE)-AI105)/1000,3),IF(AND(NOT(ISNA(VLOOKUP(AE105,S6:W105,5,FALSE))),AF105="",AG105&lt;&gt;""),ROUND((VLOOKUP(AE105,S6:W105,5,FALSE)-AI105)/1000,3),IF(AND(NOT(ISNA(VLOOKUP(AE105,Y6:AC105,5,FALSE))),AF105="",AG105&lt;&gt;""),ROUND((VLOOKUP(AE105,Y6:AC105,5,FALSE)-AI105)/1000,3),IF(AND(NOT(ISNA(VLOOKUP(AE105,AE6:AI104,5,FALSE))),AF105="",AG105&lt;&gt;""),ROUND((VLOOKUP(AE105,AE6:AI104,5,FALSE)-AI105)/1000,3),""))))))</f>
        <v/>
      </c>
      <c r="AK105" s="68">
        <f>IF(AK104="","",AK104+1)</f>
        <v>699</v>
      </c>
      <c r="AL105" s="69"/>
      <c r="AM105" s="69"/>
      <c r="AN105" s="70" t="str">
        <f>IF(AND(AL105&lt;&gt;"",AM105&lt;&gt;""),ROUND(AL105,3)+ROUND(AN104,3)-ROUND(AM105,3),IF(AND(EXACT(UPPER(AK105),"TBM"),AL105&lt;&gt;""),ROUND(AL105,3),IF(AL105="",AN104,IF(ISNA(VLOOKUP(AK105,A6:E105,5,FALSE)),IF(ISNA(VLOOKUP(AK105,G6:K105,5,FALSE)),IF(ISNA(VLOOKUP(AK105,M6:Q105,5,FALSE)),IF(ISNA(VLOOKUP(AK105,S6:W105,5,FALSE)),IF(ISNA(VLOOKUP(AK105,Y6:AC105,5,FALSE)),IF(ISNA(VLOOKUP(AK105,AE6:AI105,5,FALSE)),IF(ISNA(VLOOKUP(AK105,AK6:AO104,5,FALSE)),"",ROUND(VLOOKUP(AK105,AK6:AO104,5,FALSE),0)/1000+ROUND(AL105,3)),ROUND(VLOOKUP(AK105,AE6:AI105,5,FALSE),0)/1000+ROUND(AL105,3)),ROUND(VLOOKUP(AK105,Y6:AC105,5,FALSE),0)/1000+ROUND(AL105,3)),ROUND(VLOOKUP(AK105,S6:W105,5,FALSE),0)/1000+ROUND(AL105,3)),ROUND(VLOOKUP(AK105,M6:Q105,5,FALSE),0)/1000+ROUND(AL105,3)),ROUND(VLOOKUP(AK105,G6:K105,5,FALSE),0)/1000+ROUND(AL105,3)),ROUND(VLOOKUP(AK105,A6:E105,5,FALSE),0)/1000+ROUND(AL105,3)))))</f>
        <v/>
      </c>
      <c r="AO105" s="72" t="str">
        <f>IF(OR(NOT(EXACT(UPPER(AK105),"TBM")),AL105=""),IF(AND(AL105&lt;&gt;"",AM105="",AN105&lt;&gt;""),"",IF(AND(AL105="",AM105&lt;&gt;"",AN105&lt;&gt;""),ROUND(ROUND(AN105,3)-ROUND(AM105,3),3)*1000,IF(AND(AL105&lt;&gt;"",AM105&lt;&gt;"",AN105&lt;&gt;""),ROUND(ROUND(AN104,3)-ROUND(AM105,3),3)*1000,""))),"")</f>
        <v/>
      </c>
      <c r="AP105" s="73" t="str">
        <f>IF(AND(NOT(ISNA(VLOOKUP(AK105,A6:E105,5,FALSE))),AL105="",AM105&lt;&gt;""),ROUND((VLOOKUP(AK105,A6:E105,5,FALSE)-AO105)/1000,3),IF(AND(NOT(ISNA(VLOOKUP(AK105,G6:K105,5,FALSE))),AL105="",AM105&lt;&gt;""),ROUND((VLOOKUP(AK105,G6:K105,5,FALSE)-AO105)/1000,3),IF(AND(NOT(ISNA(VLOOKUP(AK105,M6:Q105,5,FALSE))),AL105="",AM105&lt;&gt;""),ROUND((VLOOKUP(AK105,M6:Q105,5,FALSE)-AO105)/1000,3),IF(AND(NOT(ISNA(VLOOKUP(AK105,S6:W105,5,FALSE))),AL105="",AM105&lt;&gt;""),ROUND((VLOOKUP(AK105,S6:W105,5,FALSE)-AO105)/1000,3),IF(AND(NOT(ISNA(VLOOKUP(AK105,Y6:AC105,5,FALSE))),AL105="",AM105&lt;&gt;""),ROUND((VLOOKUP(AK105,Y6:AC105,5,FALSE)-AO105)/1000,3),IF(AND(NOT(ISNA(VLOOKUP(AK105,AE6:AI105,5,FALSE))),AL105="",AM105&lt;&gt;""),ROUND((VLOOKUP(AK105,AE6:AI105,5,FALSE)-AO105)/1000,3),IF(AND(NOT(ISNA(VLOOKUP(AK105,AK6:AO104,5,FALSE))),AL105="",AM105&lt;&gt;""),ROUND((VLOOKUP(AK105,AK6:AO104,5,FALSE)-AO105)/1000,3),"")))))))</f>
        <v/>
      </c>
      <c r="AQ105" s="68">
        <f>IF(AQ104="","",AQ104+1)</f>
        <v>799</v>
      </c>
      <c r="AR105" s="69"/>
      <c r="AS105" s="69"/>
      <c r="AT105" s="70" t="str">
        <f>IF(AND(AR105&lt;&gt;"",AS105&lt;&gt;""),ROUND(AR105,3)+ROUND(AT104,3)-ROUND(AS105,3),IF(AND(EXACT(UPPER(AQ105),"TBM"),AR105&lt;&gt;""),ROUND(AR105,3),IF(AR105="",AT104,IF(ISNA(VLOOKUP(AQ105,A6:E105,5,FALSE)),IF(ISNA(VLOOKUP(AQ105,G6:K105,5,FALSE)),IF(ISNA(VLOOKUP(AQ105,M6:Q105,5,FALSE)),IF(ISNA(VLOOKUP(AQ105,S6:W105,5,FALSE)),IF(ISNA(VLOOKUP(AQ105,Y6:AC105,5,FALSE)),IF(ISNA(VLOOKUP(AQ105,AE6:AI105,5,FALSE)),IF(ISNA(VLOOKUP(AQ105,AK6:AO105,5,FALSE)),IF(ISNA(VLOOKUP(AQ105,AQ6:AU104,5,FALSE)),"",ROUND(VLOOKUP(AQ105,AQ6:AU104,5,FALSE),0)/1000+ROUND(AR105,3)),ROUND(VLOOKUP(AQ105,AK6:AO105,5,FALSE),0)/1000+ROUND(AR105,3)),ROUND(VLOOKUP(AQ105,AE6:AI105,5,FALSE),0)/1000+ROUND(AR105,3)),ROUND(VLOOKUP(AQ105,Y6:AC105,5,FALSE),0)/1000+ROUND(AR105,3)),ROUND(VLOOKUP(AQ105,S6:W105,5,FALSE),0)/1000+ROUND(AR105,3)),ROUND(VLOOKUP(AQ105,M6:Q105,5,FALSE),0)/1000+ROUND(AR105,3)),ROUND(VLOOKUP(AQ105,G6:K105,5,FALSE),0)/1000+ROUND(AR105,3)),ROUND(VLOOKUP(AQ105,A6:E105,5,FALSE),0)/1000+ROUND(AR105,3)))))</f>
        <v/>
      </c>
      <c r="AU105" s="72" t="str">
        <f>IF(OR(NOT(EXACT(UPPER(AQ105),"TBM")),AR105=""),IF(AND(AR105&lt;&gt;"",AS105="",AT105&lt;&gt;""),"",IF(AND(AR105="",AS105&lt;&gt;"",AT105&lt;&gt;""),ROUND(ROUND(AT105,3)-ROUND(AS105,3),3)*1000,IF(AND(AR105&lt;&gt;"",AS105&lt;&gt;"",AT105&lt;&gt;""),ROUND(ROUND(AT104,3)-ROUND(AS105,3),3)*1000,""))),"")</f>
        <v/>
      </c>
      <c r="AV105" s="73" t="str">
        <f>IF(AND(NOT(ISNA(VLOOKUP(AQ105,A6:E105,5,FALSE))),AR105="",AS105&lt;&gt;""),ROUND((VLOOKUP(AQ105,A6:E105,5,FALSE)-AU105)/1000,3),IF(AND(NOT(ISNA(VLOOKUP(AQ105,G6:K105,5,FALSE))),AR105="",AS105&lt;&gt;""),ROUND((VLOOKUP(AQ105,G6:K105,5,FALSE)-AU105)/1000,3),IF(AND(NOT(ISNA(VLOOKUP(AQ105,M6:Q105,5,FALSE))),AR105="",AS105&lt;&gt;""),ROUND((VLOOKUP(AQ105,M6:Q105,5,FALSE)-AU105)/1000,3),IF(AND(NOT(ISNA(VLOOKUP(AQ105,S6:W105,5,FALSE))),AR105="",AS105&lt;&gt;""),ROUND((VLOOKUP(AQ105,S6:W105,5,FALSE)-AU105)/1000,3),IF(AND(NOT(ISNA(VLOOKUP(AQ105,Y6:AC105,5,FALSE))),AR105="",AS105&lt;&gt;""),ROUND((VLOOKUP(AQ105,Y6:AC105,5,FALSE)-AU105)/1000,3),IF(AND(NOT(ISNA(VLOOKUP(AQ105,AE6:AI105,5,FALSE))),AR105="",AS105&lt;&gt;""),ROUND((VLOOKUP(AQ105,AE6:AI105,5,FALSE)-AU105)/1000,3),IF(AND(NOT(ISNA(VLOOKUP(AQ105,AK6:AO105,5,FALSE))),AR105="",AS105&lt;&gt;""),ROUND((VLOOKUP(AQ105,AK6:AO105,5,FALSE)-AU105)/1000,3),IF(AND(NOT(ISNA(VLOOKUP(AQ105,AQ6:AU104,5,FALSE))),AR105="",AS105&lt;&gt;""),ROUND((VLOOKUP(AQ105,AQ6:AU104,5,FALSE)-AU105)/1000,3),""))))))))</f>
        <v/>
      </c>
      <c r="AW105" s="68">
        <f>IF(AW104="","",AW104+1)</f>
        <v>899</v>
      </c>
      <c r="AX105" s="69"/>
      <c r="AY105" s="69"/>
      <c r="AZ105" s="70" t="str">
        <f>IF(AND(AX105&lt;&gt;"",AY105&lt;&gt;""),ROUND(AX105,3)+ROUND(AZ104,3)-ROUND(AY105,3),IF(AND(EXACT(UPPER(AW105),"TBM"),AX105&lt;&gt;""),ROUND(AX105,3),IF(AX105="",AZ104,IF(ISNA(VLOOKUP(AW105,A6:E105,5,FALSE)),IF(ISNA(VLOOKUP(AW105,G6:K105,5,FALSE)),IF(ISNA(VLOOKUP(AW105,M6:Q105,5,FALSE)),IF(ISNA(VLOOKUP(AW105,S6:W105,5,FALSE)),IF(ISNA(VLOOKUP(AW105,Y6:AC105,5,FALSE)),IF(ISNA(VLOOKUP(AW105,AE6:AI105,5,FALSE)),IF(ISNA(VLOOKUP(AW105,AK6:AO105,5,FALSE)),IF(ISNA(VLOOKUP(AW105,AQ6:AU105,5,FALSE)),IF(ISNA(VLOOKUP(AW105,AW6:BA104,5,FALSE)),"",ROUND(VLOOKUP(AW105,AW6:BA104,5,FALSE),0)/1000+ROUND(AX105,3)),ROUND(VLOOKUP(AW105,AQ6:AU105,5,FALSE),0)/1000+ROUND(AX105,3)),ROUND(VLOOKUP(AW105,AK6:AO105,5,FALSE),0)/1000+ROUND(AX105,3)),ROUND(VLOOKUP(AW105,AE6:AI105,5,FALSE),0)/1000+ROUND(AX105,3)),ROUND(VLOOKUP(AW105,Y6:AC105,5,FALSE),0)/1000+ROUND(AX105,3)),ROUND(VLOOKUP(AW105,S6:W105,5,FALSE),0)/1000+ROUND(AX105,3)),ROUND(VLOOKUP(AW105,M6:Q105,5,FALSE),0)/1000+ROUND(AX105,3)),ROUND(VLOOKUP(AW105,G6:K105,5,FALSE),0)/1000+ROUND(AX105,3)),ROUND(VLOOKUP(AW105,A6:E105,5,FALSE),0)/1000+ROUND(AX105,3)))))</f>
        <v/>
      </c>
      <c r="BA105" s="72" t="str">
        <f>IF(OR(NOT(EXACT(UPPER(AW105),"TBM")),AX105=""),IF(AND(AX105&lt;&gt;"",AY105="",AZ105&lt;&gt;""),"",IF(AND(AX105="",AY105&lt;&gt;"",AZ105&lt;&gt;""),ROUND(ROUND(AZ105,3)-ROUND(AY105,3),3)*1000,IF(AND(AX105&lt;&gt;"",AY105&lt;&gt;"",AZ105&lt;&gt;""),ROUND(ROUND(AZ104,3)-ROUND(AY105,3),3)*1000,""))),"")</f>
        <v/>
      </c>
      <c r="BB105" s="73" t="str">
        <f>IF(AND(NOT(ISNA(VLOOKUP(AW105,A6:E105,5,FALSE))),AX105="",AY105&lt;&gt;""),ROUND((VLOOKUP(AW105,A6:E105,5,FALSE)-BA105)/1000,3),IF(AND(NOT(ISNA(VLOOKUP(AW105,G6:K105,5,FALSE))),AX105="",AY105&lt;&gt;""),ROUND((VLOOKUP(AW105,G6:K105,5,FALSE)-BA105)/1000,3),IF(AND(NOT(ISNA(VLOOKUP(AW105,M6:Q105,5,FALSE))),AX105="",AY105&lt;&gt;""),ROUND((VLOOKUP(AW105,M6:Q105,5,FALSE)-BA105)/1000,3),IF(AND(NOT(ISNA(VLOOKUP(AW105,S6:W105,5,FALSE))),AX105="",AY105&lt;&gt;""),ROUND((VLOOKUP(AW105,S6:W105,5,FALSE)-BA105)/1000,3),IF(AND(NOT(ISNA(VLOOKUP(AW105,Y6:AC105,5,FALSE))),AX105="",AY105&lt;&gt;""),ROUND((VLOOKUP(AW105,Y6:AC105,5,FALSE)-BA105)/1000,3),IF(AND(NOT(ISNA(VLOOKUP(AW105,AE6:AI105,5,FALSE))),AX105="",AY105&lt;&gt;""),ROUND((VLOOKUP(AW105,AE6:AI105,5,FALSE)-BA105)/1000,3),IF(AND(NOT(ISNA(VLOOKUP(AW105,AK6:AO105,5,FALSE))),AX105="",AY105&lt;&gt;""),ROUND((VLOOKUP(AW105,AK6:AO105,5,FALSE)-BA105)/1000,3),IF(AND(NOT(ISNA(VLOOKUP(AW105,AQ6:AU105,5,FALSE))),AX105="",AY105&lt;&gt;""),ROUND((VLOOKUP(AW105,AQ6:AU105,5,FALSE)-BA105)/1000,3),IF(AND(NOT(ISNA(VLOOKUP(AW105,AW6:BA104,5,FALSE))),AX105="",AY105&lt;&gt;""),ROUND((VLOOKUP(AW105,AW6:BA104,5,FALSE)-BA105)/1000,3),"")))))))))</f>
        <v/>
      </c>
      <c r="BC105" s="68">
        <f>IF(BC104="","",BC104+1)</f>
        <v>999</v>
      </c>
      <c r="BD105" s="69"/>
      <c r="BE105" s="69"/>
      <c r="BF105" s="70" t="str">
        <f>IF(AND(BD105&lt;&gt;"",BE105&lt;&gt;""),ROUND(BD105,3)+ROUND(BF104,3)-ROUND(BE105,3),IF(AND(EXACT(UPPER(BC105),"TBM"),BD105&lt;&gt;""),ROUND(BD105,3),IF(BD105="",BF104,IF(ISNA(VLOOKUP(BC105,A6:E105,5,FALSE)),IF(ISNA(VLOOKUP(BC105,G6:K105,5,FALSE)),IF(ISNA(VLOOKUP(BC105,M6:Q105,5,FALSE)),IF(ISNA(VLOOKUP(BC105,S6:W105,5,FALSE)),IF(ISNA(VLOOKUP(BC105,Y6:AC105,5,FALSE)),IF(ISNA(VLOOKUP(BC105,AE6:AI105,5,FALSE)),IF(ISNA(VLOOKUP(BC105,AK6:AO105,5,FALSE)),IF(ISNA(VLOOKUP(BC105,AQ6:AU105,5,FALSE)),IF(ISNA(VLOOKUP(BC105,AW6:BA105,5,FALSE)),IF(ISNA(VLOOKUP(BC105,BC6:BG104,5,FALSE)),"",ROUND(VLOOKUP(BC105,BC6:BG104,5,FALSE),0)/1000+ROUND(BD105,3)),ROUND(VLOOKUP(BC105,AW6:BA105,5,FALSE),0)/1000+ROUND(BD105,3)),ROUND(VLOOKUP(BC105,AQ6:AU105,5,FALSE),0)/1000+ROUND(BD105,3)),ROUND(VLOOKUP(BC105,AK6:AO105,5,FALSE),0)/1000+ROUND(BD105,3)),ROUND(VLOOKUP(BC105,AE6:AI105,5,FALSE),0)/1000+ROUND(BD105,3)),ROUND(VLOOKUP(BC105,Y6:AC105,5,FALSE),0)/1000+ROUND(BD105,3)),ROUND(VLOOKUP(BC105,S6:W105,5,FALSE),0)/1000+ROUND(BD105,3)),ROUND(VLOOKUP(BC105,M6:Q105,5,FALSE),0)/1000+ROUND(BD105,3)),ROUND(VLOOKUP(BC105,G6:K105,5,FALSE),0)/1000+ROUND(BD105,3)),ROUND(VLOOKUP(BC105,A6:E105,5,FALSE),0)/1000+ROUND(BD105,3)))))</f>
        <v/>
      </c>
      <c r="BG105" s="72" t="str">
        <f>IF(OR(NOT(EXACT(UPPER(BC105),"TBM")),BD105=""),IF(AND(BD105&lt;&gt;"",BE105="",BF105&lt;&gt;""),"",IF(AND(BD105="",BE105&lt;&gt;"",BF105&lt;&gt;""),ROUND(ROUND(BF105,3)-ROUND(BE105,3),3)*1000,IF(AND(BD105&lt;&gt;"",BE105&lt;&gt;"",BF105&lt;&gt;""),ROUND(ROUND(BF104,3)-ROUND(BE105,3),3)*1000,""))),"")</f>
        <v/>
      </c>
      <c r="BH105" s="73" t="str">
        <f>IF(AND(NOT(ISNA(VLOOKUP(BC105,A6:E105,5,FALSE))),BD105="",BE105&lt;&gt;""),ROUND((VLOOKUP(BC105,A6:E105,5,FALSE)-BG105)/1000,3),IF(AND(NOT(ISNA(VLOOKUP(BC105,G6:K105,5,FALSE))),BD105="",BE105&lt;&gt;""),ROUND((VLOOKUP(BC105,G6:K105,5,FALSE)-BG105)/1000,3),IF(AND(NOT(ISNA(VLOOKUP(BC105,M6:Q105,5,FALSE))),BD105="",BE105&lt;&gt;""),ROUND((VLOOKUP(BC105,M6:Q105,5,FALSE)-BG105)/1000,3),IF(AND(NOT(ISNA(VLOOKUP(BC105,S6:W105,5,FALSE))),BD105="",BE105&lt;&gt;""),ROUND((VLOOKUP(BC105,S6:W105,5,FALSE)-BG105)/1000,3),IF(AND(NOT(ISNA(VLOOKUP(BC105,Y6:AC105,5,FALSE))),BD105="",BE105&lt;&gt;""),ROUND((VLOOKUP(BC105,Y6:AC105,5,FALSE)-BG105)/1000,3),IF(AND(NOT(ISNA(VLOOKUP(BC105,AE6:AI105,5,FALSE))),BD105="",BE105&lt;&gt;""),ROUND((VLOOKUP(BC105,AE6:AI105,5,FALSE)-BG105)/1000,3),IF(AND(NOT(ISNA(VLOOKUP(BC105,AK6:AO105,5,FALSE))),BD105="",BE105&lt;&gt;""),ROUND((VLOOKUP(BC105,AK6:AO105,5,FALSE)-BG105)/1000,3),IF(AND(NOT(ISNA(VLOOKUP(BC105,AQ6:AU105,5,FALSE))),BD105="",BE105&lt;&gt;""),ROUND((VLOOKUP(BC105,AQ6:AU105,5,FALSE)-BG105)/1000,3),IF(AND(NOT(ISNA(VLOOKUP(BC105,AW6:BA105,5,FALSE))),BD105="",BE105&lt;&gt;""),ROUND((VLOOKUP(BC105,AW6:BA105,5,FALSE)-BG105)/1000,3),IF(AND(NOT(ISNA(VLOOKUP(BC105,BC6:BG104,5,FALSE))),BD105="",BE105&lt;&gt;""),ROUND((VLOOKUP(BC105,BC6:BG104,5,FALSE)-BG105)/1000,3),""))))))))))</f>
        <v/>
      </c>
    </row>
    <row r="106" spans="1:60" ht="18.75" x14ac:dyDescent="0.4">
      <c r="A106" s="4" t="s">
        <v>19</v>
      </c>
      <c r="L106" s="23"/>
    </row>
  </sheetData>
  <sheetProtection sheet="1" objects="1" scenarios="1"/>
  <phoneticPr fontId="1"/>
  <dataValidations count="1">
    <dataValidation type="decimal" allowBlank="1" showInputMessage="1" showErrorMessage="1" sqref="B6:C105 H6:I105 N6:O105 T6:U105 Z6:AA105 AF6:AG105 AL6:AM105 AR6:AS105 AX6:AY105 BD6:BE105" xr:uid="{9987C7AB-41CF-4FEA-B8DB-41C520697A27}">
      <formula1>-100</formula1>
      <formula2>100</formula2>
    </dataValidation>
  </dataValidations>
  <pageMargins left="0.7" right="0.7" top="0.75" bottom="0.75" header="0.3" footer="0.3"/>
  <pageSetup paperSize="9" orientation="portrait" verticalDpi="0" r:id="rId1"/>
  <ignoredErrors>
    <ignoredError sqref="A5:L5 B106:K106 A10:D105 A8:D8 G8:J8 A9:D9 G9:J9 A7:D7 F7:J7 F10:J105 A6:J6 L6 L8 L9 L7 L10:L10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InputField">
                <anchor moveWithCells="1" sizeWithCells="1">
                  <from>
                    <xdr:col>11</xdr:col>
                    <xdr:colOff>104775</xdr:colOff>
                    <xdr:row>0</xdr:row>
                    <xdr:rowOff>57150</xdr:rowOff>
                  </from>
                  <to>
                    <xdr:col>12</xdr:col>
                    <xdr:colOff>638175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_InputField">
                <anchor moveWithCells="1" sizeWithCells="1">
                  <from>
                    <xdr:col>11</xdr:col>
                    <xdr:colOff>104775</xdr:colOff>
                    <xdr:row>2</xdr:row>
                    <xdr:rowOff>28575</xdr:rowOff>
                  </from>
                  <to>
                    <xdr:col>12</xdr:col>
                    <xdr:colOff>638175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4"/>
  <sheetViews>
    <sheetView workbookViewId="0"/>
  </sheetViews>
  <sheetFormatPr defaultRowHeight="15" x14ac:dyDescent="0.25"/>
  <cols>
    <col min="1" max="2" width="11.125" style="4" customWidth="1"/>
    <col min="3" max="7" width="8.875" style="4" customWidth="1"/>
  </cols>
  <sheetData>
    <row r="1" spans="1:7" x14ac:dyDescent="0.25">
      <c r="A1" s="55" t="s">
        <v>9</v>
      </c>
    </row>
    <row r="2" spans="1:7" x14ac:dyDescent="0.25">
      <c r="A2" s="4" t="s">
        <v>14</v>
      </c>
    </row>
    <row r="3" spans="1:7" ht="15.75" thickBot="1" x14ac:dyDescent="0.3"/>
    <row r="4" spans="1:7" x14ac:dyDescent="0.25">
      <c r="A4" s="23" t="s">
        <v>3</v>
      </c>
      <c r="B4" s="24" t="s">
        <v>15</v>
      </c>
      <c r="C4" s="56" t="s">
        <v>10</v>
      </c>
      <c r="D4" s="25" t="s">
        <v>0</v>
      </c>
      <c r="E4" s="25" t="s">
        <v>1</v>
      </c>
      <c r="F4" s="57" t="s">
        <v>8</v>
      </c>
      <c r="G4" s="26"/>
    </row>
    <row r="5" spans="1:7" x14ac:dyDescent="0.25">
      <c r="B5" s="24" t="s">
        <v>16</v>
      </c>
      <c r="C5" s="27" t="s">
        <v>2</v>
      </c>
      <c r="D5" s="47">
        <v>1.75</v>
      </c>
      <c r="E5" s="28"/>
      <c r="F5" s="29"/>
      <c r="G5" s="30"/>
    </row>
    <row r="6" spans="1:7" x14ac:dyDescent="0.25">
      <c r="B6" s="24" t="s">
        <v>17</v>
      </c>
      <c r="C6" s="31">
        <v>1</v>
      </c>
      <c r="D6" s="48"/>
      <c r="E6" s="48">
        <v>1.835</v>
      </c>
      <c r="F6" s="32">
        <v>-85</v>
      </c>
      <c r="G6" s="33"/>
    </row>
    <row r="7" spans="1:7" x14ac:dyDescent="0.25">
      <c r="A7" s="23" t="s">
        <v>18</v>
      </c>
      <c r="B7" s="24" t="s">
        <v>4</v>
      </c>
      <c r="C7" s="34">
        <v>2</v>
      </c>
      <c r="D7" s="49"/>
      <c r="E7" s="49">
        <v>2.0249999999999999</v>
      </c>
      <c r="F7" s="35">
        <v>-275</v>
      </c>
      <c r="G7" s="51"/>
    </row>
    <row r="8" spans="1:7" x14ac:dyDescent="0.25">
      <c r="B8" s="24" t="s">
        <v>5</v>
      </c>
      <c r="C8" s="31">
        <v>3</v>
      </c>
      <c r="D8" s="48"/>
      <c r="E8" s="48">
        <v>1.625</v>
      </c>
      <c r="F8" s="32">
        <v>125</v>
      </c>
      <c r="G8" s="52"/>
    </row>
    <row r="9" spans="1:7" x14ac:dyDescent="0.25">
      <c r="B9" s="24" t="s">
        <v>6</v>
      </c>
      <c r="C9" s="36">
        <v>2</v>
      </c>
      <c r="D9" s="50">
        <v>1.345</v>
      </c>
      <c r="E9" s="50"/>
      <c r="F9" s="37"/>
      <c r="G9" s="53"/>
    </row>
    <row r="10" spans="1:7" x14ac:dyDescent="0.25">
      <c r="C10" s="31">
        <v>4</v>
      </c>
      <c r="D10" s="48"/>
      <c r="E10" s="48">
        <v>1.02</v>
      </c>
      <c r="F10" s="32">
        <v>50</v>
      </c>
      <c r="G10" s="52"/>
    </row>
    <row r="11" spans="1:7" x14ac:dyDescent="0.25">
      <c r="C11" s="34">
        <v>5</v>
      </c>
      <c r="D11" s="49"/>
      <c r="E11" s="49">
        <v>1.25</v>
      </c>
      <c r="F11" s="35">
        <v>-180</v>
      </c>
      <c r="G11" s="51"/>
    </row>
    <row r="12" spans="1:7" x14ac:dyDescent="0.25">
      <c r="C12" s="31">
        <v>6</v>
      </c>
      <c r="D12" s="48"/>
      <c r="E12" s="48">
        <v>1.68</v>
      </c>
      <c r="F12" s="32">
        <v>-610</v>
      </c>
      <c r="G12" s="52"/>
    </row>
    <row r="13" spans="1:7" x14ac:dyDescent="0.25">
      <c r="C13" s="34">
        <v>1</v>
      </c>
      <c r="D13" s="49"/>
      <c r="E13" s="49">
        <v>1.155</v>
      </c>
      <c r="F13" s="35">
        <v>-85</v>
      </c>
      <c r="G13" s="51">
        <v>0</v>
      </c>
    </row>
    <row r="14" spans="1:7" x14ac:dyDescent="0.25">
      <c r="C14" s="36" t="s">
        <v>2</v>
      </c>
      <c r="D14" s="50"/>
      <c r="E14" s="50">
        <v>1.07</v>
      </c>
      <c r="F14" s="37">
        <v>0</v>
      </c>
      <c r="G14" s="53">
        <v>0</v>
      </c>
    </row>
  </sheetData>
  <phoneticPr fontId="1"/>
  <pageMargins left="0.78700000000000003" right="0.78700000000000003" top="0.98399999999999999" bottom="0.98399999999999999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レベル計算</vt:lpstr>
      <vt:lpstr>説明</vt:lpstr>
    </vt:vector>
  </TitlesOfParts>
  <Company>株式会社トラバース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hirose</dc:creator>
  <cp:lastModifiedBy>sys.dev01</cp:lastModifiedBy>
  <cp:lastPrinted>2005-12-22T06:34:13Z</cp:lastPrinted>
  <dcterms:created xsi:type="dcterms:W3CDTF">2000-10-16T01:04:37Z</dcterms:created>
  <dcterms:modified xsi:type="dcterms:W3CDTF">2024-10-19T04:52:41Z</dcterms:modified>
</cp:coreProperties>
</file>